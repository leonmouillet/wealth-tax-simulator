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codeName="ThisWorkbook" defaultThemeVersion="166925"/>
  <mc:AlternateContent xmlns:mc="http://schemas.openxmlformats.org/markup-compatibility/2006">
    <mc:Choice Requires="x15">
      <x15ac:absPath xmlns:x15ac="http://schemas.microsoft.com/office/spreadsheetml/2010/11/ac" url="C:\Users\l.mouillet\Desktop\"/>
    </mc:Choice>
  </mc:AlternateContent>
  <xr:revisionPtr revIDLastSave="0" documentId="13_ncr:1_{A715135C-AF16-4046-8F3B-2A2DEC6A658D}" xr6:coauthVersionLast="47" xr6:coauthVersionMax="47" xr10:uidLastSave="{00000000-0000-0000-0000-000000000000}"/>
  <bookViews>
    <workbookView xWindow="28680" yWindow="-1410" windowWidth="29040" windowHeight="15720" xr2:uid="{A69BB1AE-355D-4D40-8FE7-BE3B860A349E}"/>
  </bookViews>
  <sheets>
    <sheet name="README" sheetId="14" r:id="rId1"/>
    <sheet name="FRA" sheetId="7" r:id="rId2"/>
    <sheet name="USA" sheetId="11" r:id="rId3"/>
    <sheet name="NDL" sheetId="13" r:id="rId4"/>
    <sheet name="BRA" sheetId="3" r:id="rId5"/>
    <sheet name="ITA" sheetId="17" r:id="rId6"/>
    <sheet name="Bozio et al. (2020)" sheetId="9" r:id="rId7"/>
    <sheet name="Bach et al. (2025)" sheetId="6" r:id="rId8"/>
    <sheet name="Saez &amp; Zucman (2019)" sheetId="2" r:id="rId9"/>
    <sheet name="Balkir et al. (2025)" sheetId="10" r:id="rId10"/>
    <sheet name="Palomo et al. (2025)" sheetId="12" r:id="rId11"/>
    <sheet name="Bruil et al. (2025)" sheetId="4" r:id="rId12"/>
    <sheet name="Billionnaires List" sheetId="19" r:id="rId13"/>
    <sheet name="Guzzardi et al. (2024)" sheetId="16" r:id="rId14"/>
    <sheet name="Income to wealth ratios" sheetId="20" r:id="rId15"/>
    <sheet name="WID" sheetId="21"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1" i="7" l="1"/>
  <c r="N11" i="11"/>
  <c r="N11" i="13"/>
  <c r="N11" i="17"/>
  <c r="N7" i="17"/>
  <c r="H7" i="17"/>
  <c r="H8" i="17"/>
  <c r="H9" i="17"/>
  <c r="H10" i="17"/>
  <c r="G11" i="17" s="1"/>
  <c r="H7" i="3"/>
  <c r="H8" i="3"/>
  <c r="H9" i="3"/>
  <c r="H10" i="3"/>
  <c r="H7" i="13"/>
  <c r="H8" i="13"/>
  <c r="H9" i="13"/>
  <c r="H10" i="13"/>
  <c r="H7" i="11"/>
  <c r="H8" i="11"/>
  <c r="H9" i="11"/>
  <c r="H10" i="11"/>
  <c r="H7" i="7"/>
  <c r="H8" i="7"/>
  <c r="H9" i="7"/>
  <c r="H10" i="7"/>
  <c r="N28" i="21"/>
  <c r="N27" i="21"/>
  <c r="N26" i="21"/>
  <c r="N25" i="21"/>
  <c r="N23" i="21"/>
  <c r="N22" i="21"/>
  <c r="N21" i="21"/>
  <c r="N20" i="21"/>
  <c r="N18" i="21"/>
  <c r="N17" i="21"/>
  <c r="N16" i="21"/>
  <c r="N15" i="21"/>
  <c r="N13" i="21"/>
  <c r="N12" i="21"/>
  <c r="N11" i="21"/>
  <c r="N10" i="21"/>
  <c r="N8" i="21"/>
  <c r="N7" i="21"/>
  <c r="N6" i="21"/>
  <c r="N5" i="21"/>
  <c r="D22" i="20"/>
  <c r="D13" i="20"/>
  <c r="D3" i="20"/>
  <c r="G11" i="3"/>
  <c r="G11" i="11"/>
  <c r="D7" i="3"/>
  <c r="D8" i="3"/>
  <c r="D9" i="3"/>
  <c r="D10" i="3"/>
  <c r="C10" i="3"/>
  <c r="C9" i="3"/>
  <c r="C8" i="3"/>
  <c r="C7" i="3"/>
  <c r="O5" i="12"/>
  <c r="P5" i="12"/>
  <c r="O6" i="12"/>
  <c r="P6" i="12"/>
  <c r="O7" i="12"/>
  <c r="P7" i="12"/>
  <c r="O8" i="12"/>
  <c r="P8" i="12"/>
  <c r="O9" i="12"/>
  <c r="P9" i="12"/>
  <c r="O10" i="12"/>
  <c r="P10" i="12"/>
  <c r="O11" i="12"/>
  <c r="P11" i="12"/>
  <c r="O12" i="12"/>
  <c r="P12" i="12"/>
  <c r="P4" i="12"/>
  <c r="O4" i="12"/>
  <c r="G11" i="13"/>
  <c r="B10" i="3"/>
  <c r="E6" i="19"/>
  <c r="E7" i="19"/>
  <c r="E5" i="19"/>
  <c r="E4" i="19"/>
  <c r="I9" i="11" l="1"/>
  <c r="F7" i="11"/>
  <c r="C10" i="11"/>
  <c r="B10" i="11"/>
  <c r="D7" i="11"/>
  <c r="I7" i="11" s="1"/>
  <c r="D8" i="11"/>
  <c r="I8" i="11" s="1"/>
  <c r="D9" i="11"/>
  <c r="C8" i="11"/>
  <c r="J8" i="11" s="1"/>
  <c r="C9" i="11"/>
  <c r="J9" i="11" s="1"/>
  <c r="C7" i="11"/>
  <c r="J7" i="11" s="1"/>
  <c r="B8" i="11"/>
  <c r="B9" i="11"/>
  <c r="B7" i="11"/>
  <c r="L10" i="17"/>
  <c r="L9" i="17"/>
  <c r="L8" i="17"/>
  <c r="J8" i="17"/>
  <c r="I8" i="17"/>
  <c r="L7" i="17"/>
  <c r="J7" i="17"/>
  <c r="I7" i="17"/>
  <c r="L6" i="17"/>
  <c r="M6" i="17" s="1"/>
  <c r="L5" i="17"/>
  <c r="M5" i="17" s="1"/>
  <c r="L4" i="17"/>
  <c r="M4" i="17" s="1"/>
  <c r="C10" i="17"/>
  <c r="C9" i="17"/>
  <c r="C8" i="17"/>
  <c r="F7" i="17"/>
  <c r="C7" i="17"/>
  <c r="D8" i="17"/>
  <c r="D7" i="17"/>
  <c r="B10" i="17"/>
  <c r="B9" i="17"/>
  <c r="B8" i="17"/>
  <c r="B7" i="17"/>
  <c r="F7" i="3"/>
  <c r="I8" i="3"/>
  <c r="I9" i="3"/>
  <c r="I10" i="3"/>
  <c r="I7" i="3"/>
  <c r="J7" i="3"/>
  <c r="J8" i="3"/>
  <c r="K8" i="17" l="1"/>
  <c r="M8" i="17" s="1"/>
  <c r="N8" i="17" s="1"/>
  <c r="K7" i="17"/>
  <c r="M7" i="17" s="1"/>
  <c r="J10" i="3"/>
  <c r="J9" i="3"/>
  <c r="K9" i="3"/>
  <c r="K7" i="3"/>
  <c r="K8" i="3"/>
  <c r="K8" i="11"/>
  <c r="K7" i="11"/>
  <c r="K9" i="11"/>
  <c r="D10" i="11"/>
  <c r="K10" i="3"/>
  <c r="B9" i="3"/>
  <c r="B8" i="3"/>
  <c r="B7" i="3"/>
  <c r="M5" i="13"/>
  <c r="M6" i="13"/>
  <c r="M4" i="13"/>
  <c r="L4" i="13"/>
  <c r="J8" i="13"/>
  <c r="J9" i="13"/>
  <c r="J10" i="13"/>
  <c r="J7" i="13"/>
  <c r="I8" i="13"/>
  <c r="I9" i="13"/>
  <c r="I10" i="13"/>
  <c r="I7" i="13"/>
  <c r="F7" i="13"/>
  <c r="D10" i="13"/>
  <c r="D8" i="13"/>
  <c r="D9" i="13"/>
  <c r="D7" i="13"/>
  <c r="C10" i="13"/>
  <c r="C9" i="13"/>
  <c r="C8" i="13"/>
  <c r="C7" i="13"/>
  <c r="B10" i="13"/>
  <c r="B9" i="13"/>
  <c r="B8" i="13"/>
  <c r="B7" i="13"/>
  <c r="C7" i="7"/>
  <c r="C8" i="7"/>
  <c r="C9" i="7"/>
  <c r="C10" i="7"/>
  <c r="F7" i="7"/>
  <c r="E8" i="7"/>
  <c r="E7" i="7"/>
  <c r="L7" i="7" s="1"/>
  <c r="D7" i="7"/>
  <c r="I7" i="7" s="1"/>
  <c r="D8" i="7"/>
  <c r="I8" i="7" s="1"/>
  <c r="B7" i="7"/>
  <c r="B9" i="7"/>
  <c r="B8" i="7"/>
  <c r="B10" i="7"/>
  <c r="D9" i="7"/>
  <c r="I9" i="7" s="1"/>
  <c r="D10" i="7"/>
  <c r="I10" i="7" s="1"/>
  <c r="D10" i="17" l="1"/>
  <c r="G11" i="7"/>
  <c r="J10" i="7"/>
  <c r="J7" i="7"/>
  <c r="K7" i="7" s="1"/>
  <c r="M7" i="7" s="1"/>
  <c r="N7" i="7" s="1"/>
  <c r="D9" i="17"/>
  <c r="K9" i="13"/>
  <c r="M9" i="13" s="1"/>
  <c r="N9" i="13" s="1"/>
  <c r="K8" i="13"/>
  <c r="M8" i="13" s="1"/>
  <c r="N8" i="13" s="1"/>
  <c r="K7" i="13"/>
  <c r="M7" i="13" s="1"/>
  <c r="N7" i="13" s="1"/>
  <c r="K10" i="13"/>
  <c r="M10" i="13" s="1"/>
  <c r="N10" i="13" s="1"/>
  <c r="J10" i="11"/>
  <c r="I10" i="11"/>
  <c r="K10" i="7"/>
  <c r="J8" i="7"/>
  <c r="K8" i="7" s="1"/>
  <c r="J9" i="7"/>
  <c r="K9" i="7" s="1"/>
  <c r="I9" i="17" l="1"/>
  <c r="K9" i="17" s="1"/>
  <c r="M9" i="17" s="1"/>
  <c r="N9" i="17" s="1"/>
  <c r="J9" i="17"/>
  <c r="J10" i="17"/>
  <c r="I10" i="17"/>
  <c r="K10" i="17" s="1"/>
  <c r="M10" i="17" s="1"/>
  <c r="N10" i="17" s="1"/>
  <c r="K10" i="11"/>
  <c r="F10" i="17"/>
  <c r="F9" i="17"/>
  <c r="F8" i="17"/>
  <c r="E9" i="17"/>
  <c r="E10" i="17"/>
  <c r="E7" i="17"/>
  <c r="E8" i="17"/>
  <c r="E6" i="17"/>
  <c r="E5" i="17"/>
  <c r="E4" i="17"/>
  <c r="L8" i="7" l="1"/>
  <c r="E9" i="7"/>
  <c r="E10" i="7"/>
  <c r="F8" i="3"/>
  <c r="F8" i="13"/>
  <c r="F8" i="11"/>
  <c r="F8" i="7"/>
  <c r="F10" i="3"/>
  <c r="F9" i="3"/>
  <c r="E10" i="3"/>
  <c r="L10" i="3" s="1"/>
  <c r="E9" i="3"/>
  <c r="L9" i="3" s="1"/>
  <c r="E8" i="3"/>
  <c r="L8" i="3" s="1"/>
  <c r="E7" i="3"/>
  <c r="E6" i="3"/>
  <c r="L6" i="3" s="1"/>
  <c r="E5" i="3"/>
  <c r="L5" i="3" s="1"/>
  <c r="E4" i="3"/>
  <c r="L4" i="3" s="1"/>
  <c r="F10" i="13"/>
  <c r="F9" i="13"/>
  <c r="E9" i="13"/>
  <c r="E10" i="13"/>
  <c r="L10" i="13" s="1"/>
  <c r="E6" i="13"/>
  <c r="E8" i="13"/>
  <c r="L8" i="13" s="1"/>
  <c r="E7" i="13"/>
  <c r="E5" i="13"/>
  <c r="E4" i="13"/>
  <c r="F10" i="11"/>
  <c r="F9" i="11"/>
  <c r="E10" i="11"/>
  <c r="L10" i="11" s="1"/>
  <c r="E9" i="11"/>
  <c r="E8" i="11"/>
  <c r="E7" i="11"/>
  <c r="E6" i="11"/>
  <c r="L6" i="11" s="1"/>
  <c r="E5" i="11"/>
  <c r="L5" i="11" s="1"/>
  <c r="E4" i="11"/>
  <c r="L4" i="11" s="1"/>
  <c r="F9" i="7"/>
  <c r="F10" i="7"/>
  <c r="E5" i="7"/>
  <c r="E4" i="7"/>
  <c r="E6" i="7"/>
  <c r="M10" i="7" l="1"/>
  <c r="M4" i="3"/>
  <c r="M6" i="3"/>
  <c r="M5" i="3"/>
  <c r="L7" i="3"/>
  <c r="M7" i="3"/>
  <c r="N7" i="3" s="1"/>
  <c r="M9" i="3"/>
  <c r="N9" i="3" s="1"/>
  <c r="M10" i="3"/>
  <c r="N10" i="3" s="1"/>
  <c r="M8" i="3"/>
  <c r="N8" i="3" s="1"/>
  <c r="M10" i="11"/>
  <c r="N10" i="11" s="1"/>
  <c r="M5" i="11"/>
  <c r="M4" i="11"/>
  <c r="M6" i="11"/>
  <c r="L7" i="11"/>
  <c r="M7" i="11"/>
  <c r="N7" i="11" s="1"/>
  <c r="L8" i="11"/>
  <c r="M8" i="11"/>
  <c r="N8" i="11" s="1"/>
  <c r="L9" i="11"/>
  <c r="M9" i="11"/>
  <c r="N9" i="11" s="1"/>
  <c r="L7" i="13"/>
  <c r="L9" i="13"/>
  <c r="L5" i="13"/>
  <c r="L6" i="13"/>
  <c r="M8" i="7"/>
  <c r="N8" i="7" s="1"/>
  <c r="L10" i="7"/>
  <c r="L9" i="7"/>
  <c r="M9" i="7"/>
  <c r="L6" i="7"/>
  <c r="M6" i="7" s="1"/>
  <c r="L5" i="7"/>
  <c r="M5" i="7" s="1"/>
  <c r="L4" i="7"/>
  <c r="M4" i="7" s="1"/>
  <c r="N11" i="3" l="1"/>
  <c r="N10" i="7"/>
  <c r="N9" i="7"/>
</calcChain>
</file>

<file path=xl/sharedStrings.xml><?xml version="1.0" encoding="utf-8"?>
<sst xmlns="http://schemas.openxmlformats.org/spreadsheetml/2006/main" count="487" uniqueCount="273">
  <si>
    <t>P0-10</t>
  </si>
  <si>
    <t>P10-20</t>
  </si>
  <si>
    <t>P20-30</t>
  </si>
  <si>
    <t>P30-40</t>
  </si>
  <si>
    <t>P40-50</t>
  </si>
  <si>
    <t>P50-60</t>
  </si>
  <si>
    <t>P60-70</t>
  </si>
  <si>
    <t>P70-80</t>
  </si>
  <si>
    <t>P80-90</t>
  </si>
  <si>
    <t>P90-95</t>
  </si>
  <si>
    <t>P95-99</t>
  </si>
  <si>
    <t>P99-99.9</t>
  </si>
  <si>
    <t>P99.9-99.99</t>
  </si>
  <si>
    <t>P99.99-top 400</t>
  </si>
  <si>
    <t>Top 400</t>
  </si>
  <si>
    <t>p</t>
  </si>
  <si>
    <t>Total tax rates by pre-tax income groups (% of pre-tax income)</t>
  </si>
  <si>
    <t>Group</t>
  </si>
  <si>
    <t>P99.99-P99.999</t>
  </si>
  <si>
    <t>P99.999-P99.9999</t>
  </si>
  <si>
    <t>Percentile</t>
  </si>
  <si>
    <t>Payroll Taxes</t>
  </si>
  <si>
    <t>Consumption Taxes</t>
  </si>
  <si>
    <t>Corporate Income Tax</t>
  </si>
  <si>
    <t>Total Tax Rate</t>
  </si>
  <si>
    <t>Taxes on Personal Income &amp; Wealth</t>
  </si>
  <si>
    <t>Income threshold</t>
  </si>
  <si>
    <t>Average income</t>
  </si>
  <si>
    <t>P0-P10</t>
  </si>
  <si>
    <t>P10-P20</t>
  </si>
  <si>
    <t>P20-P30</t>
  </si>
  <si>
    <t>P30-P40</t>
  </si>
  <si>
    <t>P40-P50</t>
  </si>
  <si>
    <t>P50-P60</t>
  </si>
  <si>
    <t>P60-P70</t>
  </si>
  <si>
    <t>P70-P80</t>
  </si>
  <si>
    <t>P80-P90</t>
  </si>
  <si>
    <t>P90-P99</t>
  </si>
  <si>
    <t>P99-P99.9</t>
  </si>
  <si>
    <t>P99.9-P99.99</t>
  </si>
  <si>
    <t>P99.9999-P100</t>
  </si>
  <si>
    <t>Number of adults</t>
  </si>
  <si>
    <t>Income share (%)</t>
  </si>
  <si>
    <t>Full population</t>
  </si>
  <si>
    <t>Bottom 50%</t>
  </si>
  <si>
    <t>Middle 40%</t>
  </si>
  <si>
    <t>Top 10%</t>
  </si>
  <si>
    <t>Top 1%</t>
  </si>
  <si>
    <t>Top 0.1%</t>
  </si>
  <si>
    <t>Top 0.01%</t>
  </si>
  <si>
    <t>Top 0.001%</t>
  </si>
  <si>
    <t>Top 0.0001%</t>
  </si>
  <si>
    <t>Distribution of pre-tax national income</t>
  </si>
  <si>
    <t>Tax rates by pre-tax income groups (% of pre-tax income)</t>
  </si>
  <si>
    <t>Personal Income Tax</t>
  </si>
  <si>
    <t>Wealth Tax</t>
  </si>
  <si>
    <t>SSCs</t>
  </si>
  <si>
    <t>Flat-rate withholding tax</t>
  </si>
  <si>
    <t>CIT</t>
  </si>
  <si>
    <t>CIT (foreing)</t>
  </si>
  <si>
    <t>CIT (domestic)</t>
  </si>
  <si>
    <t>Total</t>
  </si>
  <si>
    <t>Indirect taxes</t>
  </si>
  <si>
    <t>Capital taxes</t>
  </si>
  <si>
    <t>Personal Income Taxes</t>
  </si>
  <si>
    <t>Flat Income Taxes</t>
  </si>
  <si>
    <t>P0-P50</t>
  </si>
  <si>
    <t>P50-P90</t>
  </si>
  <si>
    <t>P99</t>
  </si>
  <si>
    <t>Billionnaires</t>
  </si>
  <si>
    <t>Total tax rate</t>
  </si>
  <si>
    <t>Individual tax rate</t>
  </si>
  <si>
    <t>N</t>
  </si>
  <si>
    <t>Threshold</t>
  </si>
  <si>
    <t>Rate</t>
  </si>
  <si>
    <t>Income / Wealth Ratio</t>
  </si>
  <si>
    <t xml:space="preserve">Source: Bach et al. (2025), Figure 6, Effective tax rates as a share of comprehensive income. Tax household level. Data is for year 2016. Income concept is equivalent to Bozio et al. (2020) but taxes do not include indirect taxes and observation units are not individuals. </t>
  </si>
  <si>
    <t>Reform Parameters</t>
  </si>
  <si>
    <t>Values in bold are used as input of the simulation.</t>
  </si>
  <si>
    <t>Pre-tax income group</t>
  </si>
  <si>
    <t>Sales tax</t>
  </si>
  <si>
    <t>Income taxes</t>
  </si>
  <si>
    <t>Estate tax</t>
  </si>
  <si>
    <t>Payroll taxes</t>
  </si>
  <si>
    <t>P99.99-Billionaires</t>
  </si>
  <si>
    <t>Top 0,0002% (top 400)</t>
  </si>
  <si>
    <t>Top 0,0001% (top 100)</t>
  </si>
  <si>
    <t xml:space="preserve">Number of tax units </t>
  </si>
  <si>
    <t>Average Income</t>
  </si>
  <si>
    <t>Property tax</t>
  </si>
  <si>
    <t>Corporate income tax</t>
  </si>
  <si>
    <t>Individual income and payroll taxes</t>
  </si>
  <si>
    <t>Corporate income taxes</t>
  </si>
  <si>
    <t xml:space="preserve">Source : Balkir et al. (2025), Tables 1 and 2. Estimates are for years 2018-2020. Observations are tax units. </t>
  </si>
  <si>
    <t>Other taxes (property, sales</t>
  </si>
  <si>
    <t>P10-P30</t>
  </si>
  <si>
    <t>P90-P95</t>
  </si>
  <si>
    <t>P95-P99</t>
  </si>
  <si>
    <t>SSC</t>
  </si>
  <si>
    <t>Business Income Taxes</t>
  </si>
  <si>
    <t>Property Taxes</t>
  </si>
  <si>
    <t>Other</t>
  </si>
  <si>
    <t>DATA SOURCES</t>
  </si>
  <si>
    <t>P0</t>
  </si>
  <si>
    <t>P10</t>
  </si>
  <si>
    <t>P20</t>
  </si>
  <si>
    <t>P30</t>
  </si>
  <si>
    <t>P40</t>
  </si>
  <si>
    <t>P50</t>
  </si>
  <si>
    <t>P60</t>
  </si>
  <si>
    <t>P70</t>
  </si>
  <si>
    <t>P80</t>
  </si>
  <si>
    <t>P90</t>
  </si>
  <si>
    <t>P95</t>
  </si>
  <si>
    <t>P99.9</t>
  </si>
  <si>
    <t>P99.99</t>
  </si>
  <si>
    <t>P99.999</t>
  </si>
  <si>
    <t>P99.9998</t>
  </si>
  <si>
    <t>Number of households above</t>
  </si>
  <si>
    <t>Mean income above</t>
  </si>
  <si>
    <t>Income share</t>
  </si>
  <si>
    <t>Distribution of pre-tax income</t>
  </si>
  <si>
    <t>Fractile</t>
  </si>
  <si>
    <t>P99.9999</t>
  </si>
  <si>
    <t>Source: Palomo et al. (2025), Figure 10: Effective Tax Rate by Income Groups, All Taxes. The unit of analysis is the individual adult and income is split equally among the adult members of a household. Adults are ranked by their pre-tax national income. Estimates are for year 2019. Values were eyeballed.</t>
  </si>
  <si>
    <t>Source: Bach et al. (2025), Table 1: Income distribution. Data is for year 2016.</t>
  </si>
  <si>
    <t xml:space="preserve">Source: Palomo et al. (2025). See formulas. </t>
  </si>
  <si>
    <t xml:space="preserve">Sources: Saez &amp; Zucman (2019) and Balkir et al. (2025). See formulas. </t>
  </si>
  <si>
    <t xml:space="preserve">Sources: Bozio et al. (2020) and Bach et al. (2024). See formulas. </t>
  </si>
  <si>
    <t xml:space="preserve">Source: Bruil et al (2025). See formulas. </t>
  </si>
  <si>
    <t xml:space="preserve">METHOD AND ASSUMPTIONS </t>
  </si>
  <si>
    <t xml:space="preserve">The simulations of tax rates and tax revenues rely on: </t>
  </si>
  <si>
    <t xml:space="preserve">See the country-specific sheets for details of the simulation method applied from these data and assumptions. The method is the same for all the countries. </t>
  </si>
  <si>
    <t xml:space="preserve">See Data sources. All the articles follow the same methodology and provide country-specific results in a standardized way. </t>
  </si>
  <si>
    <t>Extra fiscal revenues (€million)</t>
  </si>
  <si>
    <t>Source: Bozio et al. (2020), Figure 10c, Taxes paid by pre-tax income percentile, France 2016. Equal-split-adults series (income of married couples divided by two). Values were eyeballed.</t>
  </si>
  <si>
    <t>Progressive Income Taxes</t>
  </si>
  <si>
    <t>P99-99.5</t>
  </si>
  <si>
    <t>P99.5-99.9</t>
  </si>
  <si>
    <t>P99.9-100</t>
  </si>
  <si>
    <t>Antoine Bozio, Bertrand Garbinti, Jonathan Goupille-Lebret, Malka Guillot, Thomas Piketty (2020). Predistribution vs. Redistribution: Evidence from France and the U.S.</t>
  </si>
  <si>
    <t>Laurent Bach, Antoine Bozio, Arthur Guillouzouic, Clément Malgouyres (2025). Do Billionaires Pay Taxes?</t>
  </si>
  <si>
    <t xml:space="preserve">Emmanuel Saez, Gabriel Zucman (2019). The Triumph of Injustice. </t>
  </si>
  <si>
    <t xml:space="preserve">Akcan S. Balkir, Emmanuel Saez, Danny Yagan, Gabriel Zucman (2025). How Much Tax Do US Billionnaires Pay? Evidence From Administrative Data. </t>
  </si>
  <si>
    <t>Theo Palomo, Davi Bhering, Thiago Scot, Pierre Bachas, Luciana Barcarolo, Celso Campos, Javier Feinmann, Leonardo Moreira, Gabriel Zucman (2025). Tax Progressivity and Inequality in Brazil: Evidence from Integrated Administrative Data.</t>
  </si>
  <si>
    <t>Arjan Bruil, Céline van Essen, Wouter Leenders, Arjan Lejour, Jan Möhlmann, Simon Rabaté (2025). Inequality and Redistribution in the Netherlands</t>
  </si>
  <si>
    <t>Income group</t>
  </si>
  <si>
    <t>Population</t>
  </si>
  <si>
    <t>100.0%</t>
  </si>
  <si>
    <t>P 0–25</t>
  </si>
  <si>
    <t>1.7%</t>
  </si>
  <si>
    <t>P 25–50</t>
  </si>
  <si>
    <t>14.6%</t>
  </si>
  <si>
    <t>P 50–60</t>
  </si>
  <si>
    <t>8.6%</t>
  </si>
  <si>
    <t>P 60–70</t>
  </si>
  <si>
    <t>10.5%</t>
  </si>
  <si>
    <t>P 70–80</t>
  </si>
  <si>
    <t>12.9%</t>
  </si>
  <si>
    <t>P 80–90</t>
  </si>
  <si>
    <t>16.4%</t>
  </si>
  <si>
    <t>37.0%</t>
  </si>
  <si>
    <t>Top 5%</t>
  </si>
  <si>
    <t>26.1%</t>
  </si>
  <si>
    <t>11.8%</t>
  </si>
  <si>
    <t>4.5%</t>
  </si>
  <si>
    <t>Source: Bruil et al. (2025), Figure 6: The effective tax rate by tax type. The unit of analysis is the individual adult and income is split equally among the adult members of a household. Adults are ranked by their pre-tax national income. Estimates are for year 2016. Values were eyeballed.</t>
  </si>
  <si>
    <t>Source: Bruil et al. (2025), Table 2: The distribution of pre and post-tax income in 2016. The unit of analysis is the adult (20+ years old) and income is split among all adult members of a household equally. Income groups are defined in terms of all adults in the population, with adults ranked according to pre-tax national income. Values were eyeballed.</t>
  </si>
  <si>
    <t>Source: Guzzardi et al. (2024), Table 4, Pre-tax National Income thresholds, averages, and shares in 2015, 18 years or older.</t>
  </si>
  <si>
    <t>P25-50</t>
  </si>
  <si>
    <t>P90-99</t>
  </si>
  <si>
    <t>Personal taxes</t>
  </si>
  <si>
    <t>Total taxes</t>
  </si>
  <si>
    <t xml:space="preserve">Source: Guzzardi et al. (2024) Figure 11, Tax rate by income percentiles, 2015 and Figure 12, Tax rate by top income percentiles, 2015. Values were eyeballed. </t>
  </si>
  <si>
    <t>Berlusconi</t>
  </si>
  <si>
    <t>The estimate for Berlusconi's tax rate is for year 2020.</t>
  </si>
  <si>
    <t>Sources: Guzzardi et al. (2024) and Bach et al. (2025). See formulas</t>
  </si>
  <si>
    <t xml:space="preserve">The individual tax rate for P99.99-Billionaires and for billionaires is calculated by extrapolating the total tax rate to individual tax rate ratio observed for P99.99-P100. </t>
  </si>
  <si>
    <t>Assumptions</t>
  </si>
  <si>
    <t>Annual nominal income growth rate</t>
  </si>
  <si>
    <t>Tax rate under reform</t>
  </si>
  <si>
    <t>Current tax rate</t>
  </si>
  <si>
    <t xml:space="preserve">Source: Palomo et al. (2025), Table A1: Descriptive Statistics of Fiscal and Economic Income. Data is for year 2019. </t>
  </si>
  <si>
    <r>
      <t xml:space="preserve">Data </t>
    </r>
    <r>
      <rPr>
        <sz val="11"/>
        <color theme="1"/>
        <rFont val="Calibri"/>
        <family val="2"/>
        <scheme val="minor"/>
      </rPr>
      <t>(2019)</t>
    </r>
  </si>
  <si>
    <r>
      <t>Simulations</t>
    </r>
    <r>
      <rPr>
        <sz val="11"/>
        <color theme="1"/>
        <rFont val="Calibri"/>
        <family val="2"/>
        <scheme val="minor"/>
      </rPr>
      <t xml:space="preserve"> (2025)</t>
    </r>
  </si>
  <si>
    <r>
      <t xml:space="preserve">Simulations </t>
    </r>
    <r>
      <rPr>
        <sz val="11"/>
        <color theme="1"/>
        <rFont val="Calibri"/>
        <family val="2"/>
        <scheme val="minor"/>
      </rPr>
      <t>(2025)</t>
    </r>
  </si>
  <si>
    <r>
      <t xml:space="preserve">Data </t>
    </r>
    <r>
      <rPr>
        <sz val="11"/>
        <color theme="1"/>
        <rFont val="Calibri"/>
        <family val="2"/>
        <scheme val="minor"/>
      </rPr>
      <t>(2016)</t>
    </r>
  </si>
  <si>
    <r>
      <t xml:space="preserve">Data </t>
    </r>
    <r>
      <rPr>
        <sz val="11"/>
        <color theme="1"/>
        <rFont val="Calibri"/>
        <family val="2"/>
        <scheme val="minor"/>
      </rPr>
      <t>(2018)</t>
    </r>
  </si>
  <si>
    <r>
      <t>Data</t>
    </r>
    <r>
      <rPr>
        <sz val="11"/>
        <color theme="1"/>
        <rFont val="Calibri"/>
        <family val="2"/>
        <scheme val="minor"/>
      </rPr>
      <t xml:space="preserve"> (2016)</t>
    </r>
  </si>
  <si>
    <r>
      <t xml:space="preserve">Data </t>
    </r>
    <r>
      <rPr>
        <sz val="11"/>
        <color theme="1"/>
        <rFont val="Calibri"/>
        <family val="2"/>
        <scheme val="minor"/>
      </rPr>
      <t>(2015)</t>
    </r>
  </si>
  <si>
    <t>Notes: The tax rate estimate for billionaires comes from one single observation (Silvio Berlusconi in 2020)</t>
  </si>
  <si>
    <t xml:space="preserve">Source: Saez &amp; Zucman (2019), Figure 1.3, Average tax rates by pre-tax income group in 2018. Data comes from SZ2019MainFigures.xlsx. Income thresholds come from SZ2019AppendixTables.xlsx, full2018 sheet. </t>
  </si>
  <si>
    <t>Income threshold (€)</t>
  </si>
  <si>
    <t>Wealth threshold (€million)</t>
  </si>
  <si>
    <t>Inverted Patero coefficient</t>
  </si>
  <si>
    <t>Note: Tax rates in Bach et al. (2025) are corrected for incorporating indirect taxes.</t>
  </si>
  <si>
    <t>Share of wealth exposed</t>
  </si>
  <si>
    <r>
      <t>Average income (</t>
    </r>
    <r>
      <rPr>
        <sz val="11"/>
        <color rgb="FF000000"/>
        <rFont val="Calibri"/>
        <family val="2"/>
      </rPr>
      <t>€</t>
    </r>
    <r>
      <rPr>
        <sz val="11"/>
        <color rgb="FF000000"/>
        <rFont val="Calibri"/>
        <family val="2"/>
        <scheme val="minor"/>
      </rPr>
      <t>)</t>
    </r>
  </si>
  <si>
    <t xml:space="preserve">Average income of the top three income groups  is calculated from the average income of the top 0,1%, to which we apply the distribution across groups observed in France (Bach et al., 2025). </t>
  </si>
  <si>
    <t>The tax rate estimate for P99.99-Billionnaires is taken equal to the mean of the tax rates for P99.9-P99.99 and for Billionaires.</t>
  </si>
  <si>
    <t xml:space="preserve">Income threshold of the top two income groups is calculated by extrapolating the average income to income threshold ratios observed in France. </t>
  </si>
  <si>
    <t xml:space="preserve">Note: For computing income threshold for the billionnaires group, </t>
  </si>
  <si>
    <t>we apply the Pareto coefficient b = 3,44 provided in Saez &amp; Zucman (2020).</t>
  </si>
  <si>
    <t xml:space="preserve">See SaezZucman2020JEPData.xlsx, sheet DataF1(Forbes). </t>
  </si>
  <si>
    <t>Demetrio Guzzardi, Elisa Palagi, Andrea Roventini, Alessandro Santoro (2024). Reconstructing Income Inequality in Italy: New Evidence and Tax System Implications from Distributional National Accounts.</t>
  </si>
  <si>
    <t xml:space="preserve">Income and wealth are assumed to be Pareto-distributed within each income group, where the Pareto coefficient is estimated from income threshold and average income in the group. </t>
  </si>
  <si>
    <t>This assumption allows a flexible choice of wealth threshold for the simulated wealth tax.</t>
  </si>
  <si>
    <t xml:space="preserve">This assumption is partially inconsistent with the previous one. Uniform income to wealth ratio implies that wealth should be bounded within each income group, and would therefore require to use a bounded Pareto distribution. </t>
  </si>
  <si>
    <t xml:space="preserve">For simplicity concerns, we stick to a standard Pareto distribution and we ignore this small modelling inconsistency. </t>
  </si>
  <si>
    <t>Italy</t>
  </si>
  <si>
    <t>Brazil</t>
  </si>
  <si>
    <t>France</t>
  </si>
  <si>
    <t>Netherlands</t>
  </si>
  <si>
    <t>Country</t>
  </si>
  <si>
    <t>Number of billionaires</t>
  </si>
  <si>
    <t>Billionaire Wealth ($B)</t>
  </si>
  <si>
    <t>Billionnaire wealth (€B)</t>
  </si>
  <si>
    <t>US</t>
  </si>
  <si>
    <t xml:space="preserve">Sources:  Real-Time Billionaire data from Forbes, retrieved on December 1, 2025. </t>
  </si>
  <si>
    <t>Income to wealth ratio</t>
  </si>
  <si>
    <t>Income threshold (R$)</t>
  </si>
  <si>
    <t>Mean income above (R$)</t>
  </si>
  <si>
    <t>R$ values are converted to USD values using the end-of-year market exchange rate of USD 1 = R$ 4.03 for 2019</t>
  </si>
  <si>
    <t>Average income (USD)</t>
  </si>
  <si>
    <t>Income threshold (USD)</t>
  </si>
  <si>
    <t>Wealth threshold (USD million)</t>
  </si>
  <si>
    <t>Extra fiscal revenues (USD million)</t>
  </si>
  <si>
    <t xml:space="preserve">Data for France comes from the 2024 ranking by Challenges. </t>
  </si>
  <si>
    <t>(calibration from "Billionaires List", probably overestimated since they are more billionnaires in the Challenges list than in the income group)</t>
  </si>
  <si>
    <t>(calibration from "Billionaires List", probably overestimated since they are more billionnaires in the Forbes list than in the income group)</t>
  </si>
  <si>
    <t>(calibration from "Billionaires List", probably quite robust since the number of billionaires in the Forbes list coincides with the number of individuals in the income group)</t>
  </si>
  <si>
    <t>(calibration from "Billionaires List", probably underestimated since they are less billionnaires in the Forbes list than in the income group)</t>
  </si>
  <si>
    <t>Gperc</t>
  </si>
  <si>
    <t>Source: US DINA files for year 2021. https://gabriel-zucman.eu/usdina/</t>
  </si>
  <si>
    <t xml:space="preserve">Balkir et al (2025) find an income to wealth ratio of 5,6% for the top 400 billionnaires. </t>
  </si>
  <si>
    <t>Income over wealth ratio is assumed uniform over each income group. It is taken equal to 6% for billionaires, 9% for the top 0.01%, 12% for the top 0.1% and 13% for the top 1%.</t>
  </si>
  <si>
    <t xml:space="preserve">This assumption is necessary for computing the wealth tax liabilities from the income data. </t>
  </si>
  <si>
    <t xml:space="preserve">For the purpose of the simulations, we extrapolate these ratios to the other countries. </t>
  </si>
  <si>
    <r>
      <rPr>
        <b/>
        <sz val="11"/>
        <color theme="1"/>
        <rFont val="Calibri"/>
        <family val="2"/>
        <scheme val="minor"/>
      </rPr>
      <t>(a)</t>
    </r>
    <r>
      <rPr>
        <sz val="11"/>
        <color theme="1"/>
        <rFont val="Calibri"/>
        <family val="2"/>
        <scheme val="minor"/>
      </rPr>
      <t xml:space="preserve"> The income to wealth ratio within each group. </t>
    </r>
  </si>
  <si>
    <r>
      <rPr>
        <b/>
        <sz val="11"/>
        <color theme="1"/>
        <rFont val="Calibri"/>
        <family val="2"/>
        <scheme val="minor"/>
      </rPr>
      <t xml:space="preserve">(b) </t>
    </r>
    <r>
      <rPr>
        <sz val="11"/>
        <color theme="1"/>
        <rFont val="Calibri"/>
        <family val="2"/>
        <scheme val="minor"/>
      </rPr>
      <t>The distribution of wealth/income within each income group.</t>
    </r>
  </si>
  <si>
    <t>US DINA files (PSZ 2018) for year 2021 show a ratio of 13% for the top1%, 12% for the top 0.1% and 9% for the top 0.01%. See 'Income to wealth ratios' sheet.</t>
  </si>
  <si>
    <t xml:space="preserve">The only country for which there exist reliable estimates of income to wealth ratios at the very top of the income distribution is the US. </t>
  </si>
  <si>
    <t>The 6% ratio for billionaires is in line with estimates obtained from average billionaire wealth reported in Billionaires lists. See 'Billionnaires List' sheet.</t>
  </si>
  <si>
    <t>ONLINE SIMULATIONS</t>
  </si>
  <si>
    <t xml:space="preserve">For each country and each income group, the 'Data' and 'Assumptions' values are provided as input to the simulations. </t>
  </si>
  <si>
    <t xml:space="preserve">The online simulator exactly replicates the simulation method implemented in this Excel file. </t>
  </si>
  <si>
    <t xml:space="preserve">The website then replicates the calculations implemented in the 'Simulations' columns, depending on the reform parameters chosen by the user. </t>
  </si>
  <si>
    <t>For any comment or suggestion, please contact Léonard Mouillet (EU Tax Observatory) : leonard.mouillet@psemail.eu</t>
  </si>
  <si>
    <t>CONTACT INFORMATION</t>
  </si>
  <si>
    <t xml:space="preserve">The present Excel file implements simulations of the effect of a minimum wealth tax on the progressivity of the tax system and on fiscal revenues, for different countries. </t>
  </si>
  <si>
    <t xml:space="preserve">The file contains one sheet per data sources, with the data which is used as input to the simulations. Specifically, we use the following studies: </t>
  </si>
  <si>
    <r>
      <rPr>
        <b/>
        <sz val="11"/>
        <color theme="1"/>
        <rFont val="Calibri"/>
        <family val="2"/>
        <scheme val="minor"/>
      </rPr>
      <t xml:space="preserve">(i) </t>
    </r>
    <r>
      <rPr>
        <sz val="11"/>
        <color theme="1"/>
        <rFont val="Calibri"/>
        <family val="2"/>
        <scheme val="minor"/>
      </rPr>
      <t>Some data tabulations describing the distribution of pre-tax income and tax rate by pre-tax income group.</t>
    </r>
  </si>
  <si>
    <r>
      <rPr>
        <b/>
        <sz val="11"/>
        <color theme="1"/>
        <rFont val="Calibri"/>
        <family val="2"/>
        <scheme val="minor"/>
      </rPr>
      <t xml:space="preserve">(ii) </t>
    </r>
    <r>
      <rPr>
        <sz val="11"/>
        <color theme="1"/>
        <rFont val="Calibri"/>
        <family val="2"/>
        <scheme val="minor"/>
      </rPr>
      <t>Some assumptions regarding the link between wealth distribution and income distribution. Specifically, we make assumptions about:</t>
    </r>
  </si>
  <si>
    <r>
      <rPr>
        <b/>
        <sz val="11"/>
        <color theme="1"/>
        <rFont val="Calibri"/>
        <family val="2"/>
        <scheme val="minor"/>
      </rPr>
      <t>Country</t>
    </r>
    <r>
      <rPr>
        <sz val="11"/>
        <color theme="1"/>
        <rFont val="Calibri"/>
        <family val="2"/>
        <scheme val="minor"/>
      </rPr>
      <t xml:space="preserve"> </t>
    </r>
  </si>
  <si>
    <r>
      <rPr>
        <b/>
        <sz val="11"/>
        <color theme="1"/>
        <rFont val="Calibri"/>
        <family val="2"/>
        <scheme val="minor"/>
      </rPr>
      <t>Percentile</t>
    </r>
    <r>
      <rPr>
        <sz val="11"/>
        <color theme="1"/>
        <rFont val="Calibri"/>
        <family val="2"/>
        <scheme val="minor"/>
      </rPr>
      <t xml:space="preserve"> </t>
    </r>
  </si>
  <si>
    <t xml:space="preserve"> Brésil</t>
  </si>
  <si>
    <t>p99.999p100</t>
  </si>
  <si>
    <t>p99.99p99.999</t>
  </si>
  <si>
    <t>p99.9p99.99</t>
  </si>
  <si>
    <t>p99p99.9</t>
  </si>
  <si>
    <t xml:space="preserve"> France</t>
  </si>
  <si>
    <t xml:space="preserve"> Italie</t>
  </si>
  <si>
    <t xml:space="preserve"> Pays-Bas</t>
  </si>
  <si>
    <t xml:space="preserve"> États-Unis</t>
  </si>
  <si>
    <t>Source: Downloaded from wid.world on 27-01-2026 at 14:09:08</t>
  </si>
  <si>
    <t>Variable aptinc_992_j</t>
  </si>
  <si>
    <t>Average Pre-tax national income within the percentile group. The population is comprised of individuals over age 20. The base unit is the individual (rather than the household) but resources are split equally within couples.</t>
  </si>
  <si>
    <t>Average pre-tax income within percentile group</t>
  </si>
  <si>
    <t>Nominal growth rate</t>
  </si>
  <si>
    <t xml:space="preserve">This assumption is necessary for ageing the values of income by group from the year they are based on to 2025, in order to compute fiscal revenues for year 2025. </t>
  </si>
  <si>
    <t xml:space="preserve">See 'WID' sheet and wid.world. </t>
  </si>
  <si>
    <r>
      <rPr>
        <b/>
        <sz val="11"/>
        <color theme="1"/>
        <rFont val="Calibri"/>
        <family val="2"/>
        <scheme val="minor"/>
      </rPr>
      <t xml:space="preserve">(iii) </t>
    </r>
    <r>
      <rPr>
        <sz val="11"/>
        <color theme="1"/>
        <rFont val="Calibri"/>
        <family val="2"/>
        <scheme val="minor"/>
      </rPr>
      <t xml:space="preserve">Some assumptions on the nominal income growth rate by income group. </t>
    </r>
  </si>
  <si>
    <t>We use nominal income growth rates by income group and by country from the World Inequality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</si>
</sst>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3" formatCode="_-* #,##0.00_-;\-* #,##0.00_-;_-* &quot;-&quot;??_-;_-@_-"/>
    <numFmt numFmtId="164" formatCode="_ * #,##0.00_)\ _$_U_S_ ;_ * \(#,##0.00\)\ _$_U_S_ ;_ * &quot;-&quot;??_)\ _$_U_S_ ;_ @_ "/>
    <numFmt numFmtId="165" formatCode="&quot;$&quot;#,##0_);\(&quot;$&quot;#,##0\)"/>
    <numFmt numFmtId="166" formatCode="General_)"/>
    <numFmt numFmtId="167" formatCode="_-* #,##0.00\ _€_-;\-* #,##0.00\ _€_-;_-* &quot;-&quot;??\ _€_-;_-@_-"/>
    <numFmt numFmtId="168" formatCode="#,##0.000"/>
    <numFmt numFmtId="169" formatCode="#,##0.0"/>
    <numFmt numFmtId="170" formatCode="#,##0.00__;\-#,##0.00__;#,##0.00__;@__"/>
    <numFmt numFmtId="171" formatCode="_ * #,##0.00_ ;_ * \-#,##0.00_ ;_ * &quot;-&quot;??_ ;_ @_ "/>
    <numFmt numFmtId="172" formatCode="_ * #,##0.00_)\ _€_ ;_ * \(#,##0.00\)\ _€_ ;_ * &quot;-&quot;??_)\ _€_ ;_ @_ "/>
    <numFmt numFmtId="173" formatCode="\$#,##0\ ;\(\$#,##0\)"/>
    <numFmt numFmtId="174" formatCode="0.0%"/>
    <numFmt numFmtId="175" formatCode="_-* #,##0.00\ _z_ł_-;\-* #,##0.00\ _z_ł_-;_-* &quot;-&quot;??\ _z_ł_-;_-@_-"/>
    <numFmt numFmtId="176" formatCode="#,##0;[Red]#,##0"/>
    <numFmt numFmtId="177" formatCode="0.0"/>
    <numFmt numFmtId="178" formatCode="_-* #,##0.00\ _k_r_._-;\-* #,##0.00\ _k_r_._-;_-* &quot;-&quot;??\ _k_r_._-;_-@_-"/>
    <numFmt numFmtId="179" formatCode="_(&quot;$&quot;* #,##0.00_);_(&quot;$&quot;* \(#,##0.00\);_(&quot;$&quot;* &quot;-&quot;??_);_(@_)"/>
    <numFmt numFmtId="180" formatCode="0.000%"/>
    <numFmt numFmtId="181" formatCode="_-* #,##0_-;\-* #,##0_-;_-* &quot;-&quot;??_-;_-@_-"/>
    <numFmt numFmtId="182" formatCode="_-* #,##0\ _€_-;\-* #,##0\ _€_-;_-* &quot;-&quot;?\ _€_-;_-@_-"/>
    <numFmt numFmtId="183" formatCode="_-* #,##0.0_-;\-* #,##0.0_-;_-* &quot;-&quot;??_-;_-@_-"/>
    <numFmt numFmtId="184" formatCode="0.000"/>
  </numFmts>
  <fonts count="91">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12"/>
      <color theme="1"/>
      <name val="Calibri"/>
      <family val="2"/>
      <charset val="129"/>
      <scheme val="minor"/>
    </font>
    <font>
      <sz val="11"/>
      <color indexed="8"/>
      <name val="Calibri"/>
      <family val="2"/>
    </font>
    <font>
      <sz val="11"/>
      <color indexed="9"/>
      <name val="Calibri"/>
      <family val="2"/>
    </font>
    <font>
      <sz val="11"/>
      <color indexed="20"/>
      <name val="Calibri"/>
      <family val="2"/>
    </font>
    <font>
      <sz val="9"/>
      <color indexed="9"/>
      <name val="Times"/>
      <family val="1"/>
    </font>
    <font>
      <b/>
      <sz val="11"/>
      <color indexed="52"/>
      <name val="Calibri"/>
      <family val="2"/>
    </font>
    <font>
      <b/>
      <sz val="11"/>
      <color indexed="9"/>
      <name val="Calibri"/>
      <family val="2"/>
    </font>
    <font>
      <sz val="9"/>
      <color indexed="8"/>
      <name val="Times"/>
      <family val="1"/>
    </font>
    <font>
      <sz val="10"/>
      <name val="Arial"/>
    </font>
    <font>
      <sz val="12"/>
      <color indexed="24"/>
      <name val="Arial"/>
    </font>
    <font>
      <sz val="8"/>
      <name val="Helvetica"/>
    </font>
    <font>
      <b/>
      <sz val="8"/>
      <color indexed="24"/>
      <name val="Times New Roman"/>
      <charset val="161"/>
    </font>
    <font>
      <sz val="8"/>
      <color indexed="24"/>
      <name val="Times New Roman"/>
      <charset val="161"/>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u/>
      <sz val="12"/>
      <color indexed="12"/>
      <name val="Calibri"/>
      <family val="2"/>
    </font>
    <font>
      <sz val="11"/>
      <color indexed="52"/>
      <name val="Calibri"/>
      <family val="2"/>
    </font>
    <font>
      <sz val="11"/>
      <color indexed="60"/>
      <name val="Calibri"/>
      <family val="2"/>
    </font>
    <font>
      <sz val="12"/>
      <color theme="1"/>
      <name val="Calibri"/>
      <family val="2"/>
      <scheme val="minor"/>
    </font>
    <font>
      <sz val="11"/>
      <name val="Calibri"/>
    </font>
    <font>
      <sz val="12"/>
      <color indexed="8"/>
      <name val="Calibri"/>
      <family val="2"/>
    </font>
    <font>
      <sz val="10"/>
      <name val="Verdana"/>
    </font>
    <font>
      <sz val="9"/>
      <name val="Times New Roman"/>
      <family val="1"/>
    </font>
    <font>
      <sz val="10"/>
      <color indexed="8"/>
      <name val="Times"/>
      <family val="1"/>
    </font>
    <font>
      <sz val="9"/>
      <name val="Times"/>
    </font>
    <font>
      <sz val="12"/>
      <name val="Arial CE"/>
    </font>
    <font>
      <b/>
      <sz val="11"/>
      <color indexed="63"/>
      <name val="Calibri"/>
      <family val="2"/>
    </font>
    <font>
      <sz val="7"/>
      <name val="Helvetica"/>
    </font>
    <font>
      <b/>
      <sz val="18"/>
      <color indexed="56"/>
      <name val="Cambria"/>
      <family val="2"/>
    </font>
    <font>
      <sz val="11"/>
      <color indexed="10"/>
      <name val="Calibri"/>
      <family val="2"/>
    </font>
    <font>
      <sz val="10"/>
      <name val="Times"/>
      <family val="1"/>
    </font>
    <font>
      <sz val="11"/>
      <name val="Arial"/>
    </font>
    <font>
      <u/>
      <sz val="12"/>
      <color theme="10"/>
      <name val="Arial"/>
      <family val="2"/>
    </font>
    <font>
      <b/>
      <sz val="15"/>
      <color theme="3"/>
      <name val="Arial"/>
      <family val="2"/>
    </font>
    <font>
      <b/>
      <sz val="13"/>
      <color theme="3"/>
      <name val="Arial"/>
      <family val="2"/>
    </font>
    <font>
      <b/>
      <sz val="11"/>
      <color theme="3"/>
      <name val="Arial"/>
      <family val="2"/>
    </font>
    <font>
      <sz val="10"/>
      <color theme="1"/>
      <name val="Arial"/>
      <family val="2"/>
    </font>
    <font>
      <sz val="10"/>
      <color theme="0"/>
      <name val="Arial"/>
      <family val="2"/>
    </font>
    <font>
      <sz val="10"/>
      <color rgb="FF9C0006"/>
      <name val="Arial"/>
      <family val="2"/>
    </font>
    <font>
      <b/>
      <sz val="10"/>
      <color rgb="FFFA7D00"/>
      <name val="Arial"/>
      <family val="2"/>
    </font>
    <font>
      <b/>
      <sz val="10"/>
      <color theme="0"/>
      <name val="Arial"/>
      <family val="2"/>
    </font>
    <font>
      <i/>
      <sz val="10"/>
      <color rgb="FF7F7F7F"/>
      <name val="Arial"/>
      <family val="2"/>
    </font>
    <font>
      <sz val="10"/>
      <color rgb="FF006100"/>
      <name val="Arial"/>
      <family val="2"/>
    </font>
    <font>
      <u/>
      <sz val="10"/>
      <color indexed="12"/>
      <name val="Verdana"/>
      <family val="2"/>
    </font>
    <font>
      <sz val="10"/>
      <color rgb="FF3F3F76"/>
      <name val="Arial"/>
      <family val="2"/>
    </font>
    <font>
      <sz val="10"/>
      <color rgb="FFFA7D00"/>
      <name val="Arial"/>
      <family val="2"/>
    </font>
    <font>
      <sz val="10"/>
      <color rgb="FF9C6500"/>
      <name val="Arial"/>
      <family val="2"/>
    </font>
    <font>
      <sz val="12"/>
      <color theme="1"/>
      <name val="Garamond"/>
      <family val="2"/>
    </font>
    <font>
      <b/>
      <sz val="10"/>
      <color rgb="FF3F3F3F"/>
      <name val="Arial"/>
      <family val="2"/>
    </font>
    <font>
      <b/>
      <sz val="10"/>
      <color theme="1"/>
      <name val="Arial"/>
      <family val="2"/>
    </font>
    <font>
      <sz val="10"/>
      <color rgb="FFFF0000"/>
      <name val="Arial"/>
      <family val="2"/>
    </font>
    <font>
      <sz val="11"/>
      <color indexed="8"/>
      <name val="Calibri"/>
      <family val="2"/>
      <scheme val="minor"/>
    </font>
    <font>
      <sz val="11"/>
      <name val="Calibri"/>
      <family val="2"/>
      <scheme val="minor"/>
    </font>
    <font>
      <b/>
      <sz val="12"/>
      <color theme="1"/>
      <name val="Calibri"/>
      <family val="2"/>
      <scheme val="minor"/>
    </font>
    <font>
      <sz val="11"/>
      <color rgb="FF000000"/>
      <name val="Calibri"/>
      <family val="2"/>
      <scheme val="minor"/>
    </font>
    <font>
      <b/>
      <sz val="11"/>
      <name val="Calibri"/>
      <family val="2"/>
      <scheme val="minor"/>
    </font>
    <font>
      <i/>
      <sz val="11"/>
      <color theme="1"/>
      <name val="Calibri"/>
      <family val="2"/>
      <scheme val="minor"/>
    </font>
    <font>
      <sz val="11"/>
      <name val="Arial"/>
      <family val="2"/>
    </font>
    <font>
      <sz val="10"/>
      <color theme="1"/>
      <name val="Calibri"/>
      <family val="2"/>
      <scheme val="minor"/>
    </font>
    <font>
      <b/>
      <sz val="11"/>
      <color rgb="FF000000"/>
      <name val="Calibri"/>
      <family val="2"/>
      <scheme val="minor"/>
    </font>
    <font>
      <sz val="10"/>
      <name val="Arial"/>
      <family val="2"/>
    </font>
    <font>
      <sz val="12"/>
      <color indexed="24"/>
      <name val="Arial"/>
      <family val="2"/>
    </font>
    <font>
      <b/>
      <sz val="8"/>
      <color indexed="24"/>
      <name val="Times New Roman"/>
      <family val="1"/>
    </font>
    <font>
      <sz val="8"/>
      <color indexed="24"/>
      <name val="Times New Roman"/>
      <family val="1"/>
    </font>
    <font>
      <sz val="11"/>
      <name val="Calibri"/>
      <family val="2"/>
    </font>
    <font>
      <sz val="10"/>
      <name val="Verdana"/>
      <family val="2"/>
    </font>
    <font>
      <b/>
      <sz val="11"/>
      <color theme="4" tint="-0.499984740745262"/>
      <name val="Calibri"/>
      <family val="2"/>
      <scheme val="minor"/>
    </font>
    <font>
      <b/>
      <sz val="11"/>
      <color theme="4" tint="0.39997558519241921"/>
      <name val="Calibri"/>
      <family val="2"/>
      <scheme val="minor"/>
    </font>
    <font>
      <b/>
      <sz val="11"/>
      <color rgb="FFC00000"/>
      <name val="Calibri"/>
      <family val="2"/>
      <scheme val="minor"/>
    </font>
    <font>
      <b/>
      <sz val="11"/>
      <color theme="5"/>
      <name val="Calibri"/>
      <family val="2"/>
      <scheme val="minor"/>
    </font>
    <font>
      <b/>
      <sz val="11"/>
      <color rgb="FFFF6565"/>
      <name val="Calibri"/>
      <family val="2"/>
      <scheme val="minor"/>
    </font>
    <font>
      <b/>
      <sz val="11"/>
      <color theme="5" tint="0.59999389629810485"/>
      <name val="Calibri"/>
      <family val="2"/>
      <scheme val="minor"/>
    </font>
    <font>
      <b/>
      <sz val="11"/>
      <color theme="9" tint="0.59999389629810485"/>
      <name val="Calibri"/>
      <family val="2"/>
      <scheme val="minor"/>
    </font>
    <font>
      <b/>
      <sz val="11"/>
      <color theme="9" tint="-0.249977111117893"/>
      <name val="Calibri"/>
      <family val="2"/>
      <scheme val="minor"/>
    </font>
    <font>
      <b/>
      <sz val="16"/>
      <color theme="1"/>
      <name val="Calibri"/>
      <family val="2"/>
      <scheme val="minor"/>
    </font>
    <font>
      <i/>
      <sz val="11"/>
      <name val="Calibri"/>
      <family val="2"/>
      <scheme val="minor"/>
    </font>
    <font>
      <b/>
      <sz val="11"/>
      <color rgb="FF800080"/>
      <name val="Calibri"/>
      <family val="2"/>
      <scheme val="minor"/>
    </font>
    <font>
      <b/>
      <sz val="11"/>
      <color rgb="FFCC3399"/>
      <name val="Calibri"/>
      <family val="2"/>
      <scheme val="minor"/>
    </font>
    <font>
      <sz val="9"/>
      <color theme="1"/>
      <name val="Calibri"/>
      <family val="2"/>
      <scheme val="minor"/>
    </font>
    <font>
      <sz val="11"/>
      <color rgb="FF000000"/>
      <name val="Calibri"/>
      <family val="2"/>
    </font>
    <font>
      <sz val="10"/>
      <name val="Calibri"/>
      <family val="2"/>
      <scheme val="minor"/>
    </font>
    <font>
      <b/>
      <sz val="11"/>
      <name val="Calibri"/>
      <family val="2"/>
    </font>
    <font>
      <sz val="11"/>
      <color theme="2" tint="-0.249977111117893"/>
      <name val="Calibri"/>
      <family val="2"/>
      <scheme val="minor"/>
    </font>
  </fonts>
  <fills count="5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26"/>
      </patternFill>
    </fill>
    <fill>
      <patternFill patternType="solid">
        <fgColor indexed="43"/>
      </patternFill>
    </fill>
    <fill>
      <patternFill patternType="solid">
        <fgColor theme="2" tint="-9.9978637043366805E-2"/>
        <bgColor indexed="64"/>
      </patternFill>
    </fill>
    <fill>
      <patternFill patternType="solid">
        <fgColor theme="2"/>
        <bgColor indexed="64"/>
      </patternFill>
    </fill>
    <fill>
      <patternFill patternType="solid">
        <fgColor theme="2" tint="-0.249977111117893"/>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top/>
      <bottom/>
      <diagonal/>
    </border>
  </borders>
  <cellStyleXfs count="43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36" borderId="0" applyNumberFormat="0" applyBorder="0" applyAlignment="0" applyProtection="0"/>
    <xf numFmtId="0" fontId="5" fillId="39" borderId="0" applyNumberFormat="0" applyBorder="0" applyAlignment="0" applyProtection="0"/>
    <xf numFmtId="0" fontId="5" fillId="42" borderId="0" applyNumberFormat="0" applyBorder="0" applyAlignment="0" applyProtection="0"/>
    <xf numFmtId="0" fontId="6" fillId="43"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7" fillId="34" borderId="0" applyNumberFormat="0" applyBorder="0" applyAlignment="0" applyProtection="0"/>
    <xf numFmtId="166" fontId="8" fillId="0" borderId="0">
      <alignment vertical="top"/>
    </xf>
    <xf numFmtId="0" fontId="9" fillId="47" borderId="10" applyNumberFormat="0" applyAlignment="0" applyProtection="0"/>
    <xf numFmtId="0" fontId="10" fillId="48" borderId="11" applyNumberFormat="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3" fontId="11" fillId="0" borderId="0" applyFill="0" applyBorder="0">
      <alignment horizontal="right" vertical="top"/>
    </xf>
    <xf numFmtId="168" fontId="11" fillId="0" borderId="0" applyFill="0" applyBorder="0">
      <alignment horizontal="right" vertical="top"/>
    </xf>
    <xf numFmtId="3" fontId="11" fillId="0" borderId="0" applyFill="0" applyBorder="0">
      <alignment horizontal="right" vertical="top"/>
    </xf>
    <xf numFmtId="169" fontId="8" fillId="0" borderId="0" applyFont="0" applyFill="0" applyBorder="0">
      <alignment horizontal="right" vertical="top"/>
    </xf>
    <xf numFmtId="170" fontId="11" fillId="0" borderId="0" applyFont="0" applyFill="0" applyBorder="0" applyAlignment="0" applyProtection="0">
      <alignment horizontal="right" vertical="top"/>
    </xf>
    <xf numFmtId="168" fontId="11" fillId="0" borderId="0">
      <alignment horizontal="right" vertical="top"/>
    </xf>
    <xf numFmtId="3" fontId="12" fillId="0" borderId="0" applyFont="0" applyFill="0" applyBorder="0" applyAlignment="0" applyProtection="0"/>
    <xf numFmtId="0" fontId="5" fillId="49" borderId="12" applyNumberFormat="0" applyFont="0" applyAlignment="0" applyProtection="0"/>
    <xf numFmtId="165" fontId="12" fillId="0" borderId="0" applyFont="0" applyFill="0" applyBorder="0" applyAlignment="0" applyProtection="0"/>
    <xf numFmtId="0" fontId="13" fillId="0" borderId="0" applyFont="0" applyFill="0" applyBorder="0" applyAlignment="0" applyProtection="0"/>
    <xf numFmtId="171" fontId="14"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3" fontId="13" fillId="0" borderId="0" applyFont="0" applyFill="0" applyBorder="0" applyAlignment="0" applyProtection="0"/>
    <xf numFmtId="2" fontId="12" fillId="0" borderId="0" applyFont="0" applyFill="0" applyBorder="0" applyAlignment="0" applyProtection="0"/>
    <xf numFmtId="0" fontId="18" fillId="35" borderId="0" applyNumberFormat="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22" fillId="38" borderId="10" applyNumberFormat="0" applyAlignment="0" applyProtection="0"/>
    <xf numFmtId="0" fontId="23" fillId="0" borderId="0" applyNumberFormat="0" applyFill="0" applyBorder="0" applyAlignment="0" applyProtection="0"/>
    <xf numFmtId="0" fontId="24" fillId="0" borderId="16" applyNumberFormat="0" applyFill="0" applyAlignment="0" applyProtection="0"/>
    <xf numFmtId="172" fontId="3" fillId="0" borderId="0" applyFont="0" applyFill="0" applyBorder="0" applyAlignment="0" applyProtection="0"/>
    <xf numFmtId="173" fontId="13" fillId="0" borderId="0" applyFont="0" applyFill="0" applyBorder="0" applyAlignment="0" applyProtection="0"/>
    <xf numFmtId="0" fontId="12" fillId="0" borderId="0"/>
    <xf numFmtId="0" fontId="25" fillId="50" borderId="0" applyNumberFormat="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26" fillId="0" borderId="0"/>
    <xf numFmtId="0" fontId="26" fillId="0" borderId="0"/>
    <xf numFmtId="0" fontId="3" fillId="0" borderId="0"/>
    <xf numFmtId="0" fontId="26" fillId="0" borderId="0"/>
    <xf numFmtId="0" fontId="1" fillId="0" borderId="0"/>
    <xf numFmtId="0" fontId="3" fillId="0" borderId="0"/>
    <xf numFmtId="0" fontId="13" fillId="0" borderId="0"/>
    <xf numFmtId="0" fontId="13" fillId="0" borderId="0"/>
    <xf numFmtId="0" fontId="12" fillId="0" borderId="0"/>
    <xf numFmtId="0" fontId="3" fillId="0" borderId="0"/>
    <xf numFmtId="0" fontId="3" fillId="0" borderId="0"/>
    <xf numFmtId="0" fontId="3" fillId="0" borderId="0"/>
    <xf numFmtId="0" fontId="27" fillId="0" borderId="0"/>
    <xf numFmtId="0" fontId="12" fillId="0" borderId="0"/>
    <xf numFmtId="0" fontId="28" fillId="0" borderId="0"/>
    <xf numFmtId="0" fontId="29" fillId="0" borderId="0"/>
    <xf numFmtId="0" fontId="12" fillId="0" borderId="0"/>
    <xf numFmtId="0" fontId="26" fillId="0" borderId="0"/>
    <xf numFmtId="0" fontId="26" fillId="0" borderId="0"/>
    <xf numFmtId="0" fontId="1" fillId="0" borderId="0"/>
    <xf numFmtId="0" fontId="12" fillId="0" borderId="0"/>
    <xf numFmtId="0" fontId="26" fillId="0" borderId="0"/>
    <xf numFmtId="0" fontId="3" fillId="0" borderId="0"/>
    <xf numFmtId="0" fontId="3" fillId="0" borderId="0"/>
    <xf numFmtId="0" fontId="3" fillId="0" borderId="0"/>
    <xf numFmtId="0" fontId="3" fillId="0" borderId="0"/>
    <xf numFmtId="0" fontId="30" fillId="0" borderId="17" applyNumberFormat="0" applyFill="0" applyAlignment="0" applyProtection="0"/>
    <xf numFmtId="1" fontId="8" fillId="0" borderId="0">
      <alignment vertical="top" wrapText="1"/>
    </xf>
    <xf numFmtId="1" fontId="31" fillId="0" borderId="0" applyFill="0" applyBorder="0" applyProtection="0"/>
    <xf numFmtId="1" fontId="30" fillId="0" borderId="0" applyFont="0" applyFill="0" applyBorder="0" applyProtection="0">
      <alignment vertical="center"/>
    </xf>
    <xf numFmtId="1" fontId="32" fillId="0" borderId="0">
      <alignment horizontal="right" vertical="top"/>
    </xf>
    <xf numFmtId="1" fontId="11" fillId="0" borderId="0" applyNumberFormat="0" applyFill="0" applyBorder="0">
      <alignment vertical="top"/>
    </xf>
    <xf numFmtId="0" fontId="33" fillId="0" borderId="0"/>
    <xf numFmtId="0" fontId="12" fillId="49" borderId="12" applyNumberFormat="0" applyFont="0" applyAlignment="0" applyProtection="0"/>
    <xf numFmtId="0" fontId="34" fillId="47" borderId="18"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167" fontId="12"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6"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18" fillId="35" borderId="0" applyNumberFormat="0" applyBorder="0" applyAlignment="0" applyProtection="0"/>
    <xf numFmtId="0" fontId="12" fillId="0" borderId="0"/>
    <xf numFmtId="0" fontId="12" fillId="0" borderId="0"/>
    <xf numFmtId="2" fontId="12" fillId="0" borderId="0" applyFont="0" applyFill="0" applyBorder="0" applyProtection="0">
      <alignment horizontal="right"/>
    </xf>
    <xf numFmtId="2" fontId="12" fillId="0" borderId="0" applyFont="0" applyFill="0" applyBorder="0" applyProtection="0">
      <alignment horizontal="right"/>
    </xf>
    <xf numFmtId="0" fontId="35" fillId="0" borderId="19">
      <alignment horizontal="center"/>
    </xf>
    <xf numFmtId="49" fontId="11" fillId="0" borderId="0" applyFill="0" applyBorder="0" applyAlignment="0" applyProtection="0">
      <alignment vertical="top"/>
    </xf>
    <xf numFmtId="0" fontId="36" fillId="0" borderId="0" applyNumberFormat="0" applyFill="0" applyBorder="0" applyAlignment="0" applyProtection="0"/>
    <xf numFmtId="0" fontId="36" fillId="0" borderId="0" applyNumberFormat="0" applyFill="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10" fillId="48" borderId="11" applyNumberFormat="0" applyAlignment="0" applyProtection="0"/>
    <xf numFmtId="2" fontId="13" fillId="0" borderId="0" applyFont="0" applyFill="0" applyBorder="0" applyAlignment="0" applyProtection="0"/>
    <xf numFmtId="0" fontId="37" fillId="0" borderId="0" applyNumberFormat="0" applyFill="0" applyBorder="0" applyAlignment="0" applyProtection="0"/>
    <xf numFmtId="1" fontId="38" fillId="0" borderId="0">
      <alignment vertical="top" wrapText="1"/>
    </xf>
    <xf numFmtId="9" fontId="3" fillId="0" borderId="0" applyFont="0" applyFill="0" applyBorder="0" applyAlignment="0" applyProtection="0"/>
    <xf numFmtId="9" fontId="3" fillId="0" borderId="0" applyFont="0" applyFill="0" applyBorder="0" applyAlignment="0" applyProtection="0"/>
    <xf numFmtId="0" fontId="44" fillId="10" borderId="0" applyNumberFormat="0" applyBorder="0" applyAlignment="0" applyProtection="0"/>
    <xf numFmtId="0" fontId="44" fillId="14" borderId="0" applyNumberFormat="0" applyBorder="0" applyAlignment="0" applyProtection="0"/>
    <xf numFmtId="0" fontId="44" fillId="18" borderId="0" applyNumberFormat="0" applyBorder="0" applyAlignment="0" applyProtection="0"/>
    <xf numFmtId="0" fontId="44" fillId="22" borderId="0" applyNumberFormat="0" applyBorder="0" applyAlignment="0" applyProtection="0"/>
    <xf numFmtId="0" fontId="44" fillId="26" borderId="0" applyNumberFormat="0" applyBorder="0" applyAlignment="0" applyProtection="0"/>
    <xf numFmtId="0" fontId="44" fillId="30" borderId="0" applyNumberFormat="0" applyBorder="0" applyAlignment="0" applyProtection="0"/>
    <xf numFmtId="0" fontId="44" fillId="11" borderId="0" applyNumberFormat="0" applyBorder="0" applyAlignment="0" applyProtection="0"/>
    <xf numFmtId="0" fontId="44" fillId="15" borderId="0" applyNumberFormat="0" applyBorder="0" applyAlignment="0" applyProtection="0"/>
    <xf numFmtId="0" fontId="44" fillId="19" borderId="0" applyNumberFormat="0" applyBorder="0" applyAlignment="0" applyProtection="0"/>
    <xf numFmtId="0" fontId="44" fillId="23" borderId="0" applyNumberFormat="0" applyBorder="0" applyAlignment="0" applyProtection="0"/>
    <xf numFmtId="0" fontId="44" fillId="27" borderId="0" applyNumberFormat="0" applyBorder="0" applyAlignment="0" applyProtection="0"/>
    <xf numFmtId="0" fontId="44" fillId="31" borderId="0" applyNumberFormat="0" applyBorder="0" applyAlignment="0" applyProtection="0"/>
    <xf numFmtId="0" fontId="45" fillId="12" borderId="0" applyNumberFormat="0" applyBorder="0" applyAlignment="0" applyProtection="0"/>
    <xf numFmtId="0" fontId="45" fillId="16" borderId="0" applyNumberFormat="0" applyBorder="0" applyAlignment="0" applyProtection="0"/>
    <xf numFmtId="0" fontId="45" fillId="20" borderId="0" applyNumberFormat="0" applyBorder="0" applyAlignment="0" applyProtection="0"/>
    <xf numFmtId="0" fontId="45" fillId="24" borderId="0" applyNumberFormat="0" applyBorder="0" applyAlignment="0" applyProtection="0"/>
    <xf numFmtId="0" fontId="45" fillId="28" borderId="0" applyNumberFormat="0" applyBorder="0" applyAlignment="0" applyProtection="0"/>
    <xf numFmtId="0" fontId="45" fillId="32" borderId="0" applyNumberFormat="0" applyBorder="0" applyAlignment="0" applyProtection="0"/>
    <xf numFmtId="0" fontId="45" fillId="9" borderId="0" applyNumberFormat="0" applyBorder="0" applyAlignment="0" applyProtection="0"/>
    <xf numFmtId="0" fontId="45" fillId="13" borderId="0" applyNumberFormat="0" applyBorder="0" applyAlignment="0" applyProtection="0"/>
    <xf numFmtId="0" fontId="45" fillId="17" borderId="0" applyNumberFormat="0" applyBorder="0" applyAlignment="0" applyProtection="0"/>
    <xf numFmtId="0" fontId="45" fillId="21" borderId="0" applyNumberFormat="0" applyBorder="0" applyAlignment="0" applyProtection="0"/>
    <xf numFmtId="0" fontId="45" fillId="25" borderId="0" applyNumberFormat="0" applyBorder="0" applyAlignment="0" applyProtection="0"/>
    <xf numFmtId="0" fontId="45" fillId="29" borderId="0" applyNumberFormat="0" applyBorder="0" applyAlignment="0" applyProtection="0"/>
    <xf numFmtId="0" fontId="46" fillId="3" borderId="0" applyNumberFormat="0" applyBorder="0" applyAlignment="0" applyProtection="0"/>
    <xf numFmtId="0" fontId="47" fillId="6" borderId="4" applyNumberFormat="0" applyAlignment="0" applyProtection="0"/>
    <xf numFmtId="0" fontId="48" fillId="7" borderId="7" applyNumberFormat="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5" fontId="39" fillId="0" borderId="0" applyFont="0" applyFill="0" applyBorder="0" applyAlignment="0" applyProtection="0"/>
    <xf numFmtId="171" fontId="1" fillId="0" borderId="0" applyFont="0" applyFill="0" applyBorder="0" applyAlignment="0" applyProtection="0"/>
    <xf numFmtId="0" fontId="13"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49" fillId="0" borderId="0" applyNumberFormat="0" applyFill="0" applyBorder="0" applyAlignment="0" applyProtection="0"/>
    <xf numFmtId="3" fontId="13" fillId="0" borderId="0" applyFont="0" applyFill="0" applyBorder="0" applyAlignment="0" applyProtection="0"/>
    <xf numFmtId="0" fontId="50" fillId="2" borderId="0" applyNumberFormat="0" applyBorder="0" applyAlignment="0" applyProtection="0"/>
    <xf numFmtId="0" fontId="41" fillId="0" borderId="1" applyNumberFormat="0" applyFill="0" applyAlignment="0" applyProtection="0"/>
    <xf numFmtId="0" fontId="42" fillId="0" borderId="2" applyNumberFormat="0" applyFill="0" applyAlignment="0" applyProtection="0"/>
    <xf numFmtId="0" fontId="43" fillId="0" borderId="3" applyNumberFormat="0" applyFill="0" applyAlignment="0" applyProtection="0"/>
    <xf numFmtId="0" fontId="43"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5" borderId="4" applyNumberFormat="0" applyAlignment="0" applyProtection="0"/>
    <xf numFmtId="0" fontId="53" fillId="0" borderId="6" applyNumberFormat="0" applyFill="0" applyAlignment="0" applyProtection="0"/>
    <xf numFmtId="173" fontId="13" fillId="0" borderId="0" applyFont="0" applyFill="0" applyBorder="0" applyAlignment="0" applyProtection="0"/>
    <xf numFmtId="0" fontId="54" fillId="4" borderId="0" applyNumberFormat="0" applyBorder="0" applyAlignment="0" applyProtection="0"/>
    <xf numFmtId="0" fontId="1" fillId="0" borderId="0"/>
    <xf numFmtId="0" fontId="1" fillId="0" borderId="0"/>
    <xf numFmtId="0" fontId="1" fillId="0" borderId="0"/>
    <xf numFmtId="0" fontId="12" fillId="0" borderId="0"/>
    <xf numFmtId="0" fontId="1" fillId="0" borderId="0"/>
    <xf numFmtId="0" fontId="1" fillId="0" borderId="0"/>
    <xf numFmtId="176" fontId="12" fillId="0" borderId="0" applyNumberFormat="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Fill="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 fillId="0" borderId="0"/>
    <xf numFmtId="0" fontId="1" fillId="0" borderId="0"/>
    <xf numFmtId="0" fontId="26" fillId="0" borderId="0"/>
    <xf numFmtId="0" fontId="12" fillId="0" borderId="0"/>
    <xf numFmtId="0" fontId="1" fillId="0" borderId="0"/>
    <xf numFmtId="0" fontId="1" fillId="0" borderId="0"/>
    <xf numFmtId="0" fontId="1" fillId="0" borderId="0"/>
    <xf numFmtId="0" fontId="1" fillId="0" borderId="0"/>
    <xf numFmtId="0" fontId="12" fillId="0" borderId="0"/>
    <xf numFmtId="0" fontId="1" fillId="0" borderId="0"/>
    <xf numFmtId="0" fontId="26" fillId="0" borderId="0"/>
    <xf numFmtId="0" fontId="5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44" fillId="8" borderId="8" applyNumberFormat="0" applyFont="0" applyAlignment="0" applyProtection="0"/>
    <xf numFmtId="0" fontId="1" fillId="8" borderId="8" applyNumberFormat="0" applyFont="0" applyAlignment="0" applyProtection="0"/>
    <xf numFmtId="0" fontId="56" fillId="6" borderId="5" applyNumberFormat="0" applyAlignment="0" applyProtection="0"/>
    <xf numFmtId="9" fontId="1" fillId="0" borderId="0" applyFont="0" applyFill="0" applyBorder="0" applyAlignment="0" applyProtection="0"/>
    <xf numFmtId="9" fontId="1" fillId="0" borderId="0" applyFont="0" applyFill="0" applyBorder="0" applyAlignment="0" applyProtection="0"/>
    <xf numFmtId="9" fontId="2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5"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9"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6" fillId="0" borderId="0" applyFont="0" applyFill="0" applyBorder="0" applyAlignment="0" applyProtection="0"/>
    <xf numFmtId="0" fontId="57" fillId="0" borderId="9" applyNumberFormat="0" applyFill="0" applyAlignment="0" applyProtection="0"/>
    <xf numFmtId="2" fontId="13" fillId="0" borderId="0" applyFont="0" applyFill="0" applyBorder="0" applyAlignment="0" applyProtection="0"/>
    <xf numFmtId="0" fontId="58" fillId="0" borderId="0" applyNumberFormat="0" applyFill="0" applyBorder="0" applyAlignment="0" applyProtection="0"/>
    <xf numFmtId="176" fontId="12" fillId="0" borderId="0" applyNumberFormat="0" applyFont="0" applyFill="0" applyBorder="0" applyAlignment="0" applyProtection="0"/>
    <xf numFmtId="0" fontId="12" fillId="0" borderId="0"/>
    <xf numFmtId="171" fontId="68" fillId="0" borderId="0" applyFont="0" applyFill="0" applyBorder="0" applyAlignment="0" applyProtection="0"/>
    <xf numFmtId="9" fontId="72"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2" fillId="0" borderId="0" applyFont="0" applyFill="0" applyBorder="0" applyAlignment="0" applyProtection="0"/>
    <xf numFmtId="178" fontId="12" fillId="0" borderId="0" applyFont="0" applyFill="0" applyBorder="0" applyAlignment="0" applyProtection="0"/>
    <xf numFmtId="171" fontId="55"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40" fillId="0" borderId="0" applyNumberFormat="0" applyFill="0" applyBorder="0" applyAlignment="0" applyProtection="0"/>
    <xf numFmtId="171" fontId="12" fillId="0" borderId="0" applyFont="0" applyFill="0" applyBorder="0" applyAlignment="0" applyProtection="0"/>
    <xf numFmtId="0" fontId="3" fillId="0" borderId="0"/>
    <xf numFmtId="0" fontId="3" fillId="0" borderId="0"/>
    <xf numFmtId="0" fontId="3" fillId="0" borderId="0"/>
    <xf numFmtId="0" fontId="3" fillId="0" borderId="0"/>
    <xf numFmtId="9" fontId="4" fillId="0" borderId="0" applyFont="0" applyFill="0" applyBorder="0" applyAlignment="0" applyProtection="0"/>
    <xf numFmtId="9" fontId="1" fillId="0" borderId="0" applyFont="0" applyFill="0" applyBorder="0" applyAlignment="0" applyProtection="0"/>
    <xf numFmtId="9" fontId="4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9" fillId="0" borderId="0" applyFont="0" applyFill="0" applyBorder="0" applyAlignment="0" applyProtection="0"/>
    <xf numFmtId="9" fontId="27"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0" fontId="3" fillId="0" borderId="0"/>
    <xf numFmtId="0" fontId="4" fillId="0" borderId="0"/>
    <xf numFmtId="164" fontId="3" fillId="0" borderId="0" applyFont="0" applyFill="0" applyBorder="0" applyAlignment="0" applyProtection="0"/>
    <xf numFmtId="0" fontId="3" fillId="0" borderId="0"/>
    <xf numFmtId="0" fontId="68" fillId="0" borderId="0"/>
    <xf numFmtId="176" fontId="68" fillId="0" borderId="0" applyNumberFormat="0" applyFont="0" applyFill="0" applyBorder="0" applyAlignment="0" applyProtection="0"/>
    <xf numFmtId="2" fontId="69"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68" fillId="0" borderId="0" applyFont="0" applyFill="0" applyBorder="0" applyAlignment="0" applyProtection="0"/>
    <xf numFmtId="9" fontId="65" fillId="0" borderId="0" applyFont="0" applyFill="0" applyBorder="0" applyAlignment="0" applyProtection="0"/>
    <xf numFmtId="9" fontId="73" fillId="0" borderId="0" applyFont="0" applyFill="0" applyBorder="0" applyAlignment="0" applyProtection="0"/>
    <xf numFmtId="0" fontId="59" fillId="0" borderId="0"/>
    <xf numFmtId="0" fontId="68" fillId="0" borderId="0"/>
    <xf numFmtId="0" fontId="68" fillId="0" borderId="0"/>
    <xf numFmtId="0" fontId="68" fillId="0" borderId="0"/>
    <xf numFmtId="176" fontId="68" fillId="0" borderId="0" applyNumberFormat="0" applyFont="0" applyFill="0" applyBorder="0" applyAlignment="0" applyProtection="0"/>
    <xf numFmtId="0" fontId="68" fillId="0" borderId="0"/>
    <xf numFmtId="173" fontId="69" fillId="0" borderId="0" applyFont="0" applyFill="0" applyBorder="0" applyAlignment="0" applyProtection="0"/>
    <xf numFmtId="3" fontId="69" fillId="0" borderId="0" applyFon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69" fillId="0" borderId="0" applyFont="0" applyFill="0" applyBorder="0" applyAlignment="0" applyProtection="0"/>
    <xf numFmtId="175" fontId="65" fillId="0" borderId="0" applyFont="0" applyFill="0" applyBorder="0" applyAlignment="0" applyProtection="0"/>
    <xf numFmtId="2" fontId="69" fillId="0" borderId="0" applyFont="0" applyFill="0" applyBorder="0" applyAlignment="0" applyProtection="0"/>
    <xf numFmtId="9" fontId="3" fillId="0" borderId="0" applyFont="0" applyFill="0" applyBorder="0" applyAlignment="0" applyProtection="0"/>
    <xf numFmtId="2" fontId="68" fillId="0" borderId="0" applyFont="0" applyFill="0" applyBorder="0" applyProtection="0">
      <alignment horizontal="right"/>
    </xf>
    <xf numFmtId="2" fontId="68" fillId="0" borderId="0" applyFont="0" applyFill="0" applyBorder="0" applyProtection="0">
      <alignment horizontal="right"/>
    </xf>
    <xf numFmtId="0" fontId="68" fillId="0" borderId="0"/>
    <xf numFmtId="9" fontId="72"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0" fontId="68" fillId="49" borderId="12" applyNumberFormat="0" applyFont="0" applyAlignment="0" applyProtection="0"/>
    <xf numFmtId="0" fontId="3" fillId="0" borderId="0"/>
    <xf numFmtId="0" fontId="68" fillId="0" borderId="0"/>
    <xf numFmtId="0" fontId="68" fillId="0" borderId="0"/>
    <xf numFmtId="0" fontId="73" fillId="0" borderId="0"/>
    <xf numFmtId="0" fontId="72" fillId="0" borderId="0"/>
    <xf numFmtId="0" fontId="68" fillId="0" borderId="0"/>
    <xf numFmtId="0" fontId="69" fillId="0" borderId="0"/>
    <xf numFmtId="0" fontId="69" fillId="0" borderId="0"/>
    <xf numFmtId="9" fontId="3" fillId="0" borderId="0" applyFont="0" applyFill="0" applyBorder="0" applyAlignment="0" applyProtection="0"/>
    <xf numFmtId="0" fontId="68" fillId="0" borderId="0"/>
    <xf numFmtId="173" fontId="69" fillId="0" borderId="0" applyFont="0" applyFill="0" applyBorder="0" applyAlignment="0" applyProtection="0"/>
    <xf numFmtId="2" fontId="68" fillId="0" borderId="0" applyFont="0" applyFill="0" applyBorder="0" applyAlignment="0" applyProtection="0"/>
    <xf numFmtId="3" fontId="69" fillId="0" borderId="0" applyFon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69" fillId="0" borderId="0" applyFont="0" applyFill="0" applyBorder="0" applyAlignment="0" applyProtection="0"/>
    <xf numFmtId="165" fontId="68" fillId="0" borderId="0" applyFont="0" applyFill="0" applyBorder="0" applyAlignment="0" applyProtection="0"/>
    <xf numFmtId="3" fontId="68" fillId="0" borderId="0" applyFont="0" applyFill="0" applyBorder="0" applyAlignment="0" applyProtection="0"/>
    <xf numFmtId="179" fontId="12" fillId="0" borderId="0" applyFont="0" applyFill="0" applyBorder="0" applyAlignment="0" applyProtection="0"/>
    <xf numFmtId="0" fontId="12" fillId="0" borderId="0"/>
    <xf numFmtId="0" fontId="3" fillId="0" borderId="0"/>
    <xf numFmtId="0" fontId="3" fillId="0" borderId="0"/>
    <xf numFmtId="9" fontId="1" fillId="0" borderId="0" applyFont="0" applyFill="0" applyBorder="0" applyAlignment="0" applyProtection="0"/>
    <xf numFmtId="9" fontId="3" fillId="0" borderId="0" applyFont="0" applyFill="0" applyBorder="0" applyAlignment="0" applyProtection="0"/>
    <xf numFmtId="0" fontId="3" fillId="0" borderId="0"/>
    <xf numFmtId="9" fontId="73" fillId="0" borderId="0" applyFont="0" applyFill="0" applyBorder="0" applyAlignment="0" applyProtection="0"/>
    <xf numFmtId="9" fontId="72" fillId="0" borderId="0" applyFont="0" applyFill="0" applyBorder="0" applyAlignment="0" applyProtection="0"/>
    <xf numFmtId="171" fontId="68" fillId="0" borderId="0" applyFont="0" applyFill="0" applyBorder="0" applyAlignment="0" applyProtection="0"/>
    <xf numFmtId="178" fontId="68" fillId="0" borderId="0" applyFont="0" applyFill="0" applyBorder="0" applyAlignment="0" applyProtection="0"/>
    <xf numFmtId="179" fontId="68" fillId="0" borderId="0" applyFont="0" applyFill="0" applyBorder="0" applyAlignment="0" applyProtection="0"/>
    <xf numFmtId="0" fontId="68" fillId="0" borderId="0"/>
  </cellStyleXfs>
  <cellXfs count="149">
    <xf numFmtId="0" fontId="0" fillId="0" borderId="0" xfId="0"/>
    <xf numFmtId="0" fontId="63" fillId="0" borderId="0" xfId="0" applyFont="1" applyAlignment="1">
      <alignment horizontal="left"/>
    </xf>
    <xf numFmtId="0" fontId="63" fillId="0" borderId="0" xfId="0" applyFont="1" applyAlignment="1">
      <alignment horizontal="center"/>
    </xf>
    <xf numFmtId="174" fontId="63" fillId="0" borderId="0" xfId="2" applyNumberFormat="1" applyFont="1" applyAlignment="1">
      <alignment horizontal="center" vertical="center"/>
    </xf>
    <xf numFmtId="0" fontId="60" fillId="0" borderId="0" xfId="0" applyFont="1" applyAlignment="1">
      <alignment horizontal="left"/>
    </xf>
    <xf numFmtId="1" fontId="60" fillId="0" borderId="0" xfId="1" applyNumberFormat="1" applyFont="1" applyAlignment="1">
      <alignment horizontal="center" vertical="center"/>
    </xf>
    <xf numFmtId="181" fontId="60" fillId="0" borderId="0" xfId="1" applyNumberFormat="1" applyFont="1" applyAlignment="1">
      <alignment horizontal="center" vertical="center"/>
    </xf>
    <xf numFmtId="9" fontId="0" fillId="0" borderId="0" xfId="2" applyFont="1" applyAlignment="1">
      <alignment horizontal="center"/>
    </xf>
    <xf numFmtId="174" fontId="60" fillId="0" borderId="0" xfId="0" applyNumberFormat="1" applyFont="1" applyAlignment="1">
      <alignment horizontal="left" vertical="center"/>
    </xf>
    <xf numFmtId="174" fontId="2" fillId="0" borderId="0" xfId="0" applyNumberFormat="1" applyFont="1"/>
    <xf numFmtId="174" fontId="63" fillId="0" borderId="0" xfId="2" applyNumberFormat="1" applyFont="1" applyAlignment="1">
      <alignment horizontal="center" vertical="center" wrapText="1"/>
    </xf>
    <xf numFmtId="0" fontId="67" fillId="0" borderId="0" xfId="0" applyFont="1" applyAlignment="1">
      <alignment horizontal="center" vertical="center" wrapText="1"/>
    </xf>
    <xf numFmtId="174" fontId="0" fillId="0" borderId="0" xfId="0" applyNumberFormat="1"/>
    <xf numFmtId="174" fontId="1" fillId="0" borderId="0" xfId="2" applyNumberFormat="1" applyFont="1" applyAlignment="1">
      <alignment horizontal="center" vertical="center" wrapText="1"/>
    </xf>
    <xf numFmtId="174" fontId="60" fillId="0" borderId="0" xfId="2" applyNumberFormat="1" applyFont="1" applyAlignment="1">
      <alignment horizontal="center" vertical="center"/>
    </xf>
    <xf numFmtId="9" fontId="60" fillId="0" borderId="0" xfId="2" applyFont="1" applyAlignment="1">
      <alignment horizontal="center" vertical="center"/>
    </xf>
    <xf numFmtId="9" fontId="0" fillId="0" borderId="0" xfId="2" applyFont="1" applyAlignment="1">
      <alignment horizontal="center" vertical="center"/>
    </xf>
    <xf numFmtId="180" fontId="60" fillId="0" borderId="0" xfId="0" applyNumberFormat="1" applyFont="1" applyAlignment="1">
      <alignment horizontal="center"/>
    </xf>
    <xf numFmtId="177" fontId="60" fillId="0" borderId="0" xfId="0" applyNumberFormat="1" applyFont="1" applyAlignment="1">
      <alignment horizontal="center"/>
    </xf>
    <xf numFmtId="0" fontId="60" fillId="0" borderId="0" xfId="0" applyFont="1" applyAlignment="1">
      <alignment horizontal="center" vertical="center" wrapText="1"/>
    </xf>
    <xf numFmtId="0" fontId="60" fillId="0" borderId="0" xfId="0" applyFont="1" applyAlignment="1">
      <alignment horizontal="center" vertical="center"/>
    </xf>
    <xf numFmtId="0" fontId="60" fillId="0" borderId="0" xfId="0" applyFont="1" applyAlignment="1">
      <alignment horizontal="center"/>
    </xf>
    <xf numFmtId="3" fontId="0" fillId="0" borderId="0" xfId="0" applyNumberFormat="1" applyAlignment="1"/>
    <xf numFmtId="3" fontId="66" fillId="0" borderId="0" xfId="0" applyNumberFormat="1" applyFont="1" applyAlignment="1">
      <alignment vertical="center" wrapText="1"/>
    </xf>
    <xf numFmtId="1" fontId="0" fillId="0" borderId="0" xfId="0" applyNumberFormat="1"/>
    <xf numFmtId="181" fontId="0" fillId="0" borderId="0" xfId="1" applyNumberFormat="1" applyFont="1"/>
    <xf numFmtId="0" fontId="66" fillId="0" borderId="0" xfId="0" applyFont="1" applyAlignment="1">
      <alignment vertical="center" wrapText="1"/>
    </xf>
    <xf numFmtId="0" fontId="0" fillId="0" borderId="0" xfId="0" applyAlignment="1"/>
    <xf numFmtId="0" fontId="0" fillId="0" borderId="0" xfId="0" applyFont="1" applyAlignment="1">
      <alignment horizontal="left" vertical="center" wrapText="1"/>
    </xf>
    <xf numFmtId="0" fontId="0" fillId="0" borderId="0" xfId="0" applyAlignment="1">
      <alignment horizontal="left"/>
    </xf>
    <xf numFmtId="174" fontId="0" fillId="0" borderId="0" xfId="2" applyNumberFormat="1" applyFont="1" applyAlignment="1">
      <alignment horizontal="center"/>
    </xf>
    <xf numFmtId="0" fontId="66" fillId="0" borderId="0" xfId="0" applyFont="1" applyAlignment="1">
      <alignment horizontal="center" vertical="center" wrapText="1"/>
    </xf>
    <xf numFmtId="0" fontId="0" fillId="0" borderId="0" xfId="0" applyAlignment="1">
      <alignment horizontal="center"/>
    </xf>
    <xf numFmtId="0" fontId="0" fillId="0" borderId="0" xfId="0" applyFont="1" applyAlignment="1">
      <alignment horizontal="left" vertical="center"/>
    </xf>
    <xf numFmtId="174" fontId="0" fillId="0" borderId="0" xfId="2" applyNumberFormat="1" applyFont="1" applyAlignment="1">
      <alignment horizontal="center" vertical="center"/>
    </xf>
    <xf numFmtId="0" fontId="60" fillId="0" borderId="0" xfId="82" applyFont="1" applyBorder="1" applyAlignment="1">
      <alignment horizontal="center" vertical="center"/>
    </xf>
    <xf numFmtId="0" fontId="2" fillId="0" borderId="0" xfId="0" applyFont="1" applyAlignment="1">
      <alignment vertical="center"/>
    </xf>
    <xf numFmtId="174" fontId="0" fillId="0" borderId="0" xfId="2" applyNumberFormat="1" applyFont="1"/>
    <xf numFmtId="9" fontId="0" fillId="0" borderId="0" xfId="2" applyFont="1"/>
    <xf numFmtId="0" fontId="0" fillId="0" borderId="0" xfId="0" applyAlignment="1">
      <alignment horizontal="center" vertical="center"/>
    </xf>
    <xf numFmtId="0" fontId="61" fillId="0" borderId="0" xfId="0" applyFont="1" applyAlignment="1">
      <alignment vertical="center"/>
    </xf>
    <xf numFmtId="0" fontId="0" fillId="0" borderId="0" xfId="0" applyAlignment="1">
      <alignment vertical="center"/>
    </xf>
    <xf numFmtId="0" fontId="2" fillId="0" borderId="0" xfId="0" applyFont="1" applyAlignment="1">
      <alignment horizontal="center"/>
    </xf>
    <xf numFmtId="174" fontId="63" fillId="0" borderId="0" xfId="0" applyNumberFormat="1" applyFont="1" applyAlignment="1">
      <alignment horizontal="center" vertical="center"/>
    </xf>
    <xf numFmtId="174" fontId="2" fillId="0" borderId="0" xfId="0" applyNumberFormat="1" applyFont="1" applyAlignment="1">
      <alignment horizontal="center" vertical="center"/>
    </xf>
    <xf numFmtId="174" fontId="2" fillId="0" borderId="0" xfId="2" applyNumberFormat="1" applyFont="1" applyAlignment="1">
      <alignment horizontal="center" vertical="center" wrapText="1"/>
    </xf>
    <xf numFmtId="174" fontId="60" fillId="0" borderId="0" xfId="0" applyNumberFormat="1" applyFont="1" applyAlignment="1">
      <alignment horizontal="center" vertical="center"/>
    </xf>
    <xf numFmtId="0" fontId="62" fillId="0" borderId="0" xfId="0" applyFont="1" applyAlignment="1">
      <alignment horizontal="center" vertical="center"/>
    </xf>
    <xf numFmtId="174" fontId="0" fillId="0" borderId="0" xfId="2" applyNumberFormat="1"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174" fontId="0" fillId="0" borderId="0" xfId="0" applyNumberFormat="1" applyFont="1" applyAlignment="1">
      <alignment horizontal="center" vertical="center"/>
    </xf>
    <xf numFmtId="0" fontId="2" fillId="0" borderId="0" xfId="0" applyFont="1" applyAlignment="1"/>
    <xf numFmtId="0" fontId="62" fillId="0" borderId="0" xfId="0" applyFont="1" applyAlignment="1">
      <alignment horizontal="center" vertical="center" wrapText="1"/>
    </xf>
    <xf numFmtId="0" fontId="0" fillId="0" borderId="0" xfId="0" applyFont="1"/>
    <xf numFmtId="0" fontId="2" fillId="0" borderId="0" xfId="0" applyFont="1" applyAlignment="1">
      <alignment horizontal="center" vertical="center" wrapText="1"/>
    </xf>
    <xf numFmtId="0" fontId="0" fillId="0" borderId="0" xfId="0" applyAlignment="1">
      <alignment horizontal="center" vertical="center" wrapText="1"/>
    </xf>
    <xf numFmtId="0" fontId="2" fillId="0" borderId="0" xfId="0" applyFont="1"/>
    <xf numFmtId="0" fontId="60" fillId="0" borderId="0" xfId="0" applyFont="1"/>
    <xf numFmtId="0" fontId="83" fillId="0" borderId="0" xfId="0" applyFont="1"/>
    <xf numFmtId="9" fontId="1" fillId="0" borderId="0" xfId="2" applyFont="1"/>
    <xf numFmtId="3" fontId="2" fillId="0" borderId="0" xfId="0" applyNumberFormat="1" applyFont="1" applyAlignment="1"/>
    <xf numFmtId="181" fontId="2" fillId="0" borderId="0" xfId="1" applyNumberFormat="1" applyFont="1"/>
    <xf numFmtId="181" fontId="2" fillId="0" borderId="0" xfId="1" applyNumberFormat="1" applyFont="1" applyAlignment="1">
      <alignment horizontal="center"/>
    </xf>
    <xf numFmtId="181" fontId="63" fillId="0" borderId="0" xfId="1" applyNumberFormat="1" applyFont="1" applyAlignment="1"/>
    <xf numFmtId="182" fontId="2" fillId="0" borderId="0" xfId="0" applyNumberFormat="1" applyFont="1"/>
    <xf numFmtId="181" fontId="1" fillId="0" borderId="0" xfId="1" applyNumberFormat="1" applyFont="1" applyAlignment="1">
      <alignment vertical="center"/>
    </xf>
    <xf numFmtId="1" fontId="1" fillId="0" borderId="0" xfId="2" applyNumberFormat="1" applyFont="1" applyAlignment="1">
      <alignment horizontal="center" vertical="center" wrapText="1"/>
    </xf>
    <xf numFmtId="181" fontId="60" fillId="0" borderId="0" xfId="1" applyNumberFormat="1" applyFont="1" applyAlignment="1"/>
    <xf numFmtId="181" fontId="0" fillId="0" borderId="0" xfId="1" applyNumberFormat="1" applyFont="1" applyAlignment="1"/>
    <xf numFmtId="0" fontId="64" fillId="0" borderId="0" xfId="0" applyFont="1"/>
    <xf numFmtId="0" fontId="82" fillId="0" borderId="0" xfId="0" applyFont="1"/>
    <xf numFmtId="174" fontId="81" fillId="0" borderId="0" xfId="0" applyNumberFormat="1" applyFont="1" applyAlignment="1">
      <alignment horizontal="center"/>
    </xf>
    <xf numFmtId="174" fontId="80" fillId="0" borderId="0" xfId="0" applyNumberFormat="1" applyFont="1" applyAlignment="1">
      <alignment horizontal="center" vertical="center"/>
    </xf>
    <xf numFmtId="174" fontId="79" fillId="0" borderId="0" xfId="0" applyNumberFormat="1" applyFont="1" applyAlignment="1">
      <alignment horizontal="center" vertical="center"/>
    </xf>
    <xf numFmtId="174" fontId="78" fillId="0" borderId="0" xfId="0" applyNumberFormat="1" applyFont="1" applyAlignment="1">
      <alignment horizontal="center" vertical="center"/>
    </xf>
    <xf numFmtId="174" fontId="77" fillId="0" borderId="0" xfId="0" applyNumberFormat="1" applyFont="1" applyAlignment="1">
      <alignment horizontal="center"/>
    </xf>
    <xf numFmtId="174" fontId="76" fillId="0" borderId="0" xfId="0" applyNumberFormat="1" applyFont="1" applyAlignment="1">
      <alignment horizontal="center"/>
    </xf>
    <xf numFmtId="10" fontId="2" fillId="0" borderId="0" xfId="0" applyNumberFormat="1" applyFont="1" applyAlignment="1">
      <alignment horizontal="center"/>
    </xf>
    <xf numFmtId="10" fontId="2" fillId="0" borderId="0" xfId="0" applyNumberFormat="1" applyFont="1" applyAlignment="1">
      <alignment horizontal="center" vertical="center"/>
    </xf>
    <xf numFmtId="174" fontId="2" fillId="0" borderId="0" xfId="2" applyNumberFormat="1" applyFont="1" applyAlignment="1">
      <alignment horizontal="center"/>
    </xf>
    <xf numFmtId="181" fontId="0" fillId="0" borderId="0" xfId="1" applyNumberFormat="1" applyFont="1" applyAlignment="1">
      <alignment horizontal="center"/>
    </xf>
    <xf numFmtId="10" fontId="0" fillId="0" borderId="0" xfId="0" applyNumberFormat="1" applyAlignment="1">
      <alignment horizontal="center"/>
    </xf>
    <xf numFmtId="10" fontId="0" fillId="0" borderId="0" xfId="0" applyNumberFormat="1" applyFont="1" applyAlignment="1">
      <alignment horizontal="center"/>
    </xf>
    <xf numFmtId="174" fontId="75" fillId="0" borderId="0" xfId="0" applyNumberFormat="1" applyFont="1" applyAlignment="1">
      <alignment horizontal="center" vertical="center"/>
    </xf>
    <xf numFmtId="174" fontId="74" fillId="0" borderId="0" xfId="0" applyNumberFormat="1" applyFont="1" applyAlignment="1">
      <alignment horizontal="center"/>
    </xf>
    <xf numFmtId="1" fontId="0" fillId="0" borderId="0" xfId="1" applyNumberFormat="1" applyFont="1" applyAlignment="1">
      <alignment horizontal="center" vertical="center"/>
    </xf>
    <xf numFmtId="181" fontId="0" fillId="0" borderId="0" xfId="1" applyNumberFormat="1" applyFont="1" applyAlignment="1">
      <alignment horizontal="center" vertical="center"/>
    </xf>
    <xf numFmtId="10" fontId="0" fillId="0" borderId="0" xfId="0" applyNumberFormat="1" applyFont="1" applyAlignment="1">
      <alignment horizontal="center" vertical="center"/>
    </xf>
    <xf numFmtId="3" fontId="0" fillId="0" borderId="0" xfId="0" applyNumberFormat="1" applyFont="1" applyAlignment="1">
      <alignment horizontal="center" vertical="center"/>
    </xf>
    <xf numFmtId="180" fontId="0" fillId="0" borderId="0" xfId="2" applyNumberFormat="1" applyFont="1"/>
    <xf numFmtId="2" fontId="0" fillId="0" borderId="0" xfId="2" applyNumberFormat="1" applyFont="1" applyAlignment="1">
      <alignment horizontal="center" vertical="center" wrapText="1"/>
    </xf>
    <xf numFmtId="9" fontId="0" fillId="0" borderId="0" xfId="2" applyFont="1" applyAlignment="1">
      <alignment vertical="center"/>
    </xf>
    <xf numFmtId="9" fontId="2" fillId="0" borderId="0" xfId="2" applyFont="1" applyAlignment="1">
      <alignment horizontal="center" vertical="center"/>
    </xf>
    <xf numFmtId="2" fontId="0" fillId="0" borderId="0" xfId="0" applyNumberFormat="1" applyAlignment="1">
      <alignment horizontal="center"/>
    </xf>
    <xf numFmtId="2" fontId="0" fillId="0" borderId="0" xfId="2" applyNumberFormat="1" applyFont="1" applyAlignment="1">
      <alignment horizontal="center"/>
    </xf>
    <xf numFmtId="174" fontId="84" fillId="0" borderId="0" xfId="0" applyNumberFormat="1" applyFont="1" applyAlignment="1">
      <alignment horizontal="center"/>
    </xf>
    <xf numFmtId="174" fontId="85" fillId="0" borderId="0" xfId="0" applyNumberFormat="1" applyFont="1" applyAlignment="1">
      <alignment horizontal="center" vertical="center"/>
    </xf>
    <xf numFmtId="0" fontId="86" fillId="0" borderId="0" xfId="0" applyFont="1" applyAlignment="1">
      <alignment horizontal="center" vertical="center" wrapText="1"/>
    </xf>
    <xf numFmtId="182" fontId="0" fillId="0" borderId="0" xfId="0" applyNumberFormat="1"/>
    <xf numFmtId="182" fontId="2" fillId="0" borderId="0" xfId="0" applyNumberFormat="1" applyFont="1" applyAlignment="1">
      <alignment horizontal="center"/>
    </xf>
    <xf numFmtId="181" fontId="72" fillId="0" borderId="0" xfId="1" applyNumberFormat="1" applyFont="1" applyAlignment="1">
      <alignment horizontal="center"/>
    </xf>
    <xf numFmtId="181" fontId="0" fillId="0" borderId="0" xfId="1" applyNumberFormat="1" applyFont="1" applyAlignment="1">
      <alignment horizontal="left" vertical="center"/>
    </xf>
    <xf numFmtId="174" fontId="60" fillId="0" borderId="0" xfId="2" applyNumberFormat="1" applyFont="1" applyAlignment="1">
      <alignment horizontal="center"/>
    </xf>
    <xf numFmtId="181" fontId="66" fillId="0" borderId="0" xfId="1" applyNumberFormat="1" applyFont="1" applyAlignment="1"/>
    <xf numFmtId="183" fontId="0" fillId="0" borderId="0" xfId="0" applyNumberFormat="1"/>
    <xf numFmtId="183" fontId="0" fillId="0" borderId="0" xfId="0" applyNumberFormat="1" applyFont="1"/>
    <xf numFmtId="0" fontId="0" fillId="0" borderId="0" xfId="0" applyFill="1" applyAlignment="1">
      <alignment horizontal="center" vertical="center" wrapText="1"/>
    </xf>
    <xf numFmtId="0" fontId="86" fillId="0" borderId="0" xfId="0" applyFont="1" applyFill="1" applyAlignment="1">
      <alignment horizontal="center" vertical="center" wrapText="1"/>
    </xf>
    <xf numFmtId="9" fontId="0" fillId="0" borderId="0" xfId="2" applyFont="1" applyFill="1" applyAlignment="1">
      <alignment horizontal="center"/>
    </xf>
    <xf numFmtId="1" fontId="62" fillId="0" borderId="0" xfId="0" applyNumberFormat="1" applyFont="1" applyAlignment="1">
      <alignment horizontal="center" vertical="center" wrapText="1"/>
    </xf>
    <xf numFmtId="3" fontId="0" fillId="0" borderId="0" xfId="0" applyNumberFormat="1"/>
    <xf numFmtId="181" fontId="66" fillId="0" borderId="0" xfId="1" applyNumberFormat="1" applyFont="1" applyAlignment="1">
      <alignment horizontal="center"/>
    </xf>
    <xf numFmtId="181" fontId="0" fillId="0" borderId="0" xfId="0" applyNumberFormat="1" applyAlignment="1">
      <alignment horizontal="center"/>
    </xf>
    <xf numFmtId="181" fontId="88" fillId="0" borderId="0" xfId="1" applyNumberFormat="1" applyFont="1" applyAlignment="1">
      <alignment horizontal="center" vertical="center"/>
    </xf>
    <xf numFmtId="181" fontId="89" fillId="0" borderId="0" xfId="1" applyNumberFormat="1" applyFont="1" applyAlignment="1">
      <alignment horizontal="center"/>
    </xf>
    <xf numFmtId="1" fontId="2" fillId="0" borderId="0" xfId="1" applyNumberFormat="1" applyFont="1" applyAlignment="1">
      <alignment horizontal="center" vertical="center"/>
    </xf>
    <xf numFmtId="3" fontId="2" fillId="0" borderId="0" xfId="0" applyNumberFormat="1" applyFont="1" applyAlignment="1">
      <alignment horizontal="center" vertical="center"/>
    </xf>
    <xf numFmtId="181" fontId="2" fillId="0" borderId="0" xfId="1" applyNumberFormat="1" applyFont="1" applyAlignment="1">
      <alignment horizontal="center" vertical="center"/>
    </xf>
    <xf numFmtId="10" fontId="0" fillId="0" borderId="0" xfId="2" applyNumberFormat="1" applyFont="1"/>
    <xf numFmtId="0" fontId="0" fillId="0" borderId="0" xfId="0"/>
    <xf numFmtId="0" fontId="62" fillId="0" borderId="0" xfId="0" applyFont="1"/>
    <xf numFmtId="177" fontId="62" fillId="0" borderId="0" xfId="0" applyNumberFormat="1" applyFont="1"/>
    <xf numFmtId="0" fontId="67" fillId="0" borderId="0" xfId="0" applyFont="1" applyAlignment="1">
      <alignment horizontal="center" wrapText="1"/>
    </xf>
    <xf numFmtId="0" fontId="0" fillId="0" borderId="0" xfId="0" applyFont="1" applyAlignment="1"/>
    <xf numFmtId="0" fontId="0" fillId="0" borderId="0" xfId="0"/>
    <xf numFmtId="177" fontId="0" fillId="0" borderId="0" xfId="0" applyNumberFormat="1" applyAlignment="1">
      <alignment horizontal="center"/>
    </xf>
    <xf numFmtId="177" fontId="62" fillId="0" borderId="0" xfId="0" applyNumberFormat="1" applyFont="1" applyAlignment="1">
      <alignment horizontal="center"/>
    </xf>
    <xf numFmtId="1" fontId="62" fillId="0" borderId="0" xfId="0" applyNumberFormat="1" applyFont="1" applyAlignment="1">
      <alignment horizontal="center"/>
    </xf>
    <xf numFmtId="1" fontId="0" fillId="0" borderId="0" xfId="0" applyNumberFormat="1" applyAlignment="1">
      <alignment horizontal="center"/>
    </xf>
    <xf numFmtId="174" fontId="0" fillId="0" borderId="0" xfId="0" applyNumberFormat="1" applyAlignment="1">
      <alignment horizontal="center"/>
    </xf>
    <xf numFmtId="0" fontId="2" fillId="0" borderId="0" xfId="0" applyFont="1" applyAlignment="1">
      <alignment horizontal="center" vertical="center" wrapText="1"/>
    </xf>
    <xf numFmtId="181" fontId="0" fillId="0" borderId="0" xfId="0" applyNumberFormat="1"/>
    <xf numFmtId="181" fontId="2" fillId="0" borderId="0" xfId="0" applyNumberFormat="1" applyFont="1"/>
    <xf numFmtId="181" fontId="1" fillId="0" borderId="0" xfId="1" applyNumberFormat="1" applyFont="1"/>
    <xf numFmtId="184" fontId="0" fillId="0" borderId="0" xfId="0" applyNumberFormat="1" applyAlignment="1">
      <alignment horizontal="center"/>
    </xf>
    <xf numFmtId="0" fontId="62" fillId="0" borderId="0" xfId="0" applyFont="1" applyAlignment="1">
      <alignment horizontal="center"/>
    </xf>
    <xf numFmtId="9" fontId="0" fillId="0" borderId="0" xfId="2" applyNumberFormat="1" applyFont="1" applyFill="1" applyAlignment="1">
      <alignment horizontal="center"/>
    </xf>
    <xf numFmtId="174" fontId="90" fillId="0" borderId="0" xfId="2" applyNumberFormat="1" applyFont="1" applyAlignment="1">
      <alignment horizontal="center"/>
    </xf>
    <xf numFmtId="0" fontId="90" fillId="0" borderId="0" xfId="0" applyFont="1"/>
    <xf numFmtId="0" fontId="2" fillId="0" borderId="0" xfId="0" applyFont="1" applyAlignment="1">
      <alignment horizontal="center" vertical="center" wrapText="1"/>
    </xf>
    <xf numFmtId="0" fontId="2" fillId="0" borderId="0" xfId="0" applyFont="1" applyAlignment="1">
      <alignment horizontal="center" vertical="center"/>
    </xf>
    <xf numFmtId="0" fontId="2" fillId="51" borderId="0" xfId="0" applyFont="1" applyFill="1" applyAlignment="1">
      <alignment horizontal="center" vertical="center"/>
    </xf>
    <xf numFmtId="0" fontId="2" fillId="52" borderId="0" xfId="0" applyFont="1" applyFill="1" applyAlignment="1">
      <alignment horizontal="center" vertical="center"/>
    </xf>
    <xf numFmtId="0" fontId="2" fillId="53" borderId="0" xfId="0" applyFont="1" applyFill="1" applyAlignment="1">
      <alignment horizontal="center" vertical="center"/>
    </xf>
    <xf numFmtId="0" fontId="2" fillId="53" borderId="0" xfId="0" applyFont="1" applyFill="1" applyAlignment="1">
      <alignment horizontal="center"/>
    </xf>
    <xf numFmtId="0" fontId="2" fillId="0" borderId="0" xfId="0" applyFont="1" applyAlignment="1">
      <alignment horizontal="center" vertical="center" wrapText="1"/>
    </xf>
    <xf numFmtId="9" fontId="0" fillId="0" borderId="0" xfId="2" applyNumberFormat="1" applyFont="1" applyAlignment="1">
      <alignment horizontal="center" vertical="center"/>
    </xf>
    <xf numFmtId="174" fontId="0" fillId="0" borderId="0" xfId="2" applyNumberFormat="1" applyFont="1" applyFill="1" applyAlignment="1">
      <alignment horizontal="center"/>
    </xf>
  </cellXfs>
  <cellStyles count="434">
    <cellStyle name="20% - Accent1" xfId="5" xr:uid="{2D64CAA5-EEB5-44BB-A6AF-400B54DD5C01}"/>
    <cellStyle name="20% - Accent1 2" xfId="156" xr:uid="{9B7EC455-5A7A-4252-92CB-3B95DA3FA63D}"/>
    <cellStyle name="20% - Accent2" xfId="6" xr:uid="{8C35F308-3355-4863-BB29-3ED6A32A44E0}"/>
    <cellStyle name="20% - Accent2 2" xfId="157" xr:uid="{E51BE4FF-90A8-481E-AEDF-6B4636A29AA7}"/>
    <cellStyle name="20% - Accent3" xfId="7" xr:uid="{E1F43B42-167C-4608-BD92-3DBF6D5B50A6}"/>
    <cellStyle name="20% - Accent3 2" xfId="158" xr:uid="{CF8CD2D2-C4DC-4010-B2FF-9FFB5BF4F24E}"/>
    <cellStyle name="20% - Accent4" xfId="8" xr:uid="{5EEBCB70-A122-49EB-B178-C4B0E10927FC}"/>
    <cellStyle name="20% - Accent4 2" xfId="159" xr:uid="{7D69260A-1320-4C94-9793-F3404EE65CA9}"/>
    <cellStyle name="20% - Accent5" xfId="9" xr:uid="{11DE97C0-E2BC-4175-84BF-1099A772CC4C}"/>
    <cellStyle name="20% - Accent5 2" xfId="160" xr:uid="{DF9E275A-0E83-4B2A-A241-2070D322E041}"/>
    <cellStyle name="20% - Accent6" xfId="10" xr:uid="{3229098D-8666-427D-A8FF-CE1CA09CE635}"/>
    <cellStyle name="20% - Accent6 2" xfId="161" xr:uid="{D537D017-8094-48D4-A022-E873742392C3}"/>
    <cellStyle name="40% - Accent1" xfId="11" xr:uid="{75DB390C-B004-4E09-BD1A-D87B5C169C5A}"/>
    <cellStyle name="40% - Accent1 2" xfId="162" xr:uid="{FFC2FB4B-211D-4950-B15B-0FBEA274699B}"/>
    <cellStyle name="40% - Accent2" xfId="12" xr:uid="{33D867DD-3194-455F-B005-E20DC98E8489}"/>
    <cellStyle name="40% - Accent2 2" xfId="163" xr:uid="{FFAECFAF-C9E9-410B-B3E2-1931CDFEDD80}"/>
    <cellStyle name="40% - Accent3" xfId="13" xr:uid="{4057728C-F8A3-422F-BFA4-3CA7A3C8665B}"/>
    <cellStyle name="40% - Accent3 2" xfId="164" xr:uid="{07CBBF11-79D4-413C-93AA-8F0C460B253E}"/>
    <cellStyle name="40% - Accent4" xfId="14" xr:uid="{047DF7C7-6DC2-49E1-B552-773D8070EB90}"/>
    <cellStyle name="40% - Accent4 2" xfId="165" xr:uid="{71A11FEF-799A-4F8B-BE0E-A0B8D8CBF31D}"/>
    <cellStyle name="40% - Accent5" xfId="15" xr:uid="{E70787FB-FF3B-48FD-986F-5D841DB88274}"/>
    <cellStyle name="40% - Accent5 2" xfId="166" xr:uid="{50F612E8-D2CD-4556-9E6A-B9ACB30F425E}"/>
    <cellStyle name="40% - Accent6" xfId="16" xr:uid="{DFB62F86-489A-4161-B93E-85773BD45633}"/>
    <cellStyle name="40% - Accent6 2" xfId="167" xr:uid="{8610096F-0965-411E-A2DD-1334F9FD0AF5}"/>
    <cellStyle name="60% - Accent1" xfId="17" xr:uid="{DA030A92-1467-4D71-8D90-6F80CB24DCA7}"/>
    <cellStyle name="60% - Accent1 2" xfId="168" xr:uid="{97611656-BBB3-4302-9C02-8BE81CB5EADE}"/>
    <cellStyle name="60% - Accent2" xfId="18" xr:uid="{E0922890-5E2E-4D45-B48D-6C88DC62E532}"/>
    <cellStyle name="60% - Accent2 2" xfId="169" xr:uid="{33833DCD-129A-4CDA-9087-74E6C186B853}"/>
    <cellStyle name="60% - Accent3" xfId="19" xr:uid="{D62F6E17-CC59-42CF-B98A-523278C04120}"/>
    <cellStyle name="60% - Accent3 2" xfId="170" xr:uid="{DE2D090B-3E86-45B2-ACBA-045DC21DC854}"/>
    <cellStyle name="60% - Accent4" xfId="20" xr:uid="{538A8CF2-CA44-4E34-B7C0-30DF74A57786}"/>
    <cellStyle name="60% - Accent4 2" xfId="171" xr:uid="{77043E0C-6CDD-42A7-A015-74459183CD35}"/>
    <cellStyle name="60% - Accent5" xfId="21" xr:uid="{26A575E3-365F-4B1C-987D-4A3001403184}"/>
    <cellStyle name="60% - Accent5 2" xfId="172" xr:uid="{094EACD8-63D2-4EE2-ADB2-1E3EC6AFC615}"/>
    <cellStyle name="60% - Accent6" xfId="22" xr:uid="{1861EA64-0DAF-47EB-9E5F-5DF777585C53}"/>
    <cellStyle name="60% - Accent6 2" xfId="173" xr:uid="{F5A1A981-0266-4BFC-B4DD-ABF8C40DBC07}"/>
    <cellStyle name="Accent1 2" xfId="174" xr:uid="{4DAE008C-9855-4C51-9086-AB9D9DC4C3F2}"/>
    <cellStyle name="Accent2 2" xfId="175" xr:uid="{67D93D58-294D-4261-B6FE-C45E44DCCAC2}"/>
    <cellStyle name="Accent3 2" xfId="176" xr:uid="{94114F06-CBA0-4E1D-AE21-AB4272581023}"/>
    <cellStyle name="Accent4 2" xfId="177" xr:uid="{E1DEF957-5590-4CFE-B8A8-E4B4BB6E9C2D}"/>
    <cellStyle name="Accent5 2" xfId="178" xr:uid="{7D6C77F0-6D9B-433B-AD15-6B928FA15A5B}"/>
    <cellStyle name="Accent6 2" xfId="179" xr:uid="{36D82FA0-54F7-45C9-9B07-CBA7CDAFF4C1}"/>
    <cellStyle name="Bad" xfId="23" xr:uid="{B7CC874B-6910-4532-A4A4-C1A4F3B085BB}"/>
    <cellStyle name="Bad 2" xfId="180" xr:uid="{AD1C3D62-0E9A-4919-87F4-FE85D9D929F1}"/>
    <cellStyle name="caché" xfId="24" xr:uid="{5AC9A5BC-BC71-4560-904F-CBC70C6DD23C}"/>
    <cellStyle name="Calculation" xfId="25" xr:uid="{48ADCC70-94D2-4EF1-AA9E-CF94E1E6782D}"/>
    <cellStyle name="Calculation 2" xfId="181" xr:uid="{FF1E613B-3833-4D6F-9161-6960C7043171}"/>
    <cellStyle name="Check Cell" xfId="26" xr:uid="{B77843FF-DAEE-45D4-91E8-526156471E61}"/>
    <cellStyle name="Check Cell 2" xfId="182" xr:uid="{27ECAB4C-9464-4C57-A812-F80D72198863}"/>
    <cellStyle name="Comma 10" xfId="183" xr:uid="{2904E7C8-7B24-4C52-B3A5-FF28C06826A3}"/>
    <cellStyle name="Comma 10 2" xfId="297" xr:uid="{18FAF62F-E24A-4AA8-B3E1-18CCBB4F3C75}"/>
    <cellStyle name="Comma 11" xfId="184" xr:uid="{D70A82D9-EFE7-4EF4-9679-BECA0E956D7A}"/>
    <cellStyle name="Comma 11 2" xfId="298" xr:uid="{32382732-0960-49FD-8D93-0B4C55887A21}"/>
    <cellStyle name="Comma 12" xfId="185" xr:uid="{48EAF87F-8924-46D6-AE50-E6BB86A63F01}"/>
    <cellStyle name="Comma 12 2" xfId="186" xr:uid="{A866519A-96FC-415D-9328-E75FECDB0D5B}"/>
    <cellStyle name="Comma 13" xfId="187" xr:uid="{53206405-A7DB-4019-AAE0-082D5F2BC6FA}"/>
    <cellStyle name="Comma 14" xfId="299" xr:uid="{2E949202-1DFC-45AD-A31C-26DE840B99B8}"/>
    <cellStyle name="Comma 14 2" xfId="430" xr:uid="{8A6ADBAB-8775-45BB-A431-465D54B8D5B6}"/>
    <cellStyle name="Comma 15" xfId="300" xr:uid="{851484F4-62E8-48AE-80C4-14832851AFDF}"/>
    <cellStyle name="Comma 15 2" xfId="431" xr:uid="{E06AB042-718D-4569-87EC-620AA7A95B1F}"/>
    <cellStyle name="Comma 16" xfId="301" xr:uid="{9AE7E99D-A4FE-49CF-943F-DDFA4D22E2EF}"/>
    <cellStyle name="Comma 2" xfId="27" xr:uid="{D596FBE5-783E-4718-847B-A0C4472AAAA4}"/>
    <cellStyle name="Comma 2 2" xfId="188" xr:uid="{71FAE55B-B39E-4835-B130-4C20E72336DE}"/>
    <cellStyle name="Comma 2 2 2" xfId="189" xr:uid="{88ED6D42-AA74-4577-A044-AE31AD584F1E}"/>
    <cellStyle name="Comma 2 2 2 2" xfId="302" xr:uid="{E586D4B0-E0C5-48A4-91BF-6F30E05058ED}"/>
    <cellStyle name="Comma 2 2 2 2 2" xfId="303" xr:uid="{2B45CA17-C83D-4B5F-9BF3-8A417570E437}"/>
    <cellStyle name="Comma 2 2 2 3" xfId="304" xr:uid="{88269AD4-7BC8-43F8-81C0-C4D605D897AC}"/>
    <cellStyle name="Comma 2 2 3" xfId="305" xr:uid="{C56CDE77-9552-4F1F-9125-2C234C36BFFB}"/>
    <cellStyle name="Comma 2 3" xfId="190" xr:uid="{DA883312-628B-44DA-A9F7-C0139244466B}"/>
    <cellStyle name="Comma 2 3 2" xfId="306" xr:uid="{2877BB64-71E1-4A70-BA3E-7476F939B2A2}"/>
    <cellStyle name="Comma 2 4" xfId="307" xr:uid="{A6AD7A01-09D8-48D6-8C72-0A438693D070}"/>
    <cellStyle name="Comma 3" xfId="28" xr:uid="{D3A3CFB4-30F6-4649-8CA5-D65B1AB2541A}"/>
    <cellStyle name="Comma 3 2" xfId="29" xr:uid="{A0CF64CA-20AC-4D31-A144-47246483C3AE}"/>
    <cellStyle name="Comma 4" xfId="191" xr:uid="{C38B6517-9558-4580-ACE2-3F234EDD8E9E}"/>
    <cellStyle name="Comma 4 2" xfId="192" xr:uid="{DF47A4C3-C982-4572-B96C-832D3FC5707D}"/>
    <cellStyle name="Comma 5" xfId="193" xr:uid="{83ACDF97-805A-4919-9273-95537547F588}"/>
    <cellStyle name="Comma 5 2" xfId="194" xr:uid="{F4D1EFBE-BDF5-45B5-81F1-CDD673D5CEE0}"/>
    <cellStyle name="Comma 5 3" xfId="308" xr:uid="{DF90D1D3-36AD-43F8-A485-ABF82DFB49CB}"/>
    <cellStyle name="Comma 6" xfId="195" xr:uid="{5A77438F-3A87-4DFB-A1EE-BC2435973D1B}"/>
    <cellStyle name="Comma 6 2" xfId="309" xr:uid="{96FD5D8D-8B13-4038-9859-F3E884DF4683}"/>
    <cellStyle name="Comma 7" xfId="196" xr:uid="{5626FEF7-7022-4BA7-A4BB-9790C06829CE}"/>
    <cellStyle name="Comma 7 2" xfId="310" xr:uid="{40DDB86B-3E78-45A5-8BAE-CAB6DFCD0D6C}"/>
    <cellStyle name="Comma 8" xfId="197" xr:uid="{DE98F9AF-AF1A-4A88-8302-5EC55EFC10BD}"/>
    <cellStyle name="Comma 8 2" xfId="392" xr:uid="{946939A3-02B2-44F2-8E5E-0B2422668DAB}"/>
    <cellStyle name="Comma 9" xfId="198" xr:uid="{ED7A4E02-2E78-49A6-B500-19F5BC1C06C2}"/>
    <cellStyle name="Comma(0)" xfId="30" xr:uid="{B7913C58-3732-41D6-B0B1-1D65F8CF3FEF}"/>
    <cellStyle name="Comma(3)" xfId="31" xr:uid="{62876BC6-D173-4308-ACC1-9059AD2EE588}"/>
    <cellStyle name="Comma[0]" xfId="32" xr:uid="{5E73F56C-F5FB-4950-B376-BEE366EAE231}"/>
    <cellStyle name="Comma[1]" xfId="33" xr:uid="{FEB0D6F6-D7BD-49FE-9844-EF71520BDB93}"/>
    <cellStyle name="Comma[2]__" xfId="34" xr:uid="{7D35E25F-084C-4B74-8125-190DBDBA67DB}"/>
    <cellStyle name="Comma[3]" xfId="35" xr:uid="{D11FD6FF-B3A4-4A0A-AAD3-9CBCF86FC79C}"/>
    <cellStyle name="Comma0" xfId="36" xr:uid="{5B6105AB-4E35-4CF8-AD3F-CB61D899EB0B}"/>
    <cellStyle name="Comma0 2" xfId="420" xr:uid="{038AE20D-DB8A-4C8C-B679-82C447400398}"/>
    <cellStyle name="Commentaire" xfId="37" xr:uid="{9A9C709D-C0F7-4E40-B13E-B0E85FC75369}"/>
    <cellStyle name="Currency 2" xfId="421" xr:uid="{53E73DC3-E597-4923-9EE4-92F5CA090820}"/>
    <cellStyle name="Currency 2 2" xfId="432" xr:uid="{EC7438A6-2D16-462C-96D5-6BF65001C3E2}"/>
    <cellStyle name="Currency0" xfId="38" xr:uid="{028BE39C-2285-495F-B315-062C211FBB1C}"/>
    <cellStyle name="Currency0 2" xfId="419" xr:uid="{45B3B29B-25D6-4012-90BA-2BF6D119FA49}"/>
    <cellStyle name="Date" xfId="39" xr:uid="{3C3DBF63-BD76-4A47-812C-F5CD0107F01E}"/>
    <cellStyle name="Date 2" xfId="199" xr:uid="{9695B34E-632A-4543-8248-DBF8A5A02797}"/>
    <cellStyle name="Date 2 2" xfId="391" xr:uid="{5495031A-A326-471E-851F-E14418E2A5A3}"/>
    <cellStyle name="Date 3" xfId="418" xr:uid="{BCDDC15A-7DE7-4506-ADEB-27242DF143E5}"/>
    <cellStyle name="Dezimal_03-09-03" xfId="40" xr:uid="{F3F2F85D-7E93-4FFC-9B49-853F085DEF73}"/>
    <cellStyle name="En-tête 1" xfId="41" xr:uid="{4B6A39FA-191D-47FA-BC3F-09659D9C26A4}"/>
    <cellStyle name="En-tête 1 2" xfId="200" xr:uid="{129B5FD7-FFFC-4F6B-9765-CD4F552737D9}"/>
    <cellStyle name="En-tête 1 2 2" xfId="390" xr:uid="{D89FC8E9-0F5C-4D2D-9C88-83BFE9091543}"/>
    <cellStyle name="En-tête 1 3" xfId="417" xr:uid="{999A39AE-6AC8-455A-B8D4-8698529DD3BA}"/>
    <cellStyle name="En-tête 2" xfId="42" xr:uid="{2AFC9E56-FA70-4871-A12F-B701011E6DD1}"/>
    <cellStyle name="En-tête 2 2" xfId="201" xr:uid="{17F15DBA-B7CB-48CA-B3B2-92860A07BC1B}"/>
    <cellStyle name="En-tête 2 2 2" xfId="389" xr:uid="{28FCE25F-81DB-4AD8-BD0C-4A2A40EAE672}"/>
    <cellStyle name="En-tête 2 3" xfId="416" xr:uid="{05E048F7-5E89-4A15-878D-17FAA82BB811}"/>
    <cellStyle name="Explanatory Text" xfId="43" xr:uid="{894C75E4-674E-4CC7-9207-99DD29FAFFAC}"/>
    <cellStyle name="Explanatory Text 2" xfId="202" xr:uid="{43726FDA-176A-4610-AE74-8608C370EA96}"/>
    <cellStyle name="Financier0" xfId="44" xr:uid="{86F4128E-4A2C-4F7F-8F71-1C0A4698BA28}"/>
    <cellStyle name="Financier0 2" xfId="203" xr:uid="{6F0D7C72-4904-41E7-9F49-655EAAD14F68}"/>
    <cellStyle name="Financier0 2 2" xfId="388" xr:uid="{4DF717AB-8480-4CF7-BA7B-6F6035A938B9}"/>
    <cellStyle name="Financier0 3" xfId="415" xr:uid="{3F3D3693-45E7-4F1A-90E2-BBB3A5F5B68D}"/>
    <cellStyle name="Fixed" xfId="45" xr:uid="{D726E947-6F33-45FC-AD41-4A857E36A5B8}"/>
    <cellStyle name="Fixed 2" xfId="414" xr:uid="{6E05CCC4-1F88-4BB3-9F4A-1E7C08FB5970}"/>
    <cellStyle name="Good" xfId="46" xr:uid="{CD6CF26A-670B-48E5-BEE1-5CBA3FE187AD}"/>
    <cellStyle name="Good 2" xfId="204" xr:uid="{4CAED96E-EC03-45B0-9772-4F0FB396E21D}"/>
    <cellStyle name="Heading 1" xfId="47" xr:uid="{73690D5E-4FBA-41C6-B0B0-B9A6DCEC5906}"/>
    <cellStyle name="Heading 1 2" xfId="205" xr:uid="{B18DDDC5-DC86-4C52-A658-3E1DE971C6B3}"/>
    <cellStyle name="Heading 2" xfId="48" xr:uid="{E32590D5-FB34-4D83-9C25-1424A1BB2D1E}"/>
    <cellStyle name="Heading 2 2" xfId="206" xr:uid="{96584DCC-7A13-46A7-B8F2-DBF7A18FD163}"/>
    <cellStyle name="Heading 3" xfId="49" xr:uid="{CC4FAC88-B7C2-4179-B620-D81DDA236D84}"/>
    <cellStyle name="Heading 3 2" xfId="207" xr:uid="{6C6BE92E-DAA8-4D0F-81FE-0F98DB2D689D}"/>
    <cellStyle name="Heading 4" xfId="50" xr:uid="{76B593A8-4FC1-4204-A68A-C40DA98DA389}"/>
    <cellStyle name="Heading 4 2" xfId="208" xr:uid="{04F39645-2A55-42B4-A17A-4AF64832B0D7}"/>
    <cellStyle name="Hyperlink 2" xfId="209" xr:uid="{C0F39289-2F81-49C1-85F0-6C4D98A9DC7A}"/>
    <cellStyle name="Input" xfId="51" xr:uid="{188BEF1C-8EF6-45CE-ABCB-9B4588699A4E}"/>
    <cellStyle name="Input 2" xfId="210" xr:uid="{D07FD5ED-A4B3-4279-94C0-8DA0AA726676}"/>
    <cellStyle name="Lien hypertexte 2" xfId="52" xr:uid="{EBC18255-F9AF-443B-A8CE-82FEDD77DFF3}"/>
    <cellStyle name="Lien hypertexte 3" xfId="349" xr:uid="{5F44D7C3-8920-445F-B6E8-24DE3626137A}"/>
    <cellStyle name="Linked Cell" xfId="53" xr:uid="{0E161ACA-84E5-4D50-BE95-B91B5633900E}"/>
    <cellStyle name="Linked Cell 2" xfId="211" xr:uid="{8B9A5057-3BB6-4872-9318-40CD169F35C1}"/>
    <cellStyle name="Milliers" xfId="1" builtinId="3"/>
    <cellStyle name="Milliers 2" xfId="54" xr:uid="{AEFE9F53-A0E9-4DA9-8690-481107B178ED}"/>
    <cellStyle name="Milliers 3" xfId="350" xr:uid="{93369DC9-5F4F-4D8C-BC08-537C18700CCB}"/>
    <cellStyle name="Milliers 3 2" xfId="295" xr:uid="{248159BB-CCC4-4F17-9CCE-BF4F8FE34D2A}"/>
    <cellStyle name="Milliers 4" xfId="371" xr:uid="{E7764AD7-C9EB-4074-AF56-9F16F0CCB329}"/>
    <cellStyle name="Monétaire0" xfId="55" xr:uid="{756051A9-961D-4E48-9DFB-687305925504}"/>
    <cellStyle name="Monétaire0 2" xfId="212" xr:uid="{E9802F85-100E-4E34-A496-9F3637306FC7}"/>
    <cellStyle name="Monétaire0 2 2" xfId="387" xr:uid="{D691F2D9-56C4-4E27-ABCE-90AF785519A9}"/>
    <cellStyle name="Monétaire0 3" xfId="413" xr:uid="{DAA5F4F8-E11A-4C93-8BF8-BFEDD0C8F730}"/>
    <cellStyle name="Motif" xfId="56" xr:uid="{D1096B0B-D70F-4F31-BCB2-7D5310189130}"/>
    <cellStyle name="Motif 2" xfId="412" xr:uid="{914D6312-8D45-4D42-89C7-9484BEA3204A}"/>
    <cellStyle name="Neutral" xfId="57" xr:uid="{8EC1B5FF-8982-48B2-9E96-86EDA5C9D025}"/>
    <cellStyle name="Neutral 2" xfId="213" xr:uid="{2301E48D-C0BB-43AE-87FC-F491050B195E}"/>
    <cellStyle name="Normaali_Eduskuntavaalit" xfId="58" xr:uid="{55D95882-BF02-4E9C-A335-812111E96041}"/>
    <cellStyle name="Normal" xfId="0" builtinId="0"/>
    <cellStyle name="Normal 10" xfId="59" xr:uid="{52E03F0D-5615-4577-9EB6-490BED3DC8F0}"/>
    <cellStyle name="Normal 10 2" xfId="60" xr:uid="{3960728C-159E-42B2-8ABB-C29217C29477}"/>
    <cellStyle name="Normal 10 2 2" xfId="61" xr:uid="{B1BA20B0-AB6D-4DF5-AA09-4FCA81F1AC5F}"/>
    <cellStyle name="Normal 10 3" xfId="62" xr:uid="{61D8713A-B45B-457E-ADF3-CBB3BDA60A68}"/>
    <cellStyle name="Normal 10 3 2" xfId="363" xr:uid="{20BA16FC-D1AD-4064-B80E-AC7CD7AB983D}"/>
    <cellStyle name="Normal 10 4" xfId="351" xr:uid="{D73B08A1-9D9C-48F9-B440-8295BA0B0A55}"/>
    <cellStyle name="Normal 10 4 2" xfId="352" xr:uid="{49983AC0-F372-4062-B1A6-7FD796DC4557}"/>
    <cellStyle name="Normal 10 5" xfId="353" xr:uid="{E204EDC4-0AAF-4580-97B3-789DD958471E}"/>
    <cellStyle name="Normal 11" xfId="63" xr:uid="{B4CF61A8-2B33-4F15-A721-6D191CCD0CCE}"/>
    <cellStyle name="Normal 11 2" xfId="64" xr:uid="{4AE89849-9032-4E83-9E38-29531629FD0D}"/>
    <cellStyle name="Normal 11 2 2" xfId="65" xr:uid="{85B6CBFD-1AC6-4FD7-89A0-73E6D80FC6DD}"/>
    <cellStyle name="Normal 11 3" xfId="66" xr:uid="{03551366-065A-4E55-B773-0754EDF5D249}"/>
    <cellStyle name="Normal 11 4" xfId="369" xr:uid="{3EEFCFFA-A299-4CF4-AD24-CE84EBA565AD}"/>
    <cellStyle name="Normal 12" xfId="67" xr:uid="{1EF87DBF-306A-4A21-A217-49C555BCA1AA}"/>
    <cellStyle name="Normal 12 2" xfId="68" xr:uid="{3A721FC0-E9BD-4219-8436-2E5420198C97}"/>
    <cellStyle name="Normal 12 2 2" xfId="311" xr:uid="{055C41D9-DC99-491A-AF73-F106AE6A0A20}"/>
    <cellStyle name="Normal 12 3" xfId="312" xr:uid="{15774E17-CCC9-4594-9F7B-40882C928F98}"/>
    <cellStyle name="Normal 13" xfId="69" xr:uid="{8D37E882-726F-4B7B-A74A-5E75CB8651CF}"/>
    <cellStyle name="Normal 13 2" xfId="70" xr:uid="{6DD675AB-BDFF-4E3A-9063-74035326BB43}"/>
    <cellStyle name="Normal 13 3" xfId="71" xr:uid="{1FB3E7A8-9EA9-4262-81DE-ACC075FE3684}"/>
    <cellStyle name="Normal 13 4" xfId="354" xr:uid="{2358228A-D2E4-4C2F-99F4-56BB55D68304}"/>
    <cellStyle name="Normal 14" xfId="72" xr:uid="{696EC7B7-3E48-4878-BA6B-61B0F5493CF9}"/>
    <cellStyle name="Normal 15" xfId="73" xr:uid="{1D143AC0-DFD2-4310-B528-867A94491250}"/>
    <cellStyle name="Normal 15 2" xfId="214" xr:uid="{9E486216-E737-4623-941C-137C96AEF0C6}"/>
    <cellStyle name="Normal 15 2 2" xfId="313" xr:uid="{02D13FAE-4CBF-4923-9A37-44B840B52FAF}"/>
    <cellStyle name="Normal 15 3" xfId="215" xr:uid="{86093187-A7AC-48D4-8F5C-973C12F89594}"/>
    <cellStyle name="Normal 15 4" xfId="216" xr:uid="{EB7C1A68-E194-414E-A913-A4AB157755BF}"/>
    <cellStyle name="Normal 16" xfId="74" xr:uid="{034BC1D9-A5DD-40B7-AB35-F6F65C709D73}"/>
    <cellStyle name="Normal 16 2" xfId="365" xr:uid="{9A3C725C-FB44-4CD5-80DE-EB4628E9BF05}"/>
    <cellStyle name="Normal 17" xfId="217" xr:uid="{AF4235FB-A52D-4D2B-A70B-BEDA912D7B27}"/>
    <cellStyle name="Normal 17 2" xfId="386" xr:uid="{B5133516-E16E-4243-93E5-A268684CDA9E}"/>
    <cellStyle name="Normal 18" xfId="218" xr:uid="{004601E8-39AD-47A2-BF3A-3CCB959A0276}"/>
    <cellStyle name="Normal 19" xfId="219" xr:uid="{653B8130-DD61-4E50-9E65-75B7F42637A3}"/>
    <cellStyle name="Normal 2" xfId="75" xr:uid="{8FB4739F-37B7-4332-9340-558BA384A6DF}"/>
    <cellStyle name="Normal 2 2" xfId="76" xr:uid="{32868647-70DD-4AFB-87C6-38BA4B7CB059}"/>
    <cellStyle name="Normal 2 2 2" xfId="77" xr:uid="{63C863AE-9FF6-4796-BDB3-E0E01312F41B}"/>
    <cellStyle name="Normal 2 2 2 2" xfId="409" xr:uid="{377FE81D-7C3C-448F-8AC6-429B23399AA8}"/>
    <cellStyle name="Normal 2 2 3" xfId="422" xr:uid="{0FF052BD-E022-4F4A-B34E-AC2C2C17E0AE}"/>
    <cellStyle name="Normal 2 2 3 2" xfId="433" xr:uid="{BAAC0A6D-07F6-4F79-B879-0312EE95996E}"/>
    <cellStyle name="Normal 2 2 4" xfId="410" xr:uid="{D045201F-2842-4DB9-BA8B-344AEF55424C}"/>
    <cellStyle name="Normal 2 3" xfId="78" xr:uid="{F3395FBD-5EB2-4D8F-B5E4-1F449205FEED}"/>
    <cellStyle name="Normal 2 3 2" xfId="408" xr:uid="{247DD688-9EB2-4EE4-8246-E2FDE755A34E}"/>
    <cellStyle name="Normal 2 4" xfId="79" xr:uid="{8DAAB1D4-A787-404B-BF99-7D207AED5808}"/>
    <cellStyle name="Normal 2 4 2" xfId="80" xr:uid="{EF80FAFB-9A5E-445F-8864-C4D879E8BAF4}"/>
    <cellStyle name="Normal 2 4 3" xfId="81" xr:uid="{1407708A-5AB7-4814-906F-8A81D0CC275C}"/>
    <cellStyle name="Normal 2 5" xfId="82" xr:uid="{E98E5397-179B-4551-90B8-876C6557AD88}"/>
    <cellStyle name="Normal 2 5 2" xfId="407" xr:uid="{E9F8CE18-64C8-4CF7-8ABC-2C9AC556E44D}"/>
    <cellStyle name="Normal 2 6" xfId="220" xr:uid="{DBB9AD0D-F0DD-415D-A6FF-8F3FF6933DB2}"/>
    <cellStyle name="Normal 2 6 2" xfId="385" xr:uid="{EC4CB868-7278-4A27-95DB-CF3A53A7D915}"/>
    <cellStyle name="Normal 2 7" xfId="347" xr:uid="{8AC398CF-CF87-4CAF-BB6F-7A61DACE4C20}"/>
    <cellStyle name="Normal 2_AccumulationEquation" xfId="83" xr:uid="{AD99970B-21EC-452C-9715-52BC8651E413}"/>
    <cellStyle name="Normal 20" xfId="221" xr:uid="{DB33088C-D7DB-4B1A-9D4F-C49D912F00BB}"/>
    <cellStyle name="Normal 20 2" xfId="314" xr:uid="{974490F2-B3AD-4F19-BF22-31C97C70C1EC}"/>
    <cellStyle name="Normal 21" xfId="222" xr:uid="{5529F74B-D33A-4234-B1B0-F11986C69282}"/>
    <cellStyle name="Normal 21 2" xfId="315" xr:uid="{1A662E7D-9251-454E-8BC0-0D34FE5735CB}"/>
    <cellStyle name="Normal 22" xfId="223" xr:uid="{6EAD4662-28EE-4AB0-9739-6EEB96A7E0D3}"/>
    <cellStyle name="Normal 22 2" xfId="316" xr:uid="{7A92E4B2-B3F0-47DA-8C12-2C71E84DB120}"/>
    <cellStyle name="Normal 23" xfId="224" xr:uid="{F47D85EB-1BE7-457A-86DD-A0BDEBAF8407}"/>
    <cellStyle name="Normal 23 2" xfId="317" xr:uid="{A73B4FEF-E5ED-4DC8-A906-6B6014F7503B}"/>
    <cellStyle name="Normal 24" xfId="225" xr:uid="{C52E3C52-1053-4C5B-9A5D-FE0C96A00FB0}"/>
    <cellStyle name="Normal 24 2" xfId="318" xr:uid="{6D664ED2-B7C6-4749-AC40-F933A377BA5F}"/>
    <cellStyle name="Normal 25" xfId="226" xr:uid="{F22BA64E-16C6-4CB4-9E60-CB2D72BC3D0A}"/>
    <cellStyle name="Normal 25 2" xfId="319" xr:uid="{742B43F9-C3BE-477B-8906-DAE175E43534}"/>
    <cellStyle name="Normal 26" xfId="227" xr:uid="{C96CC861-DF87-4839-B19B-60849033FDEF}"/>
    <cellStyle name="Normal 27" xfId="228" xr:uid="{8AEED47D-5D54-450C-AF09-9CD1CAFB1366}"/>
    <cellStyle name="Normal 27 2" xfId="320" xr:uid="{4638D98A-4D0A-4F28-A716-7C3E47F0FB18}"/>
    <cellStyle name="Normal 28" xfId="229" xr:uid="{2BF2AC53-9C33-4E91-B3F2-E848D77BBAF9}"/>
    <cellStyle name="Normal 28 2" xfId="321" xr:uid="{A336FBE7-895E-4176-99C6-238951ED904D}"/>
    <cellStyle name="Normal 29" xfId="230" xr:uid="{EE8A12D1-920A-4045-9B44-7AF46F2182C4}"/>
    <cellStyle name="Normal 29 2" xfId="322" xr:uid="{2E4A6B7C-90D1-47D4-87FA-23D815B53572}"/>
    <cellStyle name="Normal 3" xfId="84" xr:uid="{C8C69782-A290-46AC-BAC0-79BD2286A321}"/>
    <cellStyle name="Normal 3 10" xfId="323" xr:uid="{217CD434-507D-4A18-A301-1DCADD924C53}"/>
    <cellStyle name="Normal 3 2" xfId="85" xr:uid="{9A7DBFBC-C705-4F2E-AD9A-38CE42DE4A8D}"/>
    <cellStyle name="Normal 3 2 2" xfId="231" xr:uid="{87D5F332-90B1-4D0A-9360-3096D37BC42A}"/>
    <cellStyle name="Normal 3 2 2 2" xfId="232" xr:uid="{6F1D4818-7C67-4125-B5C5-332B4A44CD91}"/>
    <cellStyle name="Normal 3 2 2 3" xfId="324" xr:uid="{5B1E2900-C388-4F79-AFFB-E07802408C73}"/>
    <cellStyle name="Normal 3 2 2 3 2" xfId="325" xr:uid="{5FE8B0EF-5C95-4D9A-A145-66A7CF97A05B}"/>
    <cellStyle name="Normal 3 2 2 4" xfId="326" xr:uid="{F7315B7D-1E03-48F4-AAB5-57B99A3D470D}"/>
    <cellStyle name="Normal 3 2 2 5" xfId="327" xr:uid="{67A69836-EB84-4A67-B235-2DEA538F23BD}"/>
    <cellStyle name="Normal 3 2 3" xfId="233" xr:uid="{AA133778-EDF2-4A7B-A6F2-808072B2A26F}"/>
    <cellStyle name="Normal 3 2 4" xfId="234" xr:uid="{37E8B595-396D-43C8-8BC1-C6FD1C548445}"/>
    <cellStyle name="Normal 3 2 4 2" xfId="235" xr:uid="{C85D742A-3F78-4138-BD29-6F04F8D0BF7C}"/>
    <cellStyle name="Normal 3 2 4 2 2" xfId="328" xr:uid="{F8BF1B69-90D9-4B26-BF9C-9DE5551E939E}"/>
    <cellStyle name="Normal 3 2 4 3" xfId="384" xr:uid="{9688FEE4-4A3B-4254-8B85-006371D4C178}"/>
    <cellStyle name="Normal 3 2 5" xfId="236" xr:uid="{CA67F443-18CA-4E70-AEC8-7DA46F5D8343}"/>
    <cellStyle name="Normal 3 2 6" xfId="237" xr:uid="{F6BC82BC-2601-4A1D-8335-557F51DAC978}"/>
    <cellStyle name="Normal 3 2 6 2" xfId="329" xr:uid="{076AADF0-E02A-412A-A8CF-E52DD4013DF0}"/>
    <cellStyle name="Normal 3 2 7" xfId="330" xr:uid="{25E36A2B-9E20-465B-823F-AC2186B657FE}"/>
    <cellStyle name="Normal 3 2 7 2" xfId="331" xr:uid="{D8C21775-20BB-424F-8539-B8BCC3B30399}"/>
    <cellStyle name="Normal 3 2 8" xfId="406" xr:uid="{8D52ECA7-5958-4A6C-9EC6-1B0BAD5F4427}"/>
    <cellStyle name="Normal 3 3" xfId="86" xr:uid="{CF121738-AE81-4159-B512-F5C5119F80CD}"/>
    <cellStyle name="Normal 3 3 2" xfId="405" xr:uid="{7022DE96-4B95-4B4C-9111-22386CE7DA89}"/>
    <cellStyle name="Normal 3 4" xfId="238" xr:uid="{B260B709-D896-4945-94F9-931DF21925CB}"/>
    <cellStyle name="Normal 3 4 2" xfId="332" xr:uid="{345F6B1B-8D41-4897-93F3-3FE267F2ABE0}"/>
    <cellStyle name="Normal 3 5" xfId="239" xr:uid="{B15A0B20-FA44-4AAA-98E6-88457E9B5371}"/>
    <cellStyle name="Normal 3 6" xfId="240" xr:uid="{0D8EEC58-9ECC-4FDC-B2FA-0D5EDE80F062}"/>
    <cellStyle name="Normal 3 7" xfId="241" xr:uid="{1E288846-81F3-4A79-8128-64D6CAF72B00}"/>
    <cellStyle name="Normal 3 7 2" xfId="383" xr:uid="{EE521F6E-A7A9-4349-9616-3683C8B38DC7}"/>
    <cellStyle name="Normal 3 8" xfId="242" xr:uid="{D8123D6A-B868-4E6A-81BC-C6B711208ACB}"/>
    <cellStyle name="Normal 3 8 2" xfId="333" xr:uid="{7173F86C-B35C-46AF-BC08-95F8B05E4035}"/>
    <cellStyle name="Normal 3 9" xfId="243" xr:uid="{4CED9CC7-B274-438A-8081-97E815FD617C}"/>
    <cellStyle name="Normal 30" xfId="244" xr:uid="{E652E3CA-A07D-4A22-8391-426D97D0DEEC}"/>
    <cellStyle name="Normal 30 2" xfId="334" xr:uid="{0D201F90-1FB2-4B3D-9336-1B5212988404}"/>
    <cellStyle name="Normal 31" xfId="245" xr:uid="{5B3A32E7-B834-4F5C-8B5F-8F50FE67F845}"/>
    <cellStyle name="Normal 31 2" xfId="335" xr:uid="{803A083B-CF48-4B07-B69E-BD187624C19D}"/>
    <cellStyle name="Normal 32" xfId="246" xr:uid="{B71EA233-A8AD-471B-A60C-D4E2BFEAC9E3}"/>
    <cellStyle name="Normal 32 2" xfId="382" xr:uid="{8982658A-917F-470E-837B-5EC0A49C0B48}"/>
    <cellStyle name="Normal 33" xfId="247" xr:uid="{D4E25F8F-5181-41FB-B04E-2F1700E660C8}"/>
    <cellStyle name="Normal 33 2" xfId="248" xr:uid="{8069E7FE-A28D-4B8F-9CAD-495BCB0C7095}"/>
    <cellStyle name="Normal 34" xfId="249" xr:uid="{0306679B-85DE-42C4-9132-C1BDEDA7A76A}"/>
    <cellStyle name="Normal 35" xfId="250" xr:uid="{78195041-5D39-4BCB-B290-5ED2BB3FE02D}"/>
    <cellStyle name="Normal 36" xfId="251" xr:uid="{798D34B8-CF08-4DE3-8522-356AF09CCA11}"/>
    <cellStyle name="Normal 36 2" xfId="252" xr:uid="{535E90C7-AAE3-42AD-B6A8-5DE88888335D}"/>
    <cellStyle name="Normal 37" xfId="253" xr:uid="{06C5DA55-EEA3-4C08-81EB-D4C8036506F2}"/>
    <cellStyle name="Normal 38" xfId="370" xr:uid="{4B29C865-76A1-424D-B61D-2104A9020EA1}"/>
    <cellStyle name="Normal 39" xfId="381" xr:uid="{318B499E-91F1-499D-B1B2-3023F6BF700B}"/>
    <cellStyle name="Normal 4" xfId="87" xr:uid="{128C01A6-EF40-47E0-B8EB-0BCC46AE3110}"/>
    <cellStyle name="Normal 4 2" xfId="88" xr:uid="{DDDCFDB6-3F25-4768-8857-E50B9284F5EE}"/>
    <cellStyle name="Normal 4 3" xfId="89" xr:uid="{B89EA7C9-C441-4F14-9B6F-35B3617130A5}"/>
    <cellStyle name="Normal 4 4" xfId="254" xr:uid="{5B196846-340C-4760-BA31-0497F97E6769}"/>
    <cellStyle name="Normal 4 4 2" xfId="255" xr:uid="{450FEC73-6106-46AB-8E8B-8DC1AC254281}"/>
    <cellStyle name="Normal 4 5" xfId="256" xr:uid="{00E5BFC2-E226-4AF3-B489-791C6AEF77A0}"/>
    <cellStyle name="Normal 4 5 2" xfId="257" xr:uid="{1C64B7B0-709B-4ED6-BC7D-5D43C5FD4625}"/>
    <cellStyle name="Normal 4 6" xfId="336" xr:uid="{82E24299-D7BA-4FE5-B384-6B47026EA54B}"/>
    <cellStyle name="Normal 40" xfId="3" xr:uid="{C74608C2-D360-492B-9CB7-68D4926CA371}"/>
    <cellStyle name="Normal 5" xfId="90" xr:uid="{CC118E57-DC46-4CD6-B967-DBF092646EAC}"/>
    <cellStyle name="Normal 5 2" xfId="258" xr:uid="{9508BBD4-8B73-48EE-A71A-C010997246AE}"/>
    <cellStyle name="Normal 5 3" xfId="404" xr:uid="{F7BDBC72-57E7-46E4-9967-B44FFADFB863}"/>
    <cellStyle name="Normal 6" xfId="91" xr:uid="{17AF7184-7583-4969-9126-E83232955F95}"/>
    <cellStyle name="Normal 6 2" xfId="259" xr:uid="{4169865B-699D-4445-8200-AC569878FEC4}"/>
    <cellStyle name="Normal 7" xfId="92" xr:uid="{6D1BC80A-D335-4343-A63C-AF147C2C3605}"/>
    <cellStyle name="Normal 7 2" xfId="260" xr:uid="{D47D07C1-7C97-408F-B992-B8812579F027}"/>
    <cellStyle name="Normal 8" xfId="93" xr:uid="{C98B231D-5699-4259-8168-3D2E95420E34}"/>
    <cellStyle name="Normal 8 2" xfId="94" xr:uid="{62777EE8-8095-4D6A-97B5-4A830FD074C8}"/>
    <cellStyle name="Normal 8 2 2" xfId="423" xr:uid="{5D5A554E-2D36-42C7-BF48-B1ABA917AB9B}"/>
    <cellStyle name="Normal 8 3" xfId="372" xr:uid="{27098458-1372-4CBD-9D22-0FC77D3EF04D}"/>
    <cellStyle name="Normal 8 3 2" xfId="427" xr:uid="{FA40A1A7-2AC7-4961-9CFF-6734A0803829}"/>
    <cellStyle name="Normal 8 4" xfId="403" xr:uid="{EB0846CB-2D7E-4063-B166-A75641D430F8}"/>
    <cellStyle name="Normal 9" xfId="95" xr:uid="{0920C2AF-0535-4277-829D-E2D22A349E51}"/>
    <cellStyle name="Normal 9 2" xfId="424" xr:uid="{1CDC6DA1-1DC1-4AAD-9DED-7FDB8392DA4C}"/>
    <cellStyle name="Normal GHG whole table" xfId="96" xr:uid="{5EB47A8B-B775-414C-87B2-A07FD4E58D23}"/>
    <cellStyle name="Normal-blank" xfId="97" xr:uid="{CCC4083D-64E1-4098-9D93-2075E10D54F7}"/>
    <cellStyle name="Normal-bottom" xfId="98" xr:uid="{DA228440-6DE0-49A9-A747-32EC188CA6C9}"/>
    <cellStyle name="Normal-center" xfId="99" xr:uid="{80AE33F2-CF00-4860-AA49-F24395340F23}"/>
    <cellStyle name="Normal-droit" xfId="100" xr:uid="{DB4C17D6-300D-4198-9BE7-0280101B0862}"/>
    <cellStyle name="normální_Nove vystupy_DOPOCTENE" xfId="102" xr:uid="{AE2E9806-4BB7-41B6-AD73-9A935310DDCF}"/>
    <cellStyle name="Normal-top" xfId="101" xr:uid="{D3A63369-A77A-4771-A3D8-F0BB28373BD1}"/>
    <cellStyle name="Note 2" xfId="261" xr:uid="{2AA5F619-5FF3-4B4F-8A6F-F5DF0C7B5C06}"/>
    <cellStyle name="Note 3" xfId="262" xr:uid="{77C0441B-7AC5-4B5F-99F8-DE96E9F0901C}"/>
    <cellStyle name="Note 4" xfId="103" xr:uid="{E9F30224-01BC-4DB0-8EFB-8266282D1C41}"/>
    <cellStyle name="Note 5" xfId="402" xr:uid="{43E8021E-8437-45CA-930E-6BD57CA700DD}"/>
    <cellStyle name="Output" xfId="104" xr:uid="{A3369340-7667-466D-A6AC-E9E134EBF21D}"/>
    <cellStyle name="Output 2" xfId="263" xr:uid="{69C4E23A-151F-4736-904A-08456194AB75}"/>
    <cellStyle name="Percent 10" xfId="264" xr:uid="{7C08A53C-45B1-4215-A9E2-D6881EEE7C3D}"/>
    <cellStyle name="Percent 10 2" xfId="265" xr:uid="{8D759EEE-1744-41B8-B04F-FF53195E7359}"/>
    <cellStyle name="Percent 11" xfId="266" xr:uid="{E09204FF-9B65-4E86-A97E-F71E7291F3F6}"/>
    <cellStyle name="Percent 11 2" xfId="380" xr:uid="{962B6493-0DD7-494A-8195-FDF25CA40578}"/>
    <cellStyle name="Percent 12" xfId="267" xr:uid="{A75FA6B2-95E1-4DE5-8DF7-197827F6E3AA}"/>
    <cellStyle name="Percent 12 2" xfId="268" xr:uid="{88EEE7A0-1B01-4C1D-B619-ED46F6A3A6E0}"/>
    <cellStyle name="Percent 12 2 2" xfId="337" xr:uid="{C5C85C2F-11C3-4F70-A8F8-DF1778D7ACA5}"/>
    <cellStyle name="Percent 13" xfId="269" xr:uid="{FB9E4E4A-637D-441A-ABBE-D97C04DD756A}"/>
    <cellStyle name="Percent 13 2" xfId="379" xr:uid="{0FBBE8DD-93F8-48E6-A8D0-8E81A9F341A1}"/>
    <cellStyle name="Percent 14" xfId="270" xr:uid="{AEE6E96C-ABD4-4056-9198-5A3748989200}"/>
    <cellStyle name="Percent 15" xfId="271" xr:uid="{1CE13F37-2E31-440F-B04F-A66FE2E4D980}"/>
    <cellStyle name="Percent 15 2" xfId="338" xr:uid="{876133B6-56CD-4861-A6E1-09E6D54C003B}"/>
    <cellStyle name="Percent 16" xfId="272" xr:uid="{613A0CC3-0255-4702-82F2-0DA031B1B5C8}"/>
    <cellStyle name="Percent 16 2" xfId="339" xr:uid="{B84121C4-E0C8-4BAB-83FC-CA8955DC7B3E}"/>
    <cellStyle name="Percent 17" xfId="273" xr:uid="{E5A98FBA-1E27-4663-8D68-D41018DC3103}"/>
    <cellStyle name="Percent 18" xfId="274" xr:uid="{A5280CD7-BF4A-440A-B8DC-40CBB14A5191}"/>
    <cellStyle name="Percent 19" xfId="275" xr:uid="{52CC7F44-DD05-4EE3-8275-E0D60200E8E1}"/>
    <cellStyle name="Percent 19 2" xfId="378" xr:uid="{EB96EF82-19BD-4947-8EB1-391963A62A4D}"/>
    <cellStyle name="Percent 2" xfId="105" xr:uid="{342ABC10-2C36-4991-A39C-7A90F9E3D517}"/>
    <cellStyle name="Percent 2 2" xfId="106" xr:uid="{2AD84E5D-C752-427D-972C-A85A116B7394}"/>
    <cellStyle name="Percent 2 2 2" xfId="340" xr:uid="{318954F1-C42B-477A-BDB6-D5A2AFEF81B6}"/>
    <cellStyle name="Percent 2 3" xfId="107" xr:uid="{C79B74D8-738F-4E36-AAC1-DE5C7FF76036}"/>
    <cellStyle name="Percent 2 4" xfId="276" xr:uid="{188D0ABE-C85F-4BDD-8445-4D97AACE0052}"/>
    <cellStyle name="Percent 2 5" xfId="348" xr:uid="{B06AE015-A6B4-4C5E-A0F8-7E564D7D60A5}"/>
    <cellStyle name="Percent 3" xfId="108" xr:uid="{E993C3CD-FF41-42AE-BE52-050D89E2C6E6}"/>
    <cellStyle name="Percent 3 2" xfId="277" xr:uid="{B5C550C5-C71A-4250-BE52-D4F1BC2E82BB}"/>
    <cellStyle name="Percent 3 2 2" xfId="377" xr:uid="{28E59828-A048-433A-AFF2-4E487ECABC24}"/>
    <cellStyle name="Percent 3 3" xfId="367" xr:uid="{644A44A2-9ADD-4DDA-AAF2-69E0B844F1E2}"/>
    <cellStyle name="Percent 3 3 2" xfId="296" xr:uid="{224A18C3-1594-43CE-B1CF-927639AC5E42}"/>
    <cellStyle name="Percent 3 4" xfId="401" xr:uid="{4B6DCC73-D681-4AB4-A57E-3C6361379880}"/>
    <cellStyle name="Percent 4" xfId="109" xr:uid="{CBE4EFB0-3F35-4473-9132-2A03496ACCB9}"/>
    <cellStyle name="Percent 4 2" xfId="278" xr:uid="{379CC56A-9C66-4A62-8B47-5C2BC44DE44A}"/>
    <cellStyle name="Percent 4 2 2" xfId="279" xr:uid="{4A541769-DDE1-46CA-92DD-027A1D1204E0}"/>
    <cellStyle name="Percent 4 3" xfId="280" xr:uid="{76BFCB61-9F94-4ED5-86C6-13CDE349D9E7}"/>
    <cellStyle name="Percent 4 3 2" xfId="281" xr:uid="{6EBF406B-6941-4686-96D2-5A03C0937A6D}"/>
    <cellStyle name="Percent 4 4" xfId="341" xr:uid="{9ED9ABA1-0CB5-4060-B468-860238CF2D83}"/>
    <cellStyle name="Percent 5" xfId="282" xr:uid="{24DE47DA-157A-4E96-BCA4-42E58E827E58}"/>
    <cellStyle name="Percent 5 2" xfId="376" xr:uid="{C2620DFD-987B-40CF-86E4-70891A1E451C}"/>
    <cellStyle name="Percent 6" xfId="283" xr:uid="{08039806-C896-4BFB-91E8-EB3213D3F287}"/>
    <cellStyle name="Percent 6 2" xfId="284" xr:uid="{BCDF0134-1DEE-48CE-BA81-00A2CB0614E9}"/>
    <cellStyle name="Percent 7" xfId="285" xr:uid="{1F373238-84BE-46E5-B5D4-F3D8726BED6E}"/>
    <cellStyle name="Percent 7 2" xfId="342" xr:uid="{1A4F5861-0762-4971-86DB-61E81DE025AB}"/>
    <cellStyle name="Percent 7 2 2" xfId="343" xr:uid="{6D3BD4E2-AE88-474A-8003-1D31D655EA8F}"/>
    <cellStyle name="Percent 8" xfId="286" xr:uid="{51A8377E-4302-4A35-A5C2-602F4A46A4A6}"/>
    <cellStyle name="Percent 8 2" xfId="287" xr:uid="{3474F765-2FBC-435B-9C52-B35A51D464CB}"/>
    <cellStyle name="Percent 8 3" xfId="344" xr:uid="{A3DA992C-14F0-4C71-A73E-335833FEA815}"/>
    <cellStyle name="Percent 9" xfId="288" xr:uid="{525A1EA7-0E34-4CD7-B757-7560ED3E2A38}"/>
    <cellStyle name="Percent 9 2" xfId="345" xr:uid="{3BA5FCFE-FB37-4251-BAB9-7C8838753541}"/>
    <cellStyle name="Percent 9 3" xfId="346" xr:uid="{15431DD2-B584-4B5B-88B3-C1D0BB01F42C}"/>
    <cellStyle name="Pilkku_Esimerkkejä kaavioista.xls Kaavio 1" xfId="110" xr:uid="{915D7EA6-A27C-4A55-B835-8E5CCC4B1160}"/>
    <cellStyle name="Pourcentage" xfId="2" builtinId="5"/>
    <cellStyle name="Pourcentage 10" xfId="111" xr:uid="{6EE84608-4D63-477C-8946-0691D61C3B05}"/>
    <cellStyle name="Pourcentage 10 2" xfId="112" xr:uid="{78AF8418-8E21-4789-96D6-46839C097790}"/>
    <cellStyle name="Pourcentage 10 2 2" xfId="113" xr:uid="{3FB3B04F-DA21-487F-B3A5-FC05255F807B}"/>
    <cellStyle name="Pourcentage 10 3" xfId="114" xr:uid="{ED09B8B5-D22D-43CD-AA79-169B0DE8C589}"/>
    <cellStyle name="Pourcentage 10 4" xfId="115" xr:uid="{F1EB9317-4FA0-487A-B93F-3EC2BFF5C701}"/>
    <cellStyle name="Pourcentage 10 5" xfId="366" xr:uid="{DD7F38C0-2D20-4470-868C-6253CAD00805}"/>
    <cellStyle name="Pourcentage 11" xfId="116" xr:uid="{2CEBE82F-F3BC-4BB5-9734-973C406DF271}"/>
    <cellStyle name="Pourcentage 12" xfId="117" xr:uid="{E9785D59-2596-43F3-A41C-288904A0B495}"/>
    <cellStyle name="Pourcentage 12 2" xfId="118" xr:uid="{AC5C3723-B260-4454-B80D-9BF023A256FA}"/>
    <cellStyle name="Pourcentage 12 3" xfId="119" xr:uid="{B20E2165-26C1-432D-BE9F-E3F5D6C3BC87}"/>
    <cellStyle name="Pourcentage 13" xfId="120" xr:uid="{27AE49EA-51A8-4B7E-8E06-D5E066A957E6}"/>
    <cellStyle name="Pourcentage 13 2" xfId="355" xr:uid="{1E9C9923-BDA6-4F2B-B3ED-C309B1CC2EB2}"/>
    <cellStyle name="Pourcentage 14" xfId="154" xr:uid="{2DAF131B-2B30-4524-9533-CD8B99D5A075}"/>
    <cellStyle name="Pourcentage 15" xfId="356" xr:uid="{4D33DAC1-385B-4C59-AC39-3F1959E16083}"/>
    <cellStyle name="Pourcentage 15 2" xfId="425" xr:uid="{EC8D11CF-A936-44C3-80EF-9BB4E347C013}"/>
    <cellStyle name="Pourcentage 16" xfId="357" xr:uid="{44884D39-438A-481B-AE37-81BAFF15BC5B}"/>
    <cellStyle name="Pourcentage 17" xfId="364" xr:uid="{6CB92B7C-54F8-418C-8C49-D48D1823D987}"/>
    <cellStyle name="Pourcentage 18" xfId="394" xr:uid="{5D90E78E-A3E7-4AAA-A284-A8736E916654}"/>
    <cellStyle name="Pourcentage 19" xfId="411" xr:uid="{BF1B8526-F1D4-4E42-BFFE-718D764C07AD}"/>
    <cellStyle name="Pourcentage 2" xfId="121" xr:uid="{0B4F8B67-DC08-40A9-AFCA-2FE3A17ECF4B}"/>
    <cellStyle name="Pourcentage 2 2" xfId="122" xr:uid="{F3917F59-522F-4B1B-98B9-93BAB9CD6DC5}"/>
    <cellStyle name="Pourcentage 2 3" xfId="123" xr:uid="{66E97E30-8E6F-4191-9269-9AEF397C7DD6}"/>
    <cellStyle name="Pourcentage 2 3 2" xfId="358" xr:uid="{85237571-CC2E-4228-BD3E-F0A720683A0B}"/>
    <cellStyle name="Pourcentage 2 3 2 2" xfId="359" xr:uid="{AB0B08C2-0070-4D6A-9327-57CCBDE3901E}"/>
    <cellStyle name="Pourcentage 2 3 3" xfId="360" xr:uid="{8CEA71DA-3FBB-47D7-8F91-0FD261E997BE}"/>
    <cellStyle name="Pourcentage 2 4" xfId="361" xr:uid="{A972D342-03DD-4F85-A2D8-66F777BA01AC}"/>
    <cellStyle name="Pourcentage 2 4 2" xfId="428" xr:uid="{53432AE6-462F-476F-A9A6-4E26FCB76A69}"/>
    <cellStyle name="Pourcentage 2 5" xfId="400" xr:uid="{620DB2C8-11AA-4E90-9540-A883191ACB96}"/>
    <cellStyle name="Pourcentage 20" xfId="4" xr:uid="{C08257A6-1AD3-47F0-A699-526A509757FB}"/>
    <cellStyle name="Pourcentage 3" xfId="124" xr:uid="{76935CE8-3359-4985-86DA-CD6D9A65FFEB}"/>
    <cellStyle name="Pourcentage 3 2" xfId="125" xr:uid="{C06643A5-CA84-4A10-A2AB-9B32B53F1BAF}"/>
    <cellStyle name="Pourcentage 3 3" xfId="399" xr:uid="{6E77B08F-AD01-46CF-B4CA-FB83AA3D994D}"/>
    <cellStyle name="Pourcentage 4" xfId="126" xr:uid="{E599C66C-3AAE-4F5B-A90D-EA36AA63DFB2}"/>
    <cellStyle name="Pourcentage 4 2" xfId="289" xr:uid="{3A454F50-B9DA-4BD6-8C3A-2F549625FB42}"/>
    <cellStyle name="Pourcentage 5" xfId="127" xr:uid="{2DFCD5F8-301A-4396-9839-1040D9A332D1}"/>
    <cellStyle name="Pourcentage 5 2" xfId="128" xr:uid="{C5B4BA7F-9AEF-4C08-894A-8AC6E122967E}"/>
    <cellStyle name="Pourcentage 6" xfId="129" xr:uid="{07BA6F79-311C-48FF-B8AF-55C99D6C518F}"/>
    <cellStyle name="Pourcentage 6 2" xfId="130" xr:uid="{1C526917-41D4-452F-88DF-028525E5832D}"/>
    <cellStyle name="Pourcentage 6 2 2" xfId="362" xr:uid="{1ADB1A15-BD48-4FDE-8C72-A6F936F8ECD5}"/>
    <cellStyle name="Pourcentage 6 2 2 2" xfId="429" xr:uid="{2736C7CA-39B0-4913-B4DC-09D8D79D3895}"/>
    <cellStyle name="Pourcentage 6 2 3" xfId="398" xr:uid="{35EECF5B-F2DC-4C01-9771-2BAEC40E2C0E}"/>
    <cellStyle name="Pourcentage 7" xfId="131" xr:uid="{52C7AE50-6215-42E4-B217-94F9686272FA}"/>
    <cellStyle name="Pourcentage 7 2" xfId="132" xr:uid="{F8D1551A-9479-47F1-AB12-C0DB13152E94}"/>
    <cellStyle name="Pourcentage 7 3" xfId="426" xr:uid="{5A5980A8-4061-4762-867F-8D1D02EAC13D}"/>
    <cellStyle name="Pourcentage 8" xfId="133" xr:uid="{1B44E506-8397-4932-BA8F-5C2C9BA56502}"/>
    <cellStyle name="Pourcentage 8 2" xfId="155" xr:uid="{E30C61B0-FF1D-45D9-A36E-4C6F0F0DA9AF}"/>
    <cellStyle name="Pourcentage 8 2 2" xfId="368" xr:uid="{C27B9CFE-6339-4994-8F01-981410EFD4DE}"/>
    <cellStyle name="Pourcentage 9" xfId="134" xr:uid="{104C8564-2274-460E-B329-B2FDA6D53258}"/>
    <cellStyle name="Pourcentage 9 2" xfId="135" xr:uid="{9F4C539B-347F-4349-B44B-C0C428BAC1A8}"/>
    <cellStyle name="Pourcentage 9 2 2" xfId="136" xr:uid="{2ABC6381-E0DF-4FA1-B869-EE801989CFFE}"/>
    <cellStyle name="Satisfaisant 2" xfId="137" xr:uid="{5FC59CBA-3B8B-458F-B766-0C46624A76C2}"/>
    <cellStyle name="Standard 11" xfId="138" xr:uid="{CAE54BA7-2D29-45BA-8555-C4796AEB3C72}"/>
    <cellStyle name="Standard 11 2" xfId="397" xr:uid="{E7170507-E202-4C34-B546-547BFE53D6A7}"/>
    <cellStyle name="Standard_2 + 3" xfId="139" xr:uid="{73983FBF-B421-4601-8FD9-81DE06394BBB}"/>
    <cellStyle name="Style 24" xfId="140" xr:uid="{D9F02E1D-8CB1-48D5-A256-0122FFCC1F40}"/>
    <cellStyle name="Style 24 2" xfId="396" xr:uid="{B7A71D52-9408-4089-A625-18600EF13E8B}"/>
    <cellStyle name="Style 25" xfId="141" xr:uid="{B4987A87-E6EB-4A35-9C4E-1CF7E72C059B}"/>
    <cellStyle name="Style 25 2" xfId="395" xr:uid="{1F9D9B24-73AD-4AE9-911F-22B7A543A1D4}"/>
    <cellStyle name="style_col_headings" xfId="142" xr:uid="{E5C3D59B-381B-40DC-9FB6-C41BE1D9204B}"/>
    <cellStyle name="TEXT" xfId="143" xr:uid="{7544FF01-9548-4E20-8CD5-3D27674A2EDC}"/>
    <cellStyle name="Title" xfId="144" xr:uid="{E6ADD940-8BFB-453F-AE92-5EA0A5959404}"/>
    <cellStyle name="Titre 2" xfId="145" xr:uid="{76E68D11-AC24-4F09-BF67-7BD251833804}"/>
    <cellStyle name="Titre 1 2" xfId="146" xr:uid="{F96FD001-12B9-427F-9F26-8A2DF4634E32}"/>
    <cellStyle name="Titre 2 2" xfId="147" xr:uid="{64C897FD-FF90-4EEF-9B9D-A003B70DC4DE}"/>
    <cellStyle name="Titre 3 2" xfId="148" xr:uid="{378B9E8C-DF5D-41BB-892A-058DCFB1A820}"/>
    <cellStyle name="Titre 4 2" xfId="149" xr:uid="{FE35D15E-43F6-4A18-BD86-ABA45600344B}"/>
    <cellStyle name="Total 2" xfId="290" xr:uid="{53C4959B-BD75-44B9-A68B-CAE707458C9D}"/>
    <cellStyle name="Vérification 2" xfId="150" xr:uid="{21F90414-44E4-4092-990D-521105E9B197}"/>
    <cellStyle name="Virgule fixe" xfId="151" xr:uid="{4CEF657D-D57A-4B17-B22D-3C17B8288DF0}"/>
    <cellStyle name="Virgule fixe 2" xfId="291" xr:uid="{DD5E6889-4E47-4C4A-914C-DAF8919B5CA6}"/>
    <cellStyle name="Virgule fixe 2 2" xfId="375" xr:uid="{E28520B6-2B08-490D-943C-E1F4FC94BEC4}"/>
    <cellStyle name="Virgule fixe 3" xfId="393" xr:uid="{91078C1C-55B6-4826-B7B5-44561F34A9D4}"/>
    <cellStyle name="Warning Text" xfId="152" xr:uid="{60125B07-7F55-4475-AB70-A3D79018F6DE}"/>
    <cellStyle name="Warning Text 2" xfId="292" xr:uid="{46C9FCC0-8F4D-47A7-8314-E4FA45C4ACBE}"/>
    <cellStyle name="Wrapped" xfId="153" xr:uid="{CD2CC97D-14BF-4282-8A62-B3A3FF8791BF}"/>
    <cellStyle name="一般 2 3" xfId="293" xr:uid="{FE529C80-DAB2-4E80-9A47-EA4BF757C343}"/>
    <cellStyle name="一般 2 3 2" xfId="374" xr:uid="{53814F41-F495-4DF1-87F9-0CD8387665F0}"/>
    <cellStyle name="一般 3" xfId="294" xr:uid="{2D6863A5-B4E1-4774-ACEE-B666C55A4B99}"/>
    <cellStyle name="一般 3 2" xfId="373" xr:uid="{39908A3F-233A-496A-A623-09251AFBE1FA}"/>
  </cellStyles>
  <dxfs count="0"/>
  <tableStyles count="0" defaultTableStyle="TableStyleMedium2" defaultPivotStyle="PivotStyleLight16"/>
  <colors>
    <mruColors>
      <color rgb="FF800080"/>
      <color rgb="FFCC3399"/>
      <color rgb="FFFF6565"/>
      <color rgb="FF9900FF"/>
      <color rgb="FFFF8A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lumMod val="60000"/>
                  <a:lumOff val="40000"/>
                </a:schemeClr>
              </a:solidFill>
              <a:prstDash val="dash"/>
              <a:round/>
            </a:ln>
            <a:effectLst/>
          </c:spPr>
          <c:marker>
            <c:symbol val="none"/>
          </c:marker>
          <c:cat>
            <c:strRef>
              <c:f>FRA!$A$4:$A$10</c:f>
              <c:strCache>
                <c:ptCount val="7"/>
                <c:pt idx="0">
                  <c:v>P0-P50</c:v>
                </c:pt>
                <c:pt idx="1">
                  <c:v>P50-P90</c:v>
                </c:pt>
                <c:pt idx="2">
                  <c:v>P90-P99</c:v>
                </c:pt>
                <c:pt idx="3">
                  <c:v>P99-P99.9</c:v>
                </c:pt>
                <c:pt idx="4">
                  <c:v>P99.9-P99.99</c:v>
                </c:pt>
                <c:pt idx="5">
                  <c:v>P99.99-Billionaires</c:v>
                </c:pt>
                <c:pt idx="6">
                  <c:v>Billionnaires</c:v>
                </c:pt>
              </c:strCache>
            </c:strRef>
          </c:cat>
          <c:val>
            <c:numRef>
              <c:f>FRA!$L$4:$L$10</c:f>
              <c:numCache>
                <c:formatCode>0.0%</c:formatCode>
                <c:ptCount val="7"/>
                <c:pt idx="0">
                  <c:v>0.29750000000000004</c:v>
                </c:pt>
                <c:pt idx="1">
                  <c:v>0.39249999999999996</c:v>
                </c:pt>
                <c:pt idx="2">
                  <c:v>0.46499999999999997</c:v>
                </c:pt>
                <c:pt idx="3">
                  <c:v>0.49282222222222216</c:v>
                </c:pt>
                <c:pt idx="4">
                  <c:v>0.51741111111111104</c:v>
                </c:pt>
                <c:pt idx="5">
                  <c:v>0.46242699999999998</c:v>
                </c:pt>
                <c:pt idx="6">
                  <c:v>0.26035999999999998</c:v>
                </c:pt>
              </c:numCache>
            </c:numRef>
          </c:val>
          <c:smooth val="0"/>
          <c:extLst>
            <c:ext xmlns:c16="http://schemas.microsoft.com/office/drawing/2014/chart" uri="{C3380CC4-5D6E-409C-BE32-E72D297353CC}">
              <c16:uniqueId val="{00000000-159C-4012-8E2A-B4474DE67F7B}"/>
            </c:ext>
          </c:extLst>
        </c:ser>
        <c:ser>
          <c:idx val="1"/>
          <c:order val="1"/>
          <c:spPr>
            <a:ln w="28575" cap="rnd">
              <a:solidFill>
                <a:srgbClr val="002060"/>
              </a:solidFill>
              <a:round/>
            </a:ln>
            <a:effectLst/>
          </c:spPr>
          <c:marker>
            <c:symbol val="none"/>
          </c:marker>
          <c:cat>
            <c:strRef>
              <c:f>FRA!$A$4:$A$10</c:f>
              <c:strCache>
                <c:ptCount val="7"/>
                <c:pt idx="0">
                  <c:v>P0-P50</c:v>
                </c:pt>
                <c:pt idx="1">
                  <c:v>P50-P90</c:v>
                </c:pt>
                <c:pt idx="2">
                  <c:v>P90-P99</c:v>
                </c:pt>
                <c:pt idx="3">
                  <c:v>P99-P99.9</c:v>
                </c:pt>
                <c:pt idx="4">
                  <c:v>P99.9-P99.99</c:v>
                </c:pt>
                <c:pt idx="5">
                  <c:v>P99.99-Billionaires</c:v>
                </c:pt>
                <c:pt idx="6">
                  <c:v>Billionnaires</c:v>
                </c:pt>
              </c:strCache>
            </c:strRef>
          </c:cat>
          <c:val>
            <c:numRef>
              <c:f>FRA!$M$4:$M$10</c:f>
              <c:numCache>
                <c:formatCode>0.0%</c:formatCode>
                <c:ptCount val="7"/>
                <c:pt idx="0">
                  <c:v>0.29750000000000004</c:v>
                </c:pt>
                <c:pt idx="1">
                  <c:v>0.39249999999999996</c:v>
                </c:pt>
                <c:pt idx="2">
                  <c:v>0.46499999999999997</c:v>
                </c:pt>
                <c:pt idx="3">
                  <c:v>0.49282222222222216</c:v>
                </c:pt>
                <c:pt idx="4">
                  <c:v>0.51746103400762522</c:v>
                </c:pt>
                <c:pt idx="5">
                  <c:v>0.5513972279808188</c:v>
                </c:pt>
                <c:pt idx="6">
                  <c:v>0.58019333333333334</c:v>
                </c:pt>
              </c:numCache>
            </c:numRef>
          </c:val>
          <c:smooth val="0"/>
          <c:extLst>
            <c:ext xmlns:c16="http://schemas.microsoft.com/office/drawing/2014/chart" uri="{C3380CC4-5D6E-409C-BE32-E72D297353CC}">
              <c16:uniqueId val="{00000001-159C-4012-8E2A-B4474DE67F7B}"/>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FF6565"/>
              </a:solidFill>
              <a:prstDash val="dash"/>
              <a:round/>
            </a:ln>
            <a:effectLst/>
          </c:spPr>
          <c:marker>
            <c:symbol val="none"/>
          </c:marker>
          <c:cat>
            <c:strRef>
              <c:f>USA!$A$4:$A$10</c:f>
              <c:strCache>
                <c:ptCount val="7"/>
                <c:pt idx="0">
                  <c:v>P0-P50</c:v>
                </c:pt>
                <c:pt idx="1">
                  <c:v>P50-P90</c:v>
                </c:pt>
                <c:pt idx="2">
                  <c:v>P90-P99</c:v>
                </c:pt>
                <c:pt idx="3">
                  <c:v>P99-P99.9</c:v>
                </c:pt>
                <c:pt idx="4">
                  <c:v>P99.9-P99.99</c:v>
                </c:pt>
                <c:pt idx="5">
                  <c:v>P99.99-Billionaires</c:v>
                </c:pt>
                <c:pt idx="6">
                  <c:v>Billionnaires</c:v>
                </c:pt>
              </c:strCache>
            </c:strRef>
          </c:cat>
          <c:val>
            <c:numRef>
              <c:f>USA!$L$4:$L$10</c:f>
              <c:numCache>
                <c:formatCode>0.0%</c:formatCode>
                <c:ptCount val="7"/>
                <c:pt idx="0">
                  <c:v>0.24399999999999999</c:v>
                </c:pt>
                <c:pt idx="1">
                  <c:v>0.27224999999999999</c:v>
                </c:pt>
                <c:pt idx="2">
                  <c:v>0.28149999999999997</c:v>
                </c:pt>
                <c:pt idx="3">
                  <c:v>0.28899999999999998</c:v>
                </c:pt>
                <c:pt idx="4">
                  <c:v>0.33100000000000002</c:v>
                </c:pt>
                <c:pt idx="5">
                  <c:v>0.30399999999999999</c:v>
                </c:pt>
                <c:pt idx="6">
                  <c:v>0.23799999999999999</c:v>
                </c:pt>
              </c:numCache>
            </c:numRef>
          </c:val>
          <c:smooth val="0"/>
          <c:extLst>
            <c:ext xmlns:c16="http://schemas.microsoft.com/office/drawing/2014/chart" uri="{C3380CC4-5D6E-409C-BE32-E72D297353CC}">
              <c16:uniqueId val="{00000000-C7DE-4E0A-A3B8-9AC32025F920}"/>
            </c:ext>
          </c:extLst>
        </c:ser>
        <c:ser>
          <c:idx val="1"/>
          <c:order val="1"/>
          <c:spPr>
            <a:ln w="28575" cap="rnd">
              <a:solidFill>
                <a:srgbClr val="C00000"/>
              </a:solidFill>
              <a:round/>
            </a:ln>
            <a:effectLst/>
          </c:spPr>
          <c:marker>
            <c:symbol val="none"/>
          </c:marker>
          <c:cat>
            <c:strRef>
              <c:f>USA!$A$4:$A$10</c:f>
              <c:strCache>
                <c:ptCount val="7"/>
                <c:pt idx="0">
                  <c:v>P0-P50</c:v>
                </c:pt>
                <c:pt idx="1">
                  <c:v>P50-P90</c:v>
                </c:pt>
                <c:pt idx="2">
                  <c:v>P90-P99</c:v>
                </c:pt>
                <c:pt idx="3">
                  <c:v>P99-P99.9</c:v>
                </c:pt>
                <c:pt idx="4">
                  <c:v>P99.9-P99.99</c:v>
                </c:pt>
                <c:pt idx="5">
                  <c:v>P99.99-Billionaires</c:v>
                </c:pt>
                <c:pt idx="6">
                  <c:v>Billionnaires</c:v>
                </c:pt>
              </c:strCache>
            </c:strRef>
          </c:cat>
          <c:val>
            <c:numRef>
              <c:f>USA!$M$4:$M$10</c:f>
              <c:numCache>
                <c:formatCode>0.0%</c:formatCode>
                <c:ptCount val="7"/>
                <c:pt idx="0">
                  <c:v>0.24399999999999999</c:v>
                </c:pt>
                <c:pt idx="1">
                  <c:v>0.27224999999999999</c:v>
                </c:pt>
                <c:pt idx="2">
                  <c:v>0.28149999999999997</c:v>
                </c:pt>
                <c:pt idx="3">
                  <c:v>0.28899999999999998</c:v>
                </c:pt>
                <c:pt idx="4">
                  <c:v>0.33100000000000002</c:v>
                </c:pt>
                <c:pt idx="5">
                  <c:v>0.3392222222222222</c:v>
                </c:pt>
                <c:pt idx="6">
                  <c:v>0.47509855072463775</c:v>
                </c:pt>
              </c:numCache>
            </c:numRef>
          </c:val>
          <c:smooth val="0"/>
          <c:extLst>
            <c:ext xmlns:c16="http://schemas.microsoft.com/office/drawing/2014/chart" uri="{C3380CC4-5D6E-409C-BE32-E72D297353CC}">
              <c16:uniqueId val="{00000001-C7DE-4E0A-A3B8-9AC32025F92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2">
                  <a:lumMod val="40000"/>
                  <a:lumOff val="60000"/>
                </a:schemeClr>
              </a:solidFill>
              <a:prstDash val="dash"/>
              <a:round/>
            </a:ln>
            <a:effectLst/>
          </c:spPr>
          <c:marker>
            <c:symbol val="none"/>
          </c:marker>
          <c:cat>
            <c:strRef>
              <c:f>NDL!$A$4:$A$10</c:f>
              <c:strCache>
                <c:ptCount val="7"/>
                <c:pt idx="0">
                  <c:v>P0-P50</c:v>
                </c:pt>
                <c:pt idx="1">
                  <c:v>P50-P90</c:v>
                </c:pt>
                <c:pt idx="2">
                  <c:v>P90-P99</c:v>
                </c:pt>
                <c:pt idx="3">
                  <c:v>P99-P99.9</c:v>
                </c:pt>
                <c:pt idx="4">
                  <c:v>P99.9-P99.99</c:v>
                </c:pt>
                <c:pt idx="5">
                  <c:v>P99.99-Billionaires</c:v>
                </c:pt>
                <c:pt idx="6">
                  <c:v>Billionnaires</c:v>
                </c:pt>
              </c:strCache>
            </c:strRef>
          </c:cat>
          <c:val>
            <c:numRef>
              <c:f>NDL!$L$4:$L$10</c:f>
              <c:numCache>
                <c:formatCode>0.0%</c:formatCode>
                <c:ptCount val="7"/>
                <c:pt idx="0">
                  <c:v>0.47125</c:v>
                </c:pt>
                <c:pt idx="1">
                  <c:v>0.47249999999999998</c:v>
                </c:pt>
                <c:pt idx="2">
                  <c:v>0.44</c:v>
                </c:pt>
                <c:pt idx="3">
                  <c:v>0.27</c:v>
                </c:pt>
                <c:pt idx="4">
                  <c:v>0.215</c:v>
                </c:pt>
                <c:pt idx="5">
                  <c:v>0.1895</c:v>
                </c:pt>
                <c:pt idx="6">
                  <c:v>0.16</c:v>
                </c:pt>
              </c:numCache>
            </c:numRef>
          </c:val>
          <c:smooth val="0"/>
          <c:extLst>
            <c:ext xmlns:c16="http://schemas.microsoft.com/office/drawing/2014/chart" uri="{C3380CC4-5D6E-409C-BE32-E72D297353CC}">
              <c16:uniqueId val="{00000002-9AB6-4280-969B-B943A6939F98}"/>
            </c:ext>
          </c:extLst>
        </c:ser>
        <c:ser>
          <c:idx val="1"/>
          <c:order val="1"/>
          <c:spPr>
            <a:ln w="28575" cap="rnd">
              <a:solidFill>
                <a:schemeClr val="accent2"/>
              </a:solidFill>
              <a:round/>
            </a:ln>
            <a:effectLst/>
          </c:spPr>
          <c:marker>
            <c:symbol val="none"/>
          </c:marker>
          <c:cat>
            <c:strRef>
              <c:f>NDL!$A$4:$A$10</c:f>
              <c:strCache>
                <c:ptCount val="7"/>
                <c:pt idx="0">
                  <c:v>P0-P50</c:v>
                </c:pt>
                <c:pt idx="1">
                  <c:v>P50-P90</c:v>
                </c:pt>
                <c:pt idx="2">
                  <c:v>P90-P99</c:v>
                </c:pt>
                <c:pt idx="3">
                  <c:v>P99-P99.9</c:v>
                </c:pt>
                <c:pt idx="4">
                  <c:v>P99.9-P99.99</c:v>
                </c:pt>
                <c:pt idx="5">
                  <c:v>P99.99-Billionaires</c:v>
                </c:pt>
                <c:pt idx="6">
                  <c:v>Billionnaires</c:v>
                </c:pt>
              </c:strCache>
            </c:strRef>
          </c:cat>
          <c:val>
            <c:numRef>
              <c:f>NDL!$M$4:$M$10</c:f>
              <c:numCache>
                <c:formatCode>0.0%</c:formatCode>
                <c:ptCount val="7"/>
                <c:pt idx="0">
                  <c:v>0.47125</c:v>
                </c:pt>
                <c:pt idx="1">
                  <c:v>0.47249999999999998</c:v>
                </c:pt>
                <c:pt idx="2">
                  <c:v>0.44</c:v>
                </c:pt>
                <c:pt idx="3">
                  <c:v>0.38076923076923075</c:v>
                </c:pt>
                <c:pt idx="4">
                  <c:v>0.39500000000000002</c:v>
                </c:pt>
                <c:pt idx="5">
                  <c:v>0.47983333333333333</c:v>
                </c:pt>
                <c:pt idx="6">
                  <c:v>0.65500000000000003</c:v>
                </c:pt>
              </c:numCache>
            </c:numRef>
          </c:val>
          <c:smooth val="0"/>
          <c:extLst>
            <c:ext xmlns:c16="http://schemas.microsoft.com/office/drawing/2014/chart" uri="{C3380CC4-5D6E-409C-BE32-E72D297353CC}">
              <c16:uniqueId val="{00000003-9AB6-4280-969B-B943A6939F98}"/>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6">
                  <a:lumMod val="40000"/>
                  <a:lumOff val="60000"/>
                </a:schemeClr>
              </a:solidFill>
              <a:prstDash val="dash"/>
              <a:round/>
            </a:ln>
            <a:effectLst/>
          </c:spPr>
          <c:marker>
            <c:symbol val="none"/>
          </c:marker>
          <c:cat>
            <c:strRef>
              <c:f>BRA!$A$4:$A$10</c:f>
              <c:strCache>
                <c:ptCount val="7"/>
                <c:pt idx="0">
                  <c:v>P0-P50</c:v>
                </c:pt>
                <c:pt idx="1">
                  <c:v>P50-P90</c:v>
                </c:pt>
                <c:pt idx="2">
                  <c:v>P90-P99</c:v>
                </c:pt>
                <c:pt idx="3">
                  <c:v>P99-P99.9</c:v>
                </c:pt>
                <c:pt idx="4">
                  <c:v>P99.9-P99.99</c:v>
                </c:pt>
                <c:pt idx="5">
                  <c:v>P99.99-Billionaires</c:v>
                </c:pt>
                <c:pt idx="6">
                  <c:v>Billionnaires</c:v>
                </c:pt>
              </c:strCache>
            </c:strRef>
          </c:cat>
          <c:val>
            <c:numRef>
              <c:f>BRA!$L$4:$L$10</c:f>
              <c:numCache>
                <c:formatCode>0.0%</c:formatCode>
                <c:ptCount val="7"/>
                <c:pt idx="0">
                  <c:v>0.47672649500000003</c:v>
                </c:pt>
                <c:pt idx="1">
                  <c:v>0.4674134875</c:v>
                </c:pt>
                <c:pt idx="2">
                  <c:v>0.46690173999999995</c:v>
                </c:pt>
                <c:pt idx="3">
                  <c:v>0.30034454999999999</c:v>
                </c:pt>
                <c:pt idx="4">
                  <c:v>0.22436049</c:v>
                </c:pt>
                <c:pt idx="5">
                  <c:v>0.21458076000000001</c:v>
                </c:pt>
                <c:pt idx="6">
                  <c:v>0.19708729</c:v>
                </c:pt>
              </c:numCache>
            </c:numRef>
          </c:val>
          <c:smooth val="0"/>
          <c:extLst>
            <c:ext xmlns:c16="http://schemas.microsoft.com/office/drawing/2014/chart" uri="{C3380CC4-5D6E-409C-BE32-E72D297353CC}">
              <c16:uniqueId val="{00000002-6A74-4E77-8DD8-2A175315F7E0}"/>
            </c:ext>
          </c:extLst>
        </c:ser>
        <c:ser>
          <c:idx val="1"/>
          <c:order val="1"/>
          <c:spPr>
            <a:ln w="28575" cap="rnd">
              <a:solidFill>
                <a:schemeClr val="accent6">
                  <a:lumMod val="75000"/>
                </a:schemeClr>
              </a:solidFill>
              <a:round/>
            </a:ln>
            <a:effectLst/>
          </c:spPr>
          <c:marker>
            <c:symbol val="none"/>
          </c:marker>
          <c:cat>
            <c:strRef>
              <c:f>BRA!$A$4:$A$10</c:f>
              <c:strCache>
                <c:ptCount val="7"/>
                <c:pt idx="0">
                  <c:v>P0-P50</c:v>
                </c:pt>
                <c:pt idx="1">
                  <c:v>P50-P90</c:v>
                </c:pt>
                <c:pt idx="2">
                  <c:v>P90-P99</c:v>
                </c:pt>
                <c:pt idx="3">
                  <c:v>P99-P99.9</c:v>
                </c:pt>
                <c:pt idx="4">
                  <c:v>P99.9-P99.99</c:v>
                </c:pt>
                <c:pt idx="5">
                  <c:v>P99.99-Billionaires</c:v>
                </c:pt>
                <c:pt idx="6">
                  <c:v>Billionnaires</c:v>
                </c:pt>
              </c:strCache>
            </c:strRef>
          </c:cat>
          <c:val>
            <c:numRef>
              <c:f>BRA!$M$4:$M$10</c:f>
              <c:numCache>
                <c:formatCode>0.0%</c:formatCode>
                <c:ptCount val="7"/>
                <c:pt idx="0">
                  <c:v>0.47672649500000003</c:v>
                </c:pt>
                <c:pt idx="1">
                  <c:v>0.4674134875</c:v>
                </c:pt>
                <c:pt idx="2">
                  <c:v>0.46690173999999995</c:v>
                </c:pt>
                <c:pt idx="3">
                  <c:v>0.43569818076923073</c:v>
                </c:pt>
                <c:pt idx="4">
                  <c:v>0.42581206999999999</c:v>
                </c:pt>
                <c:pt idx="5">
                  <c:v>0.51422193333333333</c:v>
                </c:pt>
                <c:pt idx="6">
                  <c:v>0.67662668999999998</c:v>
                </c:pt>
              </c:numCache>
            </c:numRef>
          </c:val>
          <c:smooth val="0"/>
          <c:extLst>
            <c:ext xmlns:c16="http://schemas.microsoft.com/office/drawing/2014/chart" uri="{C3380CC4-5D6E-409C-BE32-E72D297353CC}">
              <c16:uniqueId val="{00000003-6A74-4E77-8DD8-2A175315F7E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CC3399"/>
              </a:solidFill>
              <a:prstDash val="dash"/>
              <a:round/>
            </a:ln>
            <a:effectLst/>
          </c:spPr>
          <c:marker>
            <c:symbol val="none"/>
          </c:marker>
          <c:cat>
            <c:strRef>
              <c:f>ITA!$A$4:$A$10</c:f>
              <c:strCache>
                <c:ptCount val="7"/>
                <c:pt idx="0">
                  <c:v>P0-P50</c:v>
                </c:pt>
                <c:pt idx="1">
                  <c:v>P50-P90</c:v>
                </c:pt>
                <c:pt idx="2">
                  <c:v>P90-P99</c:v>
                </c:pt>
                <c:pt idx="3">
                  <c:v>P99-P99.9</c:v>
                </c:pt>
                <c:pt idx="4">
                  <c:v>P99.9-P99.99</c:v>
                </c:pt>
                <c:pt idx="5">
                  <c:v>P99.99-Billionaires</c:v>
                </c:pt>
                <c:pt idx="6">
                  <c:v>Billionnaires</c:v>
                </c:pt>
              </c:strCache>
            </c:strRef>
          </c:cat>
          <c:val>
            <c:numRef>
              <c:f>ITA!$L$4:$L$10</c:f>
              <c:numCache>
                <c:formatCode>0.0%</c:formatCode>
                <c:ptCount val="7"/>
                <c:pt idx="0">
                  <c:v>0.42</c:v>
                </c:pt>
                <c:pt idx="1">
                  <c:v>0.46</c:v>
                </c:pt>
                <c:pt idx="2">
                  <c:v>0.5</c:v>
                </c:pt>
                <c:pt idx="3">
                  <c:v>0.43</c:v>
                </c:pt>
                <c:pt idx="4">
                  <c:v>0.36</c:v>
                </c:pt>
                <c:pt idx="5">
                  <c:v>0.27</c:v>
                </c:pt>
                <c:pt idx="6">
                  <c:v>0.18</c:v>
                </c:pt>
              </c:numCache>
            </c:numRef>
          </c:val>
          <c:smooth val="0"/>
          <c:extLst>
            <c:ext xmlns:c16="http://schemas.microsoft.com/office/drawing/2014/chart" uri="{C3380CC4-5D6E-409C-BE32-E72D297353CC}">
              <c16:uniqueId val="{00000002-8685-457E-BCA1-1D5C946DB8E6}"/>
            </c:ext>
          </c:extLst>
        </c:ser>
        <c:ser>
          <c:idx val="1"/>
          <c:order val="1"/>
          <c:spPr>
            <a:ln w="28575" cap="rnd">
              <a:solidFill>
                <a:srgbClr val="800080"/>
              </a:solidFill>
              <a:round/>
            </a:ln>
            <a:effectLst/>
          </c:spPr>
          <c:marker>
            <c:symbol val="none"/>
          </c:marker>
          <c:cat>
            <c:strRef>
              <c:f>ITA!$A$4:$A$10</c:f>
              <c:strCache>
                <c:ptCount val="7"/>
                <c:pt idx="0">
                  <c:v>P0-P50</c:v>
                </c:pt>
                <c:pt idx="1">
                  <c:v>P50-P90</c:v>
                </c:pt>
                <c:pt idx="2">
                  <c:v>P90-P99</c:v>
                </c:pt>
                <c:pt idx="3">
                  <c:v>P99-P99.9</c:v>
                </c:pt>
                <c:pt idx="4">
                  <c:v>P99.9-P99.99</c:v>
                </c:pt>
                <c:pt idx="5">
                  <c:v>P99.99-Billionaires</c:v>
                </c:pt>
                <c:pt idx="6">
                  <c:v>Billionnaires</c:v>
                </c:pt>
              </c:strCache>
            </c:strRef>
          </c:cat>
          <c:val>
            <c:numRef>
              <c:f>ITA!$M$4:$M$10</c:f>
              <c:numCache>
                <c:formatCode>0.0%</c:formatCode>
                <c:ptCount val="7"/>
                <c:pt idx="0">
                  <c:v>0.42</c:v>
                </c:pt>
                <c:pt idx="1">
                  <c:v>0.46</c:v>
                </c:pt>
                <c:pt idx="2">
                  <c:v>0.5</c:v>
                </c:pt>
                <c:pt idx="3">
                  <c:v>0.43</c:v>
                </c:pt>
                <c:pt idx="4">
                  <c:v>0.45999999999999996</c:v>
                </c:pt>
                <c:pt idx="5">
                  <c:v>0.49083333333333334</c:v>
                </c:pt>
                <c:pt idx="6">
                  <c:v>0.60499999999999998</c:v>
                </c:pt>
              </c:numCache>
            </c:numRef>
          </c:val>
          <c:smooth val="0"/>
          <c:extLst>
            <c:ext xmlns:c16="http://schemas.microsoft.com/office/drawing/2014/chart" uri="{C3380CC4-5D6E-409C-BE32-E72D297353CC}">
              <c16:uniqueId val="{00000003-8685-457E-BCA1-1D5C946DB8E6}"/>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14</xdr:col>
      <xdr:colOff>325426</xdr:colOff>
      <xdr:row>1</xdr:row>
      <xdr:rowOff>37601</xdr:rowOff>
    </xdr:from>
    <xdr:to>
      <xdr:col>20</xdr:col>
      <xdr:colOff>93367</xdr:colOff>
      <xdr:row>15</xdr:row>
      <xdr:rowOff>144306</xdr:rowOff>
    </xdr:to>
    <xdr:graphicFrame macro="">
      <xdr:nvGraphicFramePr>
        <xdr:cNvPr id="6" name="Graphique 5">
          <a:extLst>
            <a:ext uri="{FF2B5EF4-FFF2-40B4-BE49-F238E27FC236}">
              <a16:creationId xmlns:a16="http://schemas.microsoft.com/office/drawing/2014/main" id="{13E1C901-3768-48E0-BBEA-254CCA101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429085</xdr:colOff>
      <xdr:row>0</xdr:row>
      <xdr:rowOff>180778</xdr:rowOff>
    </xdr:from>
    <xdr:to>
      <xdr:col>20</xdr:col>
      <xdr:colOff>196632</xdr:colOff>
      <xdr:row>16</xdr:row>
      <xdr:rowOff>59671</xdr:rowOff>
    </xdr:to>
    <xdr:graphicFrame macro="">
      <xdr:nvGraphicFramePr>
        <xdr:cNvPr id="2" name="Graphique 1">
          <a:extLst>
            <a:ext uri="{FF2B5EF4-FFF2-40B4-BE49-F238E27FC236}">
              <a16:creationId xmlns:a16="http://schemas.microsoft.com/office/drawing/2014/main" id="{5D9D0E77-B0AD-44CE-8B97-9491BB519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299413</xdr:colOff>
      <xdr:row>1</xdr:row>
      <xdr:rowOff>28181</xdr:rowOff>
    </xdr:from>
    <xdr:to>
      <xdr:col>20</xdr:col>
      <xdr:colOff>78849</xdr:colOff>
      <xdr:row>16</xdr:row>
      <xdr:rowOff>37796</xdr:rowOff>
    </xdr:to>
    <xdr:graphicFrame macro="">
      <xdr:nvGraphicFramePr>
        <xdr:cNvPr id="2" name="Graphique 1">
          <a:extLst>
            <a:ext uri="{FF2B5EF4-FFF2-40B4-BE49-F238E27FC236}">
              <a16:creationId xmlns:a16="http://schemas.microsoft.com/office/drawing/2014/main" id="{DA8C2AE7-FB04-4103-B723-2BFDA7F68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339681</xdr:colOff>
      <xdr:row>1</xdr:row>
      <xdr:rowOff>8473</xdr:rowOff>
    </xdr:from>
    <xdr:to>
      <xdr:col>20</xdr:col>
      <xdr:colOff>122928</xdr:colOff>
      <xdr:row>16</xdr:row>
      <xdr:rowOff>18088</xdr:rowOff>
    </xdr:to>
    <xdr:graphicFrame macro="">
      <xdr:nvGraphicFramePr>
        <xdr:cNvPr id="2" name="Graphique 1">
          <a:extLst>
            <a:ext uri="{FF2B5EF4-FFF2-40B4-BE49-F238E27FC236}">
              <a16:creationId xmlns:a16="http://schemas.microsoft.com/office/drawing/2014/main" id="{5C4B1CA9-B5D2-4FD7-A954-872A4DF93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14</xdr:col>
      <xdr:colOff>364592</xdr:colOff>
      <xdr:row>1</xdr:row>
      <xdr:rowOff>27229</xdr:rowOff>
    </xdr:from>
    <xdr:to>
      <xdr:col>20</xdr:col>
      <xdr:colOff>155459</xdr:colOff>
      <xdr:row>16</xdr:row>
      <xdr:rowOff>34939</xdr:rowOff>
    </xdr:to>
    <xdr:graphicFrame macro="">
      <xdr:nvGraphicFramePr>
        <xdr:cNvPr id="2" name="Graphique 1">
          <a:extLst>
            <a:ext uri="{FF2B5EF4-FFF2-40B4-BE49-F238E27FC236}">
              <a16:creationId xmlns:a16="http://schemas.microsoft.com/office/drawing/2014/main" id="{85300771-29F8-4788-B9AD-60944ECCC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67E3-ED89-40FD-A6A8-5FC44FD01F6F}">
  <dimension ref="A2:C55"/>
  <sheetViews>
    <sheetView tabSelected="1" zoomScale="115" zoomScaleNormal="115" workbookViewId="0">
      <selection activeCell="A4" sqref="A4"/>
    </sheetView>
  </sheetViews>
  <sheetFormatPr baseColWidth="10" defaultRowHeight="14.4"/>
  <cols>
    <col min="1" max="1" width="12.44140625" customWidth="1"/>
  </cols>
  <sheetData>
    <row r="2" spans="1:1">
      <c r="A2" s="54" t="s">
        <v>249</v>
      </c>
    </row>
    <row r="4" spans="1:1" ht="21">
      <c r="A4" s="71" t="s">
        <v>102</v>
      </c>
    </row>
    <row r="6" spans="1:1">
      <c r="A6" t="s">
        <v>250</v>
      </c>
    </row>
    <row r="8" spans="1:1">
      <c r="A8" s="59" t="s">
        <v>140</v>
      </c>
    </row>
    <row r="9" spans="1:1">
      <c r="A9" s="59" t="s">
        <v>141</v>
      </c>
    </row>
    <row r="10" spans="1:1">
      <c r="A10" s="59" t="s">
        <v>142</v>
      </c>
    </row>
    <row r="11" spans="1:1">
      <c r="A11" s="59" t="s">
        <v>143</v>
      </c>
    </row>
    <row r="12" spans="1:1">
      <c r="A12" s="59" t="s">
        <v>144</v>
      </c>
    </row>
    <row r="13" spans="1:1">
      <c r="A13" s="70" t="s">
        <v>145</v>
      </c>
    </row>
    <row r="14" spans="1:1">
      <c r="A14" s="59" t="s">
        <v>204</v>
      </c>
    </row>
    <row r="16" spans="1:1" ht="21">
      <c r="A16" s="71" t="s">
        <v>130</v>
      </c>
    </row>
    <row r="17" spans="1:3" ht="15.6" customHeight="1">
      <c r="A17" s="71"/>
    </row>
    <row r="18" spans="1:3">
      <c r="A18" t="s">
        <v>131</v>
      </c>
    </row>
    <row r="20" spans="1:3">
      <c r="B20" t="s">
        <v>251</v>
      </c>
    </row>
    <row r="21" spans="1:3">
      <c r="B21" t="s">
        <v>133</v>
      </c>
    </row>
    <row r="23" spans="1:3">
      <c r="B23" t="s">
        <v>252</v>
      </c>
    </row>
    <row r="25" spans="1:3">
      <c r="C25" s="54" t="s">
        <v>238</v>
      </c>
    </row>
    <row r="26" spans="1:3" s="125" customFormat="1">
      <c r="C26" s="70" t="s">
        <v>235</v>
      </c>
    </row>
    <row r="27" spans="1:3">
      <c r="C27" t="s">
        <v>236</v>
      </c>
    </row>
    <row r="28" spans="1:3" s="125" customFormat="1">
      <c r="C28" s="125" t="s">
        <v>241</v>
      </c>
    </row>
    <row r="29" spans="1:3" s="125" customFormat="1">
      <c r="C29" s="125" t="s">
        <v>234</v>
      </c>
    </row>
    <row r="30" spans="1:3" s="125" customFormat="1">
      <c r="C30" s="125" t="s">
        <v>240</v>
      </c>
    </row>
    <row r="31" spans="1:3" s="125" customFormat="1">
      <c r="C31" s="125" t="s">
        <v>237</v>
      </c>
    </row>
    <row r="32" spans="1:3" s="125" customFormat="1">
      <c r="C32" s="125" t="s">
        <v>242</v>
      </c>
    </row>
    <row r="34" spans="1:3">
      <c r="C34" t="s">
        <v>239</v>
      </c>
    </row>
    <row r="35" spans="1:3">
      <c r="C35" s="70" t="s">
        <v>205</v>
      </c>
    </row>
    <row r="36" spans="1:3">
      <c r="C36" t="s">
        <v>206</v>
      </c>
    </row>
    <row r="37" spans="1:3">
      <c r="C37" t="s">
        <v>207</v>
      </c>
    </row>
    <row r="38" spans="1:3">
      <c r="C38" t="s">
        <v>208</v>
      </c>
    </row>
    <row r="40" spans="1:3">
      <c r="B40" t="s">
        <v>271</v>
      </c>
    </row>
    <row r="41" spans="1:3">
      <c r="B41" s="70" t="s">
        <v>272</v>
      </c>
    </row>
    <row r="42" spans="1:3" s="125" customFormat="1">
      <c r="B42" s="125" t="s">
        <v>270</v>
      </c>
    </row>
    <row r="43" spans="1:3">
      <c r="B43" t="s">
        <v>269</v>
      </c>
    </row>
    <row r="45" spans="1:3">
      <c r="A45" t="s">
        <v>132</v>
      </c>
    </row>
    <row r="47" spans="1:3" ht="21">
      <c r="A47" s="71" t="s">
        <v>243</v>
      </c>
    </row>
    <row r="49" spans="1:1">
      <c r="A49" t="s">
        <v>245</v>
      </c>
    </row>
    <row r="50" spans="1:1">
      <c r="A50" t="s">
        <v>244</v>
      </c>
    </row>
    <row r="51" spans="1:1">
      <c r="A51" t="s">
        <v>246</v>
      </c>
    </row>
    <row r="53" spans="1:1" ht="21">
      <c r="A53" s="71" t="s">
        <v>248</v>
      </c>
    </row>
    <row r="55" spans="1:1">
      <c r="A55"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2F3BD-2B74-4271-922F-DB105769CAD1}">
  <sheetPr codeName="Feuil6">
    <tabColor theme="4" tint="-0.249977111117893"/>
  </sheetPr>
  <dimension ref="A1:R26"/>
  <sheetViews>
    <sheetView zoomScale="145" zoomScaleNormal="145" workbookViewId="0">
      <selection activeCell="J14" sqref="J14"/>
    </sheetView>
  </sheetViews>
  <sheetFormatPr baseColWidth="10" defaultRowHeight="14.4"/>
  <cols>
    <col min="1" max="1" width="11.33203125" customWidth="1"/>
    <col min="2" max="14" width="11.5546875" customWidth="1"/>
  </cols>
  <sheetData>
    <row r="1" spans="1:18" s="39" customFormat="1" ht="15.6" customHeight="1">
      <c r="A1" s="40"/>
      <c r="B1" s="40"/>
      <c r="C1" s="40"/>
      <c r="D1" s="40"/>
      <c r="E1" s="40"/>
      <c r="F1" s="40"/>
      <c r="G1" s="40"/>
      <c r="H1" s="40"/>
      <c r="I1" s="40"/>
      <c r="J1" s="40"/>
      <c r="K1" s="40"/>
      <c r="L1" s="40"/>
      <c r="M1" s="40"/>
      <c r="N1" s="40"/>
    </row>
    <row r="2" spans="1:18" s="39" customFormat="1" ht="15.6" customHeight="1">
      <c r="B2" s="143" t="s">
        <v>188</v>
      </c>
      <c r="C2" s="143"/>
      <c r="D2" s="143"/>
      <c r="E2" s="143"/>
      <c r="F2" s="143"/>
      <c r="G2" s="142" t="s">
        <v>178</v>
      </c>
      <c r="H2" s="142"/>
      <c r="I2" s="144" t="s">
        <v>184</v>
      </c>
      <c r="J2" s="144"/>
      <c r="K2" s="144"/>
      <c r="L2" s="144"/>
      <c r="M2" s="144"/>
      <c r="N2" s="144"/>
      <c r="O2" s="141"/>
      <c r="P2" s="141"/>
      <c r="Q2" s="141"/>
    </row>
    <row r="3" spans="1:18" ht="45" customHeight="1">
      <c r="A3" s="50" t="s">
        <v>17</v>
      </c>
      <c r="B3" s="39" t="s">
        <v>72</v>
      </c>
      <c r="C3" s="110" t="s">
        <v>197</v>
      </c>
      <c r="D3" s="110" t="s">
        <v>192</v>
      </c>
      <c r="E3" s="53" t="s">
        <v>70</v>
      </c>
      <c r="F3" s="53" t="s">
        <v>71</v>
      </c>
      <c r="G3" s="107" t="s">
        <v>75</v>
      </c>
      <c r="H3" s="108" t="s">
        <v>179</v>
      </c>
      <c r="I3" s="56" t="s">
        <v>193</v>
      </c>
      <c r="J3" s="50" t="s">
        <v>194</v>
      </c>
      <c r="K3" s="50" t="s">
        <v>196</v>
      </c>
      <c r="L3" s="56" t="s">
        <v>181</v>
      </c>
      <c r="M3" s="50" t="s">
        <v>180</v>
      </c>
      <c r="N3" s="56" t="s">
        <v>134</v>
      </c>
      <c r="O3" s="53"/>
      <c r="P3" s="53"/>
      <c r="Q3" s="53"/>
      <c r="R3" s="55"/>
    </row>
    <row r="4" spans="1:18">
      <c r="A4" s="49" t="s">
        <v>66</v>
      </c>
      <c r="C4" s="67"/>
      <c r="D4" s="67"/>
      <c r="E4" s="30">
        <f>AVERAGE('Bozio et al. (2020)'!C4:C7)</f>
        <v>0.29750000000000004</v>
      </c>
      <c r="F4" s="13"/>
      <c r="G4" s="109"/>
      <c r="H4" s="109"/>
      <c r="J4" s="7"/>
      <c r="K4" s="7"/>
      <c r="L4" s="84">
        <f t="shared" ref="L4:L10" si="0">E4</f>
        <v>0.29750000000000004</v>
      </c>
      <c r="M4" s="85">
        <f>L4</f>
        <v>0.29750000000000004</v>
      </c>
      <c r="O4" s="48"/>
      <c r="P4" s="51"/>
      <c r="Q4" s="45"/>
    </row>
    <row r="5" spans="1:18">
      <c r="A5" s="49" t="s">
        <v>67</v>
      </c>
      <c r="C5" s="67"/>
      <c r="D5" s="67"/>
      <c r="E5" s="30">
        <f>AVERAGE('Bozio et al. (2020)'!C8:C11)</f>
        <v>0.39249999999999996</v>
      </c>
      <c r="F5" s="13"/>
      <c r="G5" s="109"/>
      <c r="H5" s="109"/>
      <c r="J5" s="7"/>
      <c r="K5" s="7"/>
      <c r="L5" s="84">
        <f t="shared" si="0"/>
        <v>0.39249999999999996</v>
      </c>
      <c r="M5" s="85">
        <f>L5</f>
        <v>0.39249999999999996</v>
      </c>
      <c r="O5" s="48"/>
      <c r="P5" s="51"/>
      <c r="Q5" s="45"/>
    </row>
    <row r="6" spans="1:18">
      <c r="A6" s="49" t="s">
        <v>37</v>
      </c>
      <c r="C6" s="67"/>
      <c r="D6" s="67"/>
      <c r="E6" s="30">
        <f>AVERAGE('Bozio et al. (2020)'!C12:C13)</f>
        <v>0.46499999999999997</v>
      </c>
      <c r="F6" s="13"/>
      <c r="G6" s="109"/>
      <c r="H6" s="109"/>
      <c r="J6" s="7"/>
      <c r="K6" s="7"/>
      <c r="L6" s="84">
        <f t="shared" si="0"/>
        <v>0.46499999999999997</v>
      </c>
      <c r="M6" s="85">
        <f>L6</f>
        <v>0.46499999999999997</v>
      </c>
      <c r="O6" s="48"/>
      <c r="P6" s="51"/>
      <c r="Q6" s="45"/>
    </row>
    <row r="7" spans="1:18">
      <c r="A7" s="49" t="s">
        <v>38</v>
      </c>
      <c r="B7">
        <f>'Bach et al. (2025)'!N15 - 'Bach et al. (2025)'!N16</f>
        <v>340500</v>
      </c>
      <c r="C7" s="66">
        <f>('Bach et al. (2025)'!N15*'Bach et al. (2025)'!P15 - 'Bach et al. (2025)'!P16*'Bach et al. (2025)'!N16)/('Bach et al. (2025)'!N15-'Bach et al. (2025)'!N16)</f>
        <v>279445.99118942732</v>
      </c>
      <c r="D7" s="66">
        <f>'Bach et al. (2025)'!O15</f>
        <v>180000</v>
      </c>
      <c r="E7" s="103">
        <f xml:space="preserve"> AVERAGE('Bach et al. (2025)'!J14:J22) / 100 + AVERAGE('Bozio et al. (2020)'!D14:D15)</f>
        <v>0.49282222222222216</v>
      </c>
      <c r="F7" s="13">
        <f>(AVERAGE('Bach et al. (2025)'!C14:C22)+AVERAGE('Bach et al. (2025)'!D14:D22))/100</f>
        <v>0.15954444444444449</v>
      </c>
      <c r="G7" s="109">
        <v>0.13</v>
      </c>
      <c r="H7" s="148">
        <f>WID!N13</f>
        <v>3.4485277763562694E-2</v>
      </c>
      <c r="I7" s="105">
        <f>(D7/G7)*(1+H7)^9/1000000</f>
        <v>1.8786591081741626</v>
      </c>
      <c r="J7" s="95">
        <f>C7/D7</f>
        <v>1.5524777288301519</v>
      </c>
      <c r="K7" s="95">
        <f>IF(J$13&lt;=I7, 1, (I7/J$13)^(1/(J7-1)))</f>
        <v>7.5096035696152366E-4</v>
      </c>
      <c r="L7" s="84">
        <f t="shared" si="0"/>
        <v>0.49282222222222216</v>
      </c>
      <c r="M7" s="85">
        <f>E7+MAX(0,J$14/G7-F7)*K7</f>
        <v>0.49282222222222216</v>
      </c>
      <c r="N7" s="65">
        <f>(M7-L7)*C7*B7*(1+H7)^9/1000000</f>
        <v>0</v>
      </c>
      <c r="O7" s="48"/>
      <c r="P7" s="51"/>
      <c r="Q7" s="45"/>
    </row>
    <row r="8" spans="1:18">
      <c r="A8" s="49" t="s">
        <v>39</v>
      </c>
      <c r="B8">
        <f>'Bach et al. (2025)'!N16 - 'Bach et al. (2025)'!N17</f>
        <v>34050</v>
      </c>
      <c r="C8" s="66">
        <f>('Bach et al. (2025)'!N16*'Bach et al. (2025)'!P16 - 'Bach et al. (2025)'!P17*'Bach et al. (2025)'!N17)/('Bach et al. (2025)'!N16-'Bach et al. (2025)'!N17)</f>
        <v>1052864.3171806168</v>
      </c>
      <c r="D8" s="66">
        <f>'Bach et al. (2025)'!O16</f>
        <v>626000</v>
      </c>
      <c r="E8" s="103">
        <f xml:space="preserve"> AVERAGE('Bach et al. (2025)'!J23:J31) / 100 + 'Bozio et al. (2020)'!D16</f>
        <v>0.51741111111111104</v>
      </c>
      <c r="F8" s="13">
        <f>(AVERAGE('Bach et al. (2025)'!C23:C31)+AVERAGE('Bach et al. (2025)'!D23:D31))/100</f>
        <v>0.1647777777777778</v>
      </c>
      <c r="G8" s="109">
        <v>0.12</v>
      </c>
      <c r="H8" s="148">
        <f>WID!N12</f>
        <v>5.4291187882988368E-2</v>
      </c>
      <c r="I8" s="105">
        <f>(D8/G8)*(1+H8)^9/1000000</f>
        <v>8.3953397484216481</v>
      </c>
      <c r="J8" s="95">
        <f>C8/D8</f>
        <v>1.6818918804802185</v>
      </c>
      <c r="K8" s="95">
        <f>IF(J$13&lt;=I8, 1, (I8/J$13)^(1/(J8-1)))</f>
        <v>2.6429768742807939E-2</v>
      </c>
      <c r="L8" s="84">
        <f t="shared" si="0"/>
        <v>0.51741111111111104</v>
      </c>
      <c r="M8" s="85">
        <f>E8+MAX(0,J$14/G8-F8)*K8</f>
        <v>0.51746103400762522</v>
      </c>
      <c r="N8" s="65">
        <f>(M8-L8)*C8*B8*(1+H8)^9/1000000</f>
        <v>2.8802785323826221</v>
      </c>
      <c r="O8" s="48"/>
      <c r="P8" s="51"/>
      <c r="Q8" s="45"/>
    </row>
    <row r="9" spans="1:18">
      <c r="A9" s="49" t="s">
        <v>84</v>
      </c>
      <c r="B9">
        <f>'Bach et al. (2025)'!N17 - 'Bach et al. (2025)'!N19</f>
        <v>3708</v>
      </c>
      <c r="C9" s="69">
        <f>('Bach et al. (2025)'!N17*'Bach et al. (2025)'!P17 - 'Bach et al. (2025)'!P19*'Bach et al. (2025)'!N19)/('Bach et al. (2025)'!N17-'Bach et al. (2025)'!N19)</f>
        <v>6699959.5469255662</v>
      </c>
      <c r="D9" s="66">
        <f>'Bach et al. (2025)'!O17</f>
        <v>2592000</v>
      </c>
      <c r="E9" s="30">
        <f>AVERAGE('Bach et al. (2025)'!J32:J40, AVERAGE('Bach et al. (2025)'!J41:J44)) / 100 + AVERAGE('Bach et al. (2025)'!C32:C40, AVERAGE('Bach et al. (2025)'!C41:C44))*('Bozio et al. (2020)'!D16/'Bozio et al. (2020)'!E16)/100</f>
        <v>0.46242699999999998</v>
      </c>
      <c r="F9" s="30">
        <f xml:space="preserve"> (AVERAGE('Bach et al. (2025)'!C32:C40, AVERAGE('Bach et al. (2025)'!C41:C44)) + AVERAGE('Bach et al. (2025)'!D32:D40, AVERAGE('Bach et al. (2025)'!D41:D44)))/100</f>
        <v>0.10618500000000002</v>
      </c>
      <c r="G9" s="109">
        <v>0.09</v>
      </c>
      <c r="H9" s="148">
        <f>AVERAGE(WID!N10:N11)</f>
        <v>9.585831077982554E-2</v>
      </c>
      <c r="I9" s="105">
        <f>(D9/G9)*(1+H9)^9/1000000</f>
        <v>65.642050367508105</v>
      </c>
      <c r="J9" s="95">
        <f>C9/D9</f>
        <v>2.5848609363138757</v>
      </c>
      <c r="K9" s="95">
        <f>IF(J$13&lt;=I9, 1, (I9/J$13)^(1/(J9-1)))</f>
        <v>0.76673869192104982</v>
      </c>
      <c r="L9" s="84">
        <f t="shared" si="0"/>
        <v>0.46242699999999998</v>
      </c>
      <c r="M9" s="85">
        <f>E9+MAX(0,J$14/G9-F9)*K9</f>
        <v>0.5513972279808188</v>
      </c>
      <c r="N9" s="65">
        <f>(M9-L9)*C9*B9*(1+H9)^9/1000000</f>
        <v>5037.8619165823056</v>
      </c>
      <c r="O9" s="48"/>
      <c r="P9" s="51"/>
      <c r="Q9" s="45"/>
    </row>
    <row r="10" spans="1:18">
      <c r="A10" s="49" t="s">
        <v>69</v>
      </c>
      <c r="B10">
        <f>'Bach et al. (2025)'!N19</f>
        <v>75</v>
      </c>
      <c r="C10" s="104">
        <f>'Bach et al. (2025)'!P19</f>
        <v>217289000</v>
      </c>
      <c r="D10" s="66">
        <f>'Bach et al. (2025)'!O19</f>
        <v>61540000</v>
      </c>
      <c r="E10" s="30">
        <f>'Bach et al. (2025)'!J45 / 100 + 'Bach et al. (2025)'!C45*('Bozio et al. (2020)'!D16/'Bozio et al. (2020)'!E16)/100</f>
        <v>0.26035999999999998</v>
      </c>
      <c r="F10" s="30">
        <f xml:space="preserve"> 'Bach et al. (2025)'!C45 / 100 + 'Bach et al. (2025)'!D45 / 100</f>
        <v>1.3499999999999998E-2</v>
      </c>
      <c r="G10" s="137">
        <v>0.06</v>
      </c>
      <c r="H10" s="148">
        <f>WID!N10</f>
        <v>0.11952495337432567</v>
      </c>
      <c r="I10" s="106">
        <f>(D10/G10)*(1+H10)^9/1000000</f>
        <v>2833.4153647951871</v>
      </c>
      <c r="J10" s="95">
        <f>C10/D10</f>
        <v>3.5308579785505363</v>
      </c>
      <c r="K10" s="95">
        <f>IF(J$13&lt;=I10, 1, (I10/J$13)^(1/(J10-1)))</f>
        <v>1</v>
      </c>
      <c r="L10" s="84">
        <f t="shared" si="0"/>
        <v>0.26035999999999998</v>
      </c>
      <c r="M10" s="85">
        <f>E10+MAX(0,J$14/G10-F10)*K10</f>
        <v>0.58019333333333334</v>
      </c>
      <c r="N10" s="65">
        <f>(M10-L10)*C10*B10*(1+H10)^9/1000000</f>
        <v>14398.814345726558</v>
      </c>
      <c r="O10" s="48"/>
      <c r="P10" s="51"/>
      <c r="Q10" s="45"/>
    </row>
    <row r="11" spans="1:18">
      <c r="A11" s="49"/>
      <c r="F11" s="45"/>
      <c r="G11" s="138">
        <f>C10*(1+H10)^9/('Billionnaires List'!E3*1000000000/'Billionnaires List'!C3)</f>
        <v>0.12692562646935071</v>
      </c>
      <c r="N11" s="65">
        <f>SUM(N7:N10)</f>
        <v>19439.556540841244</v>
      </c>
      <c r="O11" s="48"/>
      <c r="P11" s="51"/>
      <c r="Q11" s="45"/>
    </row>
    <row r="12" spans="1:18">
      <c r="B12" s="8" t="s">
        <v>128</v>
      </c>
      <c r="C12" s="8"/>
      <c r="D12" s="8"/>
      <c r="E12" s="8"/>
      <c r="F12" s="8"/>
      <c r="G12" s="139" t="s">
        <v>228</v>
      </c>
      <c r="I12" s="145" t="s">
        <v>77</v>
      </c>
      <c r="J12" s="145"/>
      <c r="N12" s="57"/>
      <c r="O12" s="48"/>
      <c r="P12" s="51"/>
      <c r="Q12" s="44"/>
    </row>
    <row r="13" spans="1:18">
      <c r="B13" t="s">
        <v>195</v>
      </c>
      <c r="F13" s="45"/>
      <c r="I13" s="49" t="s">
        <v>73</v>
      </c>
      <c r="J13" s="5">
        <v>100</v>
      </c>
      <c r="O13" s="48"/>
      <c r="P13" s="51"/>
      <c r="Q13" s="44"/>
    </row>
    <row r="14" spans="1:18">
      <c r="F14" s="45"/>
      <c r="I14" s="49" t="s">
        <v>74</v>
      </c>
      <c r="J14" s="14">
        <v>0.02</v>
      </c>
      <c r="O14" s="48"/>
      <c r="P14" s="51"/>
      <c r="Q14" s="44"/>
    </row>
    <row r="15" spans="1:18">
      <c r="C15" s="42"/>
      <c r="D15" s="42"/>
      <c r="E15" s="42"/>
      <c r="F15" s="45"/>
      <c r="O15" s="48"/>
      <c r="P15" s="51"/>
      <c r="Q15" s="44"/>
    </row>
    <row r="16" spans="1:18">
      <c r="C16" s="5"/>
      <c r="D16" s="5"/>
      <c r="E16" s="15"/>
      <c r="F16" s="43"/>
      <c r="O16" s="51"/>
      <c r="P16" s="51"/>
      <c r="Q16" s="44"/>
    </row>
    <row r="17" spans="1:17">
      <c r="C17" s="14"/>
      <c r="D17" s="14"/>
      <c r="E17" s="14"/>
      <c r="F17" s="43"/>
      <c r="O17" s="51"/>
      <c r="P17" s="51"/>
      <c r="Q17" s="44"/>
    </row>
    <row r="18" spans="1:17">
      <c r="A18" s="47"/>
      <c r="B18" s="46"/>
      <c r="C18" s="46"/>
      <c r="D18" s="46"/>
      <c r="E18" s="46"/>
      <c r="F18" s="43"/>
      <c r="O18" s="51"/>
      <c r="P18" s="51"/>
      <c r="Q18" s="44"/>
    </row>
    <row r="19" spans="1:17">
      <c r="A19" s="54"/>
      <c r="B19" s="54"/>
      <c r="C19" s="54"/>
      <c r="D19" s="54"/>
      <c r="E19" s="54"/>
      <c r="F19" s="54"/>
      <c r="G19" s="54"/>
      <c r="H19" s="54"/>
      <c r="I19" s="54"/>
      <c r="J19" s="54"/>
      <c r="K19" s="54"/>
      <c r="L19" s="54"/>
      <c r="M19" s="54"/>
      <c r="N19" s="54"/>
    </row>
    <row r="20" spans="1:17">
      <c r="C20" s="119"/>
    </row>
    <row r="22" spans="1:17">
      <c r="A22" s="52"/>
      <c r="B22" s="54"/>
      <c r="C22" s="54"/>
      <c r="D22" s="54"/>
      <c r="E22" s="54"/>
      <c r="F22" s="54"/>
      <c r="G22" s="54"/>
      <c r="H22" s="54"/>
      <c r="I22" s="54"/>
      <c r="J22" s="54"/>
      <c r="K22" s="54"/>
      <c r="L22" s="54"/>
      <c r="M22" s="54"/>
      <c r="N22" s="54"/>
    </row>
    <row r="23" spans="1:17">
      <c r="A23" s="54"/>
      <c r="B23" s="54"/>
      <c r="C23" s="54"/>
      <c r="D23" s="54"/>
      <c r="E23" s="54"/>
      <c r="F23" s="54"/>
      <c r="G23" s="54"/>
      <c r="H23" s="54"/>
      <c r="I23" s="54"/>
      <c r="J23" s="54"/>
      <c r="K23" s="54"/>
      <c r="L23" s="54"/>
      <c r="M23" s="54"/>
      <c r="N23" s="54"/>
    </row>
    <row r="24" spans="1:17">
      <c r="A24" s="54"/>
      <c r="B24" s="54"/>
      <c r="C24" s="54"/>
      <c r="D24" s="54"/>
      <c r="E24" s="54"/>
      <c r="F24" s="54"/>
      <c r="N24" s="54"/>
    </row>
    <row r="25" spans="1:17">
      <c r="A25" s="54"/>
      <c r="B25" s="54"/>
      <c r="C25" s="54"/>
      <c r="D25" s="54"/>
      <c r="E25" s="54"/>
      <c r="F25" s="54"/>
      <c r="G25" s="58"/>
      <c r="H25" s="58"/>
      <c r="I25" s="58"/>
      <c r="J25" s="58"/>
      <c r="K25" s="58"/>
      <c r="L25" s="58"/>
      <c r="M25" s="58"/>
      <c r="N25" s="54"/>
    </row>
    <row r="26" spans="1:17">
      <c r="G26" s="54"/>
      <c r="H26" s="54"/>
      <c r="I26" s="54"/>
      <c r="J26" s="54"/>
      <c r="K26" s="54"/>
      <c r="L26" s="54"/>
      <c r="M26" s="54"/>
    </row>
  </sheetData>
  <mergeCells count="5">
    <mergeCell ref="O2:Q2"/>
    <mergeCell ref="G2:H2"/>
    <mergeCell ref="B2:F2"/>
    <mergeCell ref="I2:N2"/>
    <mergeCell ref="I12:J12"/>
  </mergeCells>
  <pageMargins left="0.7" right="0.7" top="0.75" bottom="0.75" header="0.3" footer="0.3"/>
  <pageSetup paperSize="9" orientation="portrait" r:id="rId1"/>
  <ignoredErrors>
    <ignoredError sqref="E4:F10" formulaRange="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33BE4-AA32-4C69-9C41-A44C9BCF9157}">
  <sheetPr>
    <tabColor rgb="FFC00000"/>
  </sheetPr>
  <dimension ref="A2:N16"/>
  <sheetViews>
    <sheetView zoomScale="145" zoomScaleNormal="145" workbookViewId="0">
      <selection activeCell="J14" sqref="J14"/>
    </sheetView>
  </sheetViews>
  <sheetFormatPr baseColWidth="10" defaultRowHeight="14.4"/>
  <cols>
    <col min="2" max="6" width="11.5546875" customWidth="1"/>
  </cols>
  <sheetData>
    <row r="2" spans="1:14">
      <c r="A2" s="39"/>
      <c r="B2" s="143" t="s">
        <v>187</v>
      </c>
      <c r="C2" s="143"/>
      <c r="D2" s="143"/>
      <c r="E2" s="143"/>
      <c r="F2" s="143"/>
      <c r="G2" s="142" t="s">
        <v>178</v>
      </c>
      <c r="H2" s="142"/>
      <c r="I2" s="144" t="s">
        <v>184</v>
      </c>
      <c r="J2" s="144"/>
      <c r="K2" s="144"/>
      <c r="L2" s="144"/>
      <c r="M2" s="144"/>
      <c r="N2" s="144"/>
    </row>
    <row r="3" spans="1:14" ht="48">
      <c r="A3" s="50" t="s">
        <v>17</v>
      </c>
      <c r="B3" s="39" t="s">
        <v>72</v>
      </c>
      <c r="C3" s="110" t="s">
        <v>223</v>
      </c>
      <c r="D3" s="110" t="s">
        <v>224</v>
      </c>
      <c r="E3" s="53" t="s">
        <v>70</v>
      </c>
      <c r="F3" s="53" t="s">
        <v>71</v>
      </c>
      <c r="G3" s="56" t="s">
        <v>75</v>
      </c>
      <c r="H3" s="98" t="s">
        <v>179</v>
      </c>
      <c r="I3" s="56" t="s">
        <v>225</v>
      </c>
      <c r="J3" s="50" t="s">
        <v>194</v>
      </c>
      <c r="K3" s="50" t="s">
        <v>196</v>
      </c>
      <c r="L3" s="56" t="s">
        <v>181</v>
      </c>
      <c r="M3" s="50" t="s">
        <v>180</v>
      </c>
      <c r="N3" s="56" t="s">
        <v>226</v>
      </c>
    </row>
    <row r="4" spans="1:14">
      <c r="A4" s="49" t="s">
        <v>66</v>
      </c>
      <c r="C4" s="81"/>
      <c r="D4" s="81"/>
      <c r="E4" s="30">
        <f>AVERAGE('Saez &amp; Zucman (2019)'!F4:F8)</f>
        <v>0.24399999999999999</v>
      </c>
      <c r="F4" s="13"/>
      <c r="G4" s="7"/>
      <c r="H4" s="7"/>
      <c r="J4" s="7"/>
      <c r="K4" s="7"/>
      <c r="L4" s="75">
        <f t="shared" ref="L4:L10" si="0">E4</f>
        <v>0.24399999999999999</v>
      </c>
      <c r="M4" s="77">
        <f>L4</f>
        <v>0.24399999999999999</v>
      </c>
    </row>
    <row r="5" spans="1:14">
      <c r="A5" s="49" t="s">
        <v>67</v>
      </c>
      <c r="C5" s="81"/>
      <c r="D5" s="81"/>
      <c r="E5" s="30">
        <f>AVERAGE('Saez &amp; Zucman (2019)'!F9:F12)</f>
        <v>0.27224999999999999</v>
      </c>
      <c r="F5" s="13"/>
      <c r="G5" s="7"/>
      <c r="H5" s="7"/>
      <c r="J5" s="7"/>
      <c r="K5" s="7"/>
      <c r="L5" s="75">
        <f t="shared" si="0"/>
        <v>0.27224999999999999</v>
      </c>
      <c r="M5" s="77">
        <f>L5</f>
        <v>0.27224999999999999</v>
      </c>
    </row>
    <row r="6" spans="1:14">
      <c r="A6" s="49" t="s">
        <v>37</v>
      </c>
      <c r="C6" s="81"/>
      <c r="D6" s="81"/>
      <c r="E6" s="30">
        <f>AVERAGE('Saez &amp; Zucman (2019)'!F13:F14)</f>
        <v>0.28149999999999997</v>
      </c>
      <c r="F6" s="13"/>
      <c r="G6" s="7"/>
      <c r="H6" s="7"/>
      <c r="J6" s="7"/>
      <c r="K6" s="7"/>
      <c r="L6" s="75">
        <f t="shared" si="0"/>
        <v>0.28149999999999997</v>
      </c>
      <c r="M6" s="77">
        <f>L6</f>
        <v>0.28149999999999997</v>
      </c>
    </row>
    <row r="7" spans="1:14">
      <c r="A7" s="49" t="s">
        <v>38</v>
      </c>
      <c r="B7" s="24">
        <f>'Saez &amp; Zucman (2019)'!C15</f>
        <v>1950271</v>
      </c>
      <c r="C7" s="81">
        <f>'Saez &amp; Zucman (2019)'!D15</f>
        <v>936385</v>
      </c>
      <c r="D7" s="81">
        <f>'Saez &amp; Zucman (2019)'!E15</f>
        <v>539000</v>
      </c>
      <c r="E7" s="30">
        <f>'Saez &amp; Zucman (2019)'!F15</f>
        <v>0.28899999999999998</v>
      </c>
      <c r="F7" s="30">
        <f>SUM('Saez &amp; Zucman (2019)'!H15,'Saez &amp; Zucman (2019)'!J15)</f>
        <v>0.19700000000000001</v>
      </c>
      <c r="G7" s="109">
        <v>0.13</v>
      </c>
      <c r="H7" s="30">
        <f>WID!N28</f>
        <v>3.9354671637484406E-2</v>
      </c>
      <c r="I7" s="105">
        <f>(D7/G7)*(1+H7)^9/1000000</f>
        <v>5.8683953570913872</v>
      </c>
      <c r="J7" s="95">
        <f>C7/D7</f>
        <v>1.7372634508348794</v>
      </c>
      <c r="K7" s="95">
        <f>IF(J$13&lt;=I7, 1, (I7/J$13)^(1/(J7-1)))</f>
        <v>2.1362889609356128E-2</v>
      </c>
      <c r="L7" s="75">
        <f t="shared" si="0"/>
        <v>0.28899999999999998</v>
      </c>
      <c r="M7" s="77">
        <f>E7+MAX(0,J$14/G7-F7)*K7</f>
        <v>0.28899999999999998</v>
      </c>
      <c r="N7" s="65">
        <f>(M7-L7)*C7*B7*(1+H7)^9/1000000</f>
        <v>0</v>
      </c>
    </row>
    <row r="8" spans="1:14">
      <c r="A8" s="49" t="s">
        <v>39</v>
      </c>
      <c r="B8" s="24">
        <f>'Saez &amp; Zucman (2019)'!C16</f>
        <v>195016</v>
      </c>
      <c r="C8" s="81">
        <f>'Saez &amp; Zucman (2019)'!D16</f>
        <v>4526004</v>
      </c>
      <c r="D8" s="81">
        <f>'Saez &amp; Zucman (2019)'!E16</f>
        <v>2430000</v>
      </c>
      <c r="E8" s="30">
        <f>'Saez &amp; Zucman (2019)'!F16</f>
        <v>0.33100000000000002</v>
      </c>
      <c r="F8" s="30">
        <f>SUM('Saez &amp; Zucman (2019)'!H16,'Saez &amp; Zucman (2019)'!J16)</f>
        <v>0.22600000000000001</v>
      </c>
      <c r="G8" s="109">
        <v>0.12</v>
      </c>
      <c r="H8" s="30">
        <f>WID!N27</f>
        <v>4.5765327216810592E-2</v>
      </c>
      <c r="I8" s="105">
        <f>(D8/G8)*(1+H8)^9/1000000</f>
        <v>30.292364519812669</v>
      </c>
      <c r="J8" s="95">
        <f>C8/D8</f>
        <v>1.862553086419753</v>
      </c>
      <c r="K8" s="95">
        <f>IF(J$13&lt;=I8, 1, (I8/J$13)^(1/(J8-1)))</f>
        <v>0.25042874044366842</v>
      </c>
      <c r="L8" s="75">
        <f t="shared" si="0"/>
        <v>0.33100000000000002</v>
      </c>
      <c r="M8" s="77">
        <f>E8+MAX(0,J$14/G8-F8)*K8</f>
        <v>0.33100000000000002</v>
      </c>
      <c r="N8" s="65">
        <f>(M8-L8)*C8*B8*(1+H8)^9/1000000</f>
        <v>0</v>
      </c>
    </row>
    <row r="9" spans="1:14">
      <c r="A9" s="49" t="s">
        <v>84</v>
      </c>
      <c r="B9" s="24">
        <f>'Saez &amp; Zucman (2019)'!C17</f>
        <v>21163</v>
      </c>
      <c r="C9" s="81">
        <f>'Saez &amp; Zucman (2019)'!D17</f>
        <v>31593939</v>
      </c>
      <c r="D9" s="81">
        <f>'Saez &amp; Zucman (2019)'!E17</f>
        <v>12800000</v>
      </c>
      <c r="E9" s="30">
        <f>'Saez &amp; Zucman (2019)'!F17</f>
        <v>0.30399999999999999</v>
      </c>
      <c r="F9" s="30">
        <f>SUM('Saez &amp; Zucman (2019)'!H17,'Saez &amp; Zucman (2019)'!J17)</f>
        <v>0.187</v>
      </c>
      <c r="G9" s="109">
        <v>0.09</v>
      </c>
      <c r="H9" s="30">
        <f>AVERAGE(WID!N25:N26)</f>
        <v>5.8166908113852278E-2</v>
      </c>
      <c r="I9" s="105">
        <f>(D9/G9)*(1+H9)^9/1000000</f>
        <v>236.56747925841836</v>
      </c>
      <c r="J9" s="95">
        <f>C9/D9</f>
        <v>2.468276484375</v>
      </c>
      <c r="K9" s="95">
        <f>IF(J$13&lt;=I9, 1, (I9/J$13)^(1/(J9-1)))</f>
        <v>1</v>
      </c>
      <c r="L9" s="75">
        <f t="shared" si="0"/>
        <v>0.30399999999999999</v>
      </c>
      <c r="M9" s="77">
        <f>E9+MAX(0,J$14/G9-F9)*K9</f>
        <v>0.3392222222222222</v>
      </c>
      <c r="N9" s="65">
        <f>(M9-L9)*C9*B9*(1+H9)^9/1000000</f>
        <v>39172.865561694947</v>
      </c>
    </row>
    <row r="10" spans="1:14">
      <c r="A10" s="49" t="s">
        <v>69</v>
      </c>
      <c r="B10" s="24">
        <f>'Balkir et al. (2025)'!C4</f>
        <v>367</v>
      </c>
      <c r="C10" s="112">
        <f>'Balkir et al. (2025)'!D4</f>
        <v>452300000</v>
      </c>
      <c r="D10" s="112">
        <f>C10/3.44</f>
        <v>131482558.13953489</v>
      </c>
      <c r="E10" s="30">
        <f>'Balkir et al. (2025)'!F4</f>
        <v>0.23799999999999999</v>
      </c>
      <c r="F10" s="30">
        <f>SUM('Saez &amp; Zucman (2019)'!H18,'Saez &amp; Zucman (2019)'!J18)*('Balkir et al. (2025)'!F4/'Saez &amp; Zucman (2019)'!F18)</f>
        <v>9.6234782608695627E-2</v>
      </c>
      <c r="G10" s="137">
        <v>0.06</v>
      </c>
      <c r="H10" s="30">
        <f>WID!N25</f>
        <v>6.386551221830894E-2</v>
      </c>
      <c r="I10" s="106">
        <f>(D10/G10)*(1+H10)^9/1000000</f>
        <v>3825.5815870854422</v>
      </c>
      <c r="J10" s="95">
        <f>C10/D10</f>
        <v>3.44</v>
      </c>
      <c r="K10" s="95">
        <f>IF(J$13&lt;=I10, 1, (I10/J$13)^(1/(J10-1)))</f>
        <v>1</v>
      </c>
      <c r="L10" s="75">
        <f t="shared" si="0"/>
        <v>0.23799999999999999</v>
      </c>
      <c r="M10" s="77">
        <f>E10+MAX(0,J$14/G10-F10)*K10</f>
        <v>0.47509855072463775</v>
      </c>
      <c r="N10" s="65">
        <f>(M10-L10)*C10*B10*(1+H10)^9/1000000</f>
        <v>68707.180187923979</v>
      </c>
    </row>
    <row r="11" spans="1:14">
      <c r="A11" s="49"/>
      <c r="F11" s="45"/>
      <c r="G11" s="138">
        <f>C10*(1+H10)^9/('Billionnaires List'!D4*1000000000/'Billionnaires List'!C4)</f>
        <v>9.3226798030417196E-2</v>
      </c>
      <c r="N11" s="65">
        <f>SUM(N7:N10)</f>
        <v>107880.04574961893</v>
      </c>
    </row>
    <row r="12" spans="1:14">
      <c r="B12" s="8" t="s">
        <v>127</v>
      </c>
      <c r="C12" s="8"/>
      <c r="D12" s="8"/>
      <c r="E12" s="8"/>
      <c r="F12" s="8"/>
      <c r="G12" s="139" t="s">
        <v>229</v>
      </c>
      <c r="I12" s="145" t="s">
        <v>77</v>
      </c>
      <c r="J12" s="145"/>
    </row>
    <row r="13" spans="1:14">
      <c r="B13" t="s">
        <v>201</v>
      </c>
      <c r="F13" s="45"/>
      <c r="I13" s="49" t="s">
        <v>73</v>
      </c>
      <c r="J13" s="5">
        <v>100</v>
      </c>
    </row>
    <row r="14" spans="1:14">
      <c r="B14" t="s">
        <v>202</v>
      </c>
      <c r="C14" s="42"/>
      <c r="D14" s="42"/>
      <c r="E14" s="42"/>
      <c r="F14" s="45"/>
      <c r="I14" s="49" t="s">
        <v>74</v>
      </c>
      <c r="J14" s="15">
        <v>0.02</v>
      </c>
    </row>
    <row r="15" spans="1:14">
      <c r="B15" t="s">
        <v>203</v>
      </c>
      <c r="C15" s="5"/>
      <c r="D15" s="5"/>
      <c r="E15" s="5"/>
      <c r="F15" s="45"/>
    </row>
    <row r="16" spans="1:14">
      <c r="C16" s="15"/>
      <c r="D16" s="15"/>
      <c r="E16" s="15"/>
      <c r="F16" s="43"/>
    </row>
  </sheetData>
  <mergeCells count="4">
    <mergeCell ref="I2:N2"/>
    <mergeCell ref="I12:J12"/>
    <mergeCell ref="B2:F2"/>
    <mergeCell ref="G2:H2"/>
  </mergeCells>
  <pageMargins left="0.7" right="0.7" top="0.75" bottom="0.75" header="0.3" footer="0.3"/>
  <ignoredErrors>
    <ignoredError sqref="E4:E9" formulaRange="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5188E-3A99-448A-8F7F-E68564FA703B}">
  <sheetPr>
    <tabColor theme="5"/>
  </sheetPr>
  <dimension ref="A2:N16"/>
  <sheetViews>
    <sheetView zoomScale="145" zoomScaleNormal="145" workbookViewId="0">
      <selection activeCell="J14" sqref="J14"/>
    </sheetView>
  </sheetViews>
  <sheetFormatPr baseColWidth="10" defaultRowHeight="14.4"/>
  <cols>
    <col min="2" max="5" width="11.5546875" customWidth="1"/>
  </cols>
  <sheetData>
    <row r="2" spans="1:14">
      <c r="A2" s="39"/>
      <c r="B2" s="143" t="s">
        <v>186</v>
      </c>
      <c r="C2" s="143"/>
      <c r="D2" s="143"/>
      <c r="E2" s="143"/>
      <c r="F2" s="143"/>
      <c r="G2" s="142" t="s">
        <v>178</v>
      </c>
      <c r="H2" s="142"/>
      <c r="I2" s="144" t="s">
        <v>185</v>
      </c>
      <c r="J2" s="144"/>
      <c r="K2" s="144"/>
      <c r="L2" s="144"/>
      <c r="M2" s="144"/>
      <c r="N2" s="144"/>
    </row>
    <row r="3" spans="1:14" ht="48">
      <c r="A3" s="50" t="s">
        <v>17</v>
      </c>
      <c r="B3" s="39" t="s">
        <v>72</v>
      </c>
      <c r="C3" s="110" t="s">
        <v>223</v>
      </c>
      <c r="D3" s="110" t="s">
        <v>224</v>
      </c>
      <c r="E3" s="53" t="s">
        <v>70</v>
      </c>
      <c r="F3" s="53" t="s">
        <v>71</v>
      </c>
      <c r="G3" s="56" t="s">
        <v>75</v>
      </c>
      <c r="H3" s="98" t="s">
        <v>179</v>
      </c>
      <c r="I3" s="56" t="s">
        <v>225</v>
      </c>
      <c r="J3" s="50" t="s">
        <v>194</v>
      </c>
      <c r="K3" s="50" t="s">
        <v>196</v>
      </c>
      <c r="L3" s="56" t="s">
        <v>181</v>
      </c>
      <c r="M3" s="50" t="s">
        <v>180</v>
      </c>
      <c r="N3" s="56" t="s">
        <v>226</v>
      </c>
    </row>
    <row r="4" spans="1:14">
      <c r="A4" s="49" t="s">
        <v>66</v>
      </c>
      <c r="C4" s="81"/>
      <c r="D4" s="81"/>
      <c r="E4" s="30">
        <f>AVERAGE('Bruil et al. (2025)'!G5:G8)</f>
        <v>0.47125</v>
      </c>
      <c r="F4" s="13"/>
      <c r="G4" s="32"/>
      <c r="H4" s="32"/>
      <c r="I4" s="32"/>
      <c r="J4" s="32"/>
      <c r="K4" s="32"/>
      <c r="L4" s="74">
        <f t="shared" ref="L4:L10" si="0">E4</f>
        <v>0.47125</v>
      </c>
      <c r="M4" s="76">
        <f>L4</f>
        <v>0.47125</v>
      </c>
    </row>
    <row r="5" spans="1:14">
      <c r="A5" s="49" t="s">
        <v>67</v>
      </c>
      <c r="C5" s="81"/>
      <c r="D5" s="81"/>
      <c r="E5" s="30">
        <f>AVERAGE('Bruil et al. (2025)'!G9:G12)</f>
        <v>0.47249999999999998</v>
      </c>
      <c r="F5" s="13"/>
      <c r="G5" s="32"/>
      <c r="H5" s="32"/>
      <c r="I5" s="32"/>
      <c r="J5" s="32"/>
      <c r="K5" s="32"/>
      <c r="L5" s="74">
        <f t="shared" si="0"/>
        <v>0.47249999999999998</v>
      </c>
      <c r="M5" s="76">
        <f>L5</f>
        <v>0.47249999999999998</v>
      </c>
    </row>
    <row r="6" spans="1:14">
      <c r="A6" s="49" t="s">
        <v>37</v>
      </c>
      <c r="C6" s="81"/>
      <c r="D6" s="81"/>
      <c r="E6" s="30">
        <f>'Bruil et al. (2025)'!G13</f>
        <v>0.44</v>
      </c>
      <c r="F6" s="13"/>
      <c r="G6" s="32"/>
      <c r="H6" s="32"/>
      <c r="I6" s="32"/>
      <c r="J6" s="32"/>
      <c r="K6" s="32"/>
      <c r="L6" s="74">
        <f t="shared" si="0"/>
        <v>0.44</v>
      </c>
      <c r="M6" s="76">
        <f>L6</f>
        <v>0.44</v>
      </c>
    </row>
    <row r="7" spans="1:14">
      <c r="A7" s="49" t="s">
        <v>38</v>
      </c>
      <c r="B7" s="111">
        <f>'Bruil et al. (2025)'!J8-'Bruil et al. (2025)'!J9</f>
        <v>119991</v>
      </c>
      <c r="C7" s="81">
        <f>('Bruil et al. (2025)'!L8*'Bruil et al. (2025)'!J8-'Bruil et al. (2025)'!L9*'Bruil et al. (2025)'!J9)/('Bruil et al. (2025)'!J8-'Bruil et al. (2025)'!J9)</f>
        <v>395560.72587110702</v>
      </c>
      <c r="D7" s="81">
        <f>'Bruil et al. (2025)'!K8</f>
        <v>226162</v>
      </c>
      <c r="E7" s="30">
        <f>'Bruil et al. (2025)'!G14</f>
        <v>0.27</v>
      </c>
      <c r="F7" s="30">
        <f>'Bruil et al. (2025)'!C14</f>
        <v>0.12</v>
      </c>
      <c r="G7" s="109">
        <v>0.13</v>
      </c>
      <c r="H7" s="30">
        <f>WID!N23</f>
        <v>5.6364273526328335E-2</v>
      </c>
      <c r="I7" s="113">
        <f>(D7/G7)*(1+H7)^9/1000000</f>
        <v>2.8497031823380623</v>
      </c>
      <c r="J7" s="94">
        <f>C7/D7</f>
        <v>1.7490149798423564</v>
      </c>
      <c r="K7" s="94">
        <f>IF(J$13&lt;=I7, 1, (I7/J$13)^(1/(J7-1)))</f>
        <v>1</v>
      </c>
      <c r="L7" s="74">
        <f t="shared" si="0"/>
        <v>0.27</v>
      </c>
      <c r="M7" s="76">
        <f>E7+MAX(0,J$14/G7-F7)*K7</f>
        <v>0.38076923076923075</v>
      </c>
      <c r="N7" s="99">
        <f>(M7-L7)*C7*B7*(1+H7)^9/1000000</f>
        <v>8612.0059524430799</v>
      </c>
    </row>
    <row r="8" spans="1:14">
      <c r="A8" s="49" t="s">
        <v>39</v>
      </c>
      <c r="B8" s="111">
        <f>'Bruil et al. (2025)'!J9-'Bruil et al. (2025)'!J10</f>
        <v>11999</v>
      </c>
      <c r="C8" s="81">
        <f>('Bruil et al. (2025)'!L9*'Bruil et al. (2025)'!J9-'Bruil et al. (2025)'!L10*'Bruil et al. (2025)'!J10)/('Bruil et al. (2025)'!J9-'Bruil et al. (2025)'!J10)</f>
        <v>1780094.097341445</v>
      </c>
      <c r="D8" s="81">
        <f>'Bruil et al. (2025)'!K9</f>
        <v>1023879</v>
      </c>
      <c r="E8" s="30">
        <f>'Bruil et al. (2025)'!G15</f>
        <v>0.215</v>
      </c>
      <c r="F8" s="30">
        <f>'Bruil et al. (2025)'!C15</f>
        <v>7.0000000000000007E-2</v>
      </c>
      <c r="G8" s="109">
        <v>0.12</v>
      </c>
      <c r="H8" s="30">
        <f>WID!N22</f>
        <v>4.3943767809603962E-2</v>
      </c>
      <c r="I8" s="113">
        <f>(D8/G8)*(1+H8)^9/1000000</f>
        <v>12.564966735510884</v>
      </c>
      <c r="J8" s="94">
        <f>C8/D8</f>
        <v>1.7385785794429274</v>
      </c>
      <c r="K8" s="94">
        <f>IF(J$13&lt;=I8, 1, (I8/J$13)^(1/(J8-1)))</f>
        <v>1</v>
      </c>
      <c r="L8" s="74">
        <f t="shared" si="0"/>
        <v>0.215</v>
      </c>
      <c r="M8" s="76">
        <f>E8+MAX(0,J$14/G8-F8)*K8</f>
        <v>0.39500000000000002</v>
      </c>
      <c r="N8" s="99">
        <f>(M8-L8)*C8*B8*(1+H8)^9/1000000</f>
        <v>5661.7993230749571</v>
      </c>
    </row>
    <row r="9" spans="1:14">
      <c r="A9" s="49" t="s">
        <v>84</v>
      </c>
      <c r="B9" s="111">
        <f>'Bruil et al. (2025)'!J10-'Bruil et al. (2025)'!J12</f>
        <v>1320</v>
      </c>
      <c r="C9" s="81">
        <f>('Bruil et al. (2025)'!L10*'Bruil et al. (2025)'!J10-'Bruil et al. (2025)'!L12*'Bruil et al. (2025)'!J12)/('Bruil et al. (2025)'!J10-'Bruil et al. (2025)'!J12)</f>
        <v>9853645.9121212121</v>
      </c>
      <c r="D9" s="81">
        <f>'Bruil et al. (2025)'!K10</f>
        <v>4372218</v>
      </c>
      <c r="E9" s="30">
        <f>'Bruil et al. (2025)'!G16*0.9 + 'Bruil et al. (2025)'!G17*0.1</f>
        <v>0.1895</v>
      </c>
      <c r="F9" s="30">
        <f>'Bruil et al. (2025)'!C16*0.9 + 'Bruil et al. (2025)'!C17*0.1</f>
        <v>4.3000000000000003E-2</v>
      </c>
      <c r="G9" s="109">
        <v>0.09</v>
      </c>
      <c r="H9" s="30">
        <f>AVERAGE(WID!N20:N21)</f>
        <v>4.056457071269981E-2</v>
      </c>
      <c r="I9" s="113">
        <f>(D9/G9)*(1+H9)^9/1000000</f>
        <v>69.483328167820872</v>
      </c>
      <c r="J9" s="94">
        <f>C9/D9</f>
        <v>2.2536950152351078</v>
      </c>
      <c r="K9" s="94">
        <f>IF(J$13&lt;=I9, 1, (I9/J$13)^(1/(J9-1)))</f>
        <v>1</v>
      </c>
      <c r="L9" s="74">
        <f t="shared" si="0"/>
        <v>0.1895</v>
      </c>
      <c r="M9" s="76">
        <f>E9+MAX(0,J$14/G9-F9)*K9</f>
        <v>0.47983333333333333</v>
      </c>
      <c r="N9" s="99">
        <f>(M9-L9)*C9*B9*(1+H9)^9/1000000</f>
        <v>5401.1855549800202</v>
      </c>
    </row>
    <row r="10" spans="1:14">
      <c r="A10" s="49" t="s">
        <v>69</v>
      </c>
      <c r="B10" s="111">
        <f>'Bruil et al. (2025)'!J12</f>
        <v>14</v>
      </c>
      <c r="C10" s="112">
        <f>'Bruil et al. (2025)'!L12</f>
        <v>111562388</v>
      </c>
      <c r="D10" s="81">
        <f>'Bruil et al. (2025)'!K12</f>
        <v>89761129</v>
      </c>
      <c r="E10" s="30">
        <f>'Bruil et al. (2025)'!G18</f>
        <v>0.16</v>
      </c>
      <c r="F10" s="30">
        <f>'Bruil et al. (2025)'!C18</f>
        <v>5.0000000000000001E-3</v>
      </c>
      <c r="G10" s="137">
        <v>0.06</v>
      </c>
      <c r="H10" s="30">
        <f>WID!N20</f>
        <v>3.4737620496357202E-2</v>
      </c>
      <c r="I10" s="113">
        <f>(D10/G10)*(1+H10)^9/1000000</f>
        <v>2034.2728796935851</v>
      </c>
      <c r="J10" s="94">
        <f>C10/D10</f>
        <v>1.242880846563327</v>
      </c>
      <c r="K10" s="94">
        <f>IF(J$13&lt;=I10, 1, (I10/J$13)^(1/(J10-1)))</f>
        <v>1</v>
      </c>
      <c r="L10" s="74">
        <f t="shared" si="0"/>
        <v>0.16</v>
      </c>
      <c r="M10" s="76">
        <f>E10+MAX(0,J$14/G10-F10)*K10</f>
        <v>0.65500000000000003</v>
      </c>
      <c r="N10" s="99">
        <f>(M10-L10)*C10*B10*(1+H10)^9/1000000</f>
        <v>1051.2915885636514</v>
      </c>
    </row>
    <row r="11" spans="1:14">
      <c r="A11" s="49"/>
      <c r="F11" s="45"/>
      <c r="G11" s="138">
        <f>C10*(1+H10)^9/('Billionnaires List'!D7*1000000000/'Billionnaires List'!C7)</f>
        <v>4.0075150220991611E-2</v>
      </c>
      <c r="N11" s="65">
        <f>SUM(N7:N10)</f>
        <v>20726.282419061707</v>
      </c>
    </row>
    <row r="12" spans="1:14">
      <c r="B12" s="8" t="s">
        <v>129</v>
      </c>
      <c r="C12" s="8"/>
      <c r="D12" s="8"/>
      <c r="E12" s="8"/>
      <c r="F12" s="8"/>
      <c r="G12" s="139" t="s">
        <v>230</v>
      </c>
      <c r="I12" s="145" t="s">
        <v>77</v>
      </c>
      <c r="J12" s="145"/>
    </row>
    <row r="13" spans="1:14">
      <c r="F13" s="45"/>
      <c r="I13" s="49" t="s">
        <v>73</v>
      </c>
      <c r="J13" s="5">
        <v>1</v>
      </c>
    </row>
    <row r="14" spans="1:14">
      <c r="C14" s="42"/>
      <c r="D14" s="42"/>
      <c r="E14" s="42"/>
      <c r="F14" s="45"/>
      <c r="I14" s="49" t="s">
        <v>74</v>
      </c>
      <c r="J14" s="15">
        <v>0.03</v>
      </c>
    </row>
    <row r="15" spans="1:14">
      <c r="C15" s="5"/>
      <c r="D15" s="5"/>
      <c r="E15" s="5"/>
      <c r="F15" s="45"/>
    </row>
    <row r="16" spans="1:14">
      <c r="C16" s="15"/>
      <c r="D16" s="15"/>
      <c r="E16" s="15"/>
      <c r="F16" s="43"/>
    </row>
  </sheetData>
  <mergeCells count="4">
    <mergeCell ref="I2:N2"/>
    <mergeCell ref="I12:J12"/>
    <mergeCell ref="B2:F2"/>
    <mergeCell ref="G2:H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97FE-0BF4-4C8A-932D-485C69046A3F}">
  <sheetPr codeName="Feuil4">
    <tabColor theme="9" tint="-0.249977111117893"/>
  </sheetPr>
  <dimension ref="A2:N16"/>
  <sheetViews>
    <sheetView zoomScale="145" zoomScaleNormal="145" workbookViewId="0">
      <selection activeCell="J14" sqref="J14"/>
    </sheetView>
  </sheetViews>
  <sheetFormatPr baseColWidth="10" defaultRowHeight="14.4"/>
  <cols>
    <col min="3" max="3" width="11.21875" customWidth="1"/>
    <col min="4" max="4" width="12.33203125" customWidth="1"/>
  </cols>
  <sheetData>
    <row r="2" spans="1:14">
      <c r="A2" s="39"/>
      <c r="B2" s="143" t="s">
        <v>183</v>
      </c>
      <c r="C2" s="143"/>
      <c r="D2" s="143"/>
      <c r="E2" s="143"/>
      <c r="F2" s="143"/>
      <c r="G2" s="142" t="s">
        <v>178</v>
      </c>
      <c r="H2" s="142"/>
      <c r="I2" s="144" t="s">
        <v>184</v>
      </c>
      <c r="J2" s="144"/>
      <c r="K2" s="144"/>
      <c r="L2" s="144"/>
      <c r="M2" s="144"/>
      <c r="N2" s="144"/>
    </row>
    <row r="3" spans="1:14" ht="48">
      <c r="A3" s="50" t="s">
        <v>17</v>
      </c>
      <c r="B3" s="39" t="s">
        <v>72</v>
      </c>
      <c r="C3" s="110" t="s">
        <v>223</v>
      </c>
      <c r="D3" s="110" t="s">
        <v>224</v>
      </c>
      <c r="E3" s="53" t="s">
        <v>70</v>
      </c>
      <c r="F3" s="53" t="s">
        <v>71</v>
      </c>
      <c r="G3" s="56" t="s">
        <v>75</v>
      </c>
      <c r="H3" s="98" t="s">
        <v>179</v>
      </c>
      <c r="I3" s="56" t="s">
        <v>225</v>
      </c>
      <c r="J3" s="50" t="s">
        <v>194</v>
      </c>
      <c r="K3" s="50" t="s">
        <v>196</v>
      </c>
      <c r="L3" s="56" t="s">
        <v>181</v>
      </c>
      <c r="M3" s="50" t="s">
        <v>180</v>
      </c>
      <c r="N3" s="56" t="s">
        <v>226</v>
      </c>
    </row>
    <row r="4" spans="1:14">
      <c r="A4" s="49" t="s">
        <v>66</v>
      </c>
      <c r="C4" s="6"/>
      <c r="D4" s="46"/>
      <c r="E4" s="46">
        <f>'Palomo et al. (2025)'!C4*0.5+'Palomo et al. (2025)'!C5*0.25+'Palomo et al. (2025)'!C6*0.25</f>
        <v>0.47672649500000003</v>
      </c>
      <c r="F4" s="13"/>
      <c r="G4" s="32"/>
      <c r="H4" s="32"/>
      <c r="I4" s="32"/>
      <c r="J4" s="32"/>
      <c r="K4" s="32"/>
      <c r="L4" s="73">
        <f t="shared" ref="L4:L10" si="0">E4</f>
        <v>0.47672649500000003</v>
      </c>
      <c r="M4" s="72">
        <f>L4</f>
        <v>0.47672649500000003</v>
      </c>
    </row>
    <row r="5" spans="1:14">
      <c r="A5" s="49" t="s">
        <v>67</v>
      </c>
      <c r="C5" s="6"/>
      <c r="D5" s="46"/>
      <c r="E5" s="46">
        <f>AVERAGE('Palomo et al. (2025)'!C7:C10)</f>
        <v>0.4674134875</v>
      </c>
      <c r="F5" s="13"/>
      <c r="G5" s="32"/>
      <c r="H5" s="32"/>
      <c r="I5" s="32"/>
      <c r="J5" s="32"/>
      <c r="K5" s="32"/>
      <c r="L5" s="73">
        <f t="shared" si="0"/>
        <v>0.4674134875</v>
      </c>
      <c r="M5" s="72">
        <f>L5</f>
        <v>0.4674134875</v>
      </c>
    </row>
    <row r="6" spans="1:14">
      <c r="A6" s="49" t="s">
        <v>37</v>
      </c>
      <c r="C6" s="6"/>
      <c r="D6" s="46"/>
      <c r="E6" s="46">
        <f>AVERAGE('Palomo et al. (2025)'!C11:C12)</f>
        <v>0.46690173999999995</v>
      </c>
      <c r="F6" s="13"/>
      <c r="G6" s="32"/>
      <c r="H6" s="32"/>
      <c r="I6" s="32"/>
      <c r="J6" s="32"/>
      <c r="K6" s="32"/>
      <c r="L6" s="73">
        <f t="shared" si="0"/>
        <v>0.46690173999999995</v>
      </c>
      <c r="M6" s="72">
        <f>L6</f>
        <v>0.46690173999999995</v>
      </c>
    </row>
    <row r="7" spans="1:14">
      <c r="A7" s="49" t="s">
        <v>38</v>
      </c>
      <c r="B7">
        <f>'Palomo et al. (2025)'!L8-'Palomo et al. (2025)'!L9</f>
        <v>1342683</v>
      </c>
      <c r="C7" s="6">
        <f>('Palomo et al. (2025)'!L8*'Palomo et al. (2025)'!P8-'Palomo et al. (2025)'!L9*'Palomo et al. (2025)'!P9)/('Palomo et al. (2025)'!L8-'Palomo et al. (2025)'!L9)</f>
        <v>150587.81362007168</v>
      </c>
      <c r="D7" s="6">
        <f>'Palomo et al. (2025)'!O8</f>
        <v>92934.491315136474</v>
      </c>
      <c r="E7" s="46">
        <f>'Palomo et al. (2025)'!C13</f>
        <v>0.30034454999999999</v>
      </c>
      <c r="F7" s="46">
        <f>'Palomo et al. (2025)'!F13 + 'Palomo et al. (2025)'!H13</f>
        <v>9.5415599999999989E-2</v>
      </c>
      <c r="G7" s="109">
        <v>0.13</v>
      </c>
      <c r="H7" s="30">
        <f>WID!N8</f>
        <v>0.13309046810491298</v>
      </c>
      <c r="I7" s="113">
        <f>(D7/G7)*(1+H7)^6/1000000</f>
        <v>1.5129378594561054</v>
      </c>
      <c r="J7" s="94">
        <f>C7/D7</f>
        <v>1.6203651786228164</v>
      </c>
      <c r="K7" s="94">
        <f>IF(J$13&lt;=I7, 1, (I7/J$13)^(1/(J7-1)))</f>
        <v>1</v>
      </c>
      <c r="L7" s="73">
        <f t="shared" si="0"/>
        <v>0.30034454999999999</v>
      </c>
      <c r="M7" s="72">
        <f>E7+MAX(0,J$14/G7-F7)*K7</f>
        <v>0.43569818076923073</v>
      </c>
      <c r="N7" s="65">
        <f>(M7-L7)*C7*B7*(1+H7)^6/1000000</f>
        <v>57918.95864971936</v>
      </c>
    </row>
    <row r="8" spans="1:14">
      <c r="A8" s="49" t="s">
        <v>39</v>
      </c>
      <c r="B8">
        <f>'Palomo et al. (2025)'!L9-'Palomo et al. (2025)'!L10</f>
        <v>134265</v>
      </c>
      <c r="C8" s="6">
        <f>('Palomo et al. (2025)'!L9*'Palomo et al. (2025)'!P9-'Palomo et al. (2025)'!L10*'Palomo et al. (2025)'!P10)/('Palomo et al. (2025)'!L9-'Palomo et al. (2025)'!L10)</f>
        <v>631671.64319220174</v>
      </c>
      <c r="D8" s="6">
        <f>'Palomo et al. (2025)'!O9</f>
        <v>352926.30272952851</v>
      </c>
      <c r="E8" s="46">
        <f>'Palomo et al. (2025)'!C14</f>
        <v>0.22436049</v>
      </c>
      <c r="F8" s="46">
        <f>'Palomo et al. (2025)'!F14 + 'Palomo et al. (2025)'!H14</f>
        <v>4.8548420000000009E-2</v>
      </c>
      <c r="G8" s="109">
        <v>0.12</v>
      </c>
      <c r="H8" s="30">
        <f>WID!N7</f>
        <v>7.4538792356618311E-2</v>
      </c>
      <c r="I8" s="113">
        <f t="shared" ref="I8:I9" si="1">(D8/G8)*(1+H8)^6/1000000</f>
        <v>4.5272593352047874</v>
      </c>
      <c r="J8" s="94">
        <f>C8/D8</f>
        <v>1.7898117491013266</v>
      </c>
      <c r="K8" s="94">
        <f>IF(J$13&lt;=I8, 1, (I8/J$13)^(1/(J8-1)))</f>
        <v>1</v>
      </c>
      <c r="L8" s="73">
        <f t="shared" si="0"/>
        <v>0.22436049</v>
      </c>
      <c r="M8" s="72">
        <f>E8+MAX(0,J$14/G8-F8)*K8</f>
        <v>0.42581206999999999</v>
      </c>
      <c r="N8" s="65">
        <f t="shared" ref="N8:N10" si="2">(M8-L8)*C8*B8*(1+H8)^6/1000000</f>
        <v>26300.104114851849</v>
      </c>
    </row>
    <row r="9" spans="1:14">
      <c r="A9" s="49" t="s">
        <v>84</v>
      </c>
      <c r="B9">
        <f>'Palomo et al. (2025)'!L10-'Palomo et al. (2025)'!L12</f>
        <v>14770</v>
      </c>
      <c r="C9" s="6">
        <f>('Palomo et al. (2025)'!L10*'Palomo et al. (2025)'!P10-'Palomo et al. (2025)'!L12*'Palomo et al. (2025)'!P12)/('Palomo et al. (2025)'!L10-'Palomo et al. (2025)'!L12)</f>
        <v>4498071.1288222549</v>
      </c>
      <c r="D9" s="6">
        <f>'Palomo et al. (2025)'!O10</f>
        <v>1737934.2431761785</v>
      </c>
      <c r="E9" s="46">
        <f>'Palomo et al. (2025)'!C15</f>
        <v>0.21458076000000001</v>
      </c>
      <c r="F9" s="46">
        <f>'Palomo et al. (2025)'!F15 + 'Palomo et al. (2025)'!H15</f>
        <v>3.3692159999999985E-2</v>
      </c>
      <c r="G9" s="109">
        <v>0.09</v>
      </c>
      <c r="H9" s="30">
        <f>AVERAGE(WID!N5:N6)</f>
        <v>5.3320582840966746E-2</v>
      </c>
      <c r="I9" s="113">
        <f t="shared" si="1"/>
        <v>26.372679417922576</v>
      </c>
      <c r="J9" s="94">
        <f>C9/D9</f>
        <v>2.5881710694656443</v>
      </c>
      <c r="K9" s="94">
        <f>IF(J$13&lt;=I9, 1, (I9/J$13)^(1/(J9-1)))</f>
        <v>1</v>
      </c>
      <c r="L9" s="73">
        <f t="shared" si="0"/>
        <v>0.21458076000000001</v>
      </c>
      <c r="M9" s="72">
        <f>E9+MAX(0,J$14/G9-F9)*K9</f>
        <v>0.51422193333333333</v>
      </c>
      <c r="N9" s="65">
        <f t="shared" si="2"/>
        <v>27187.653587986977</v>
      </c>
    </row>
    <row r="10" spans="1:14">
      <c r="A10" s="49" t="s">
        <v>69</v>
      </c>
      <c r="B10">
        <f>'Palomo et al. (2025)'!L12</f>
        <v>152</v>
      </c>
      <c r="C10" s="114">
        <f>'Palomo et al. (2025)'!P12</f>
        <v>121989804.46650124</v>
      </c>
      <c r="D10" s="6">
        <f>'Palomo et al. (2025)'!O12</f>
        <v>49552063.523573197</v>
      </c>
      <c r="E10" s="46">
        <f>'Palomo et al. (2025)'!C16</f>
        <v>0.19708729</v>
      </c>
      <c r="F10" s="46">
        <f>'Palomo et al. (2025)'!F16 + 'Palomo et al. (2025)'!H16</f>
        <v>2.0460600000000009E-2</v>
      </c>
      <c r="G10" s="137">
        <v>0.06</v>
      </c>
      <c r="H10" s="30">
        <f>WID!N5</f>
        <v>5.3809595206012917E-2</v>
      </c>
      <c r="I10" s="113">
        <f>(D10/G10)*(1+H10)^6/1000000</f>
        <v>1131.0541200678551</v>
      </c>
      <c r="J10" s="94">
        <f>C10/D10</f>
        <v>2.4618511479036091</v>
      </c>
      <c r="K10" s="94">
        <f>IF(J$13&lt;=I10, 1, (I10/J$13)^(1/(J10-1)))</f>
        <v>1</v>
      </c>
      <c r="L10" s="73">
        <f t="shared" si="0"/>
        <v>0.19708729</v>
      </c>
      <c r="M10" s="72">
        <f>E10+MAX(0,J$14/G10-F10)*K10</f>
        <v>0.67662668999999998</v>
      </c>
      <c r="N10" s="65">
        <f t="shared" si="2"/>
        <v>12177.673066567615</v>
      </c>
    </row>
    <row r="11" spans="1:14">
      <c r="A11" s="49"/>
      <c r="F11" s="45"/>
      <c r="G11" s="138">
        <f>C10*(1+H10)^6/('Billionnaires List'!D6*1000000000/'Billionnaires List'!C6)</f>
        <v>4.3635853650525774E-2</v>
      </c>
      <c r="N11" s="65">
        <f>SUM(N7:N10)</f>
        <v>123584.3894191258</v>
      </c>
    </row>
    <row r="12" spans="1:14">
      <c r="B12" s="8" t="s">
        <v>126</v>
      </c>
      <c r="C12" s="8"/>
      <c r="D12" s="8"/>
      <c r="E12" s="8"/>
      <c r="F12" s="8"/>
      <c r="G12" s="139" t="s">
        <v>231</v>
      </c>
      <c r="I12" s="145" t="s">
        <v>77</v>
      </c>
      <c r="J12" s="145"/>
    </row>
    <row r="13" spans="1:14">
      <c r="F13" s="45"/>
      <c r="I13" s="49" t="s">
        <v>73</v>
      </c>
      <c r="J13" s="5">
        <v>1</v>
      </c>
      <c r="K13" s="42"/>
    </row>
    <row r="14" spans="1:14">
      <c r="C14" s="42"/>
      <c r="D14" s="42"/>
      <c r="E14" s="42"/>
      <c r="F14" s="45"/>
      <c r="I14" s="49" t="s">
        <v>74</v>
      </c>
      <c r="J14" s="15">
        <v>0.03</v>
      </c>
      <c r="K14" s="5"/>
    </row>
    <row r="15" spans="1:14">
      <c r="C15" s="5"/>
      <c r="D15" s="5"/>
      <c r="E15" s="5"/>
      <c r="F15" s="45"/>
      <c r="K15" s="15"/>
    </row>
    <row r="16" spans="1:14">
      <c r="C16" s="15"/>
      <c r="D16" s="15"/>
      <c r="E16" s="15"/>
      <c r="F16" s="43"/>
    </row>
  </sheetData>
  <mergeCells count="4">
    <mergeCell ref="I2:N2"/>
    <mergeCell ref="I12:J12"/>
    <mergeCell ref="B2:F2"/>
    <mergeCell ref="G2:H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64CC-809B-4D95-9F4D-62327EF5483E}">
  <sheetPr>
    <tabColor rgb="FF800080"/>
  </sheetPr>
  <dimension ref="A2:N20"/>
  <sheetViews>
    <sheetView zoomScale="145" zoomScaleNormal="145" workbookViewId="0">
      <selection activeCell="L14" sqref="L14"/>
    </sheetView>
  </sheetViews>
  <sheetFormatPr baseColWidth="10" defaultRowHeight="14.4"/>
  <cols>
    <col min="3" max="4" width="12.77734375" bestFit="1" customWidth="1"/>
  </cols>
  <sheetData>
    <row r="2" spans="1:14">
      <c r="A2" s="39"/>
      <c r="B2" s="143" t="s">
        <v>189</v>
      </c>
      <c r="C2" s="143"/>
      <c r="D2" s="143"/>
      <c r="E2" s="143"/>
      <c r="F2" s="143"/>
      <c r="G2" s="142" t="s">
        <v>178</v>
      </c>
      <c r="H2" s="142"/>
      <c r="I2" s="144" t="s">
        <v>185</v>
      </c>
      <c r="J2" s="144"/>
      <c r="K2" s="144"/>
      <c r="L2" s="144"/>
      <c r="M2" s="144"/>
      <c r="N2" s="144"/>
    </row>
    <row r="3" spans="1:14" ht="48">
      <c r="A3" s="50" t="s">
        <v>17</v>
      </c>
      <c r="B3" s="39" t="s">
        <v>72</v>
      </c>
      <c r="C3" s="110" t="s">
        <v>197</v>
      </c>
      <c r="D3" s="110" t="s">
        <v>192</v>
      </c>
      <c r="E3" s="53" t="s">
        <v>70</v>
      </c>
      <c r="F3" s="53" t="s">
        <v>71</v>
      </c>
      <c r="G3" s="56" t="s">
        <v>75</v>
      </c>
      <c r="H3" s="98" t="s">
        <v>179</v>
      </c>
      <c r="I3" s="56" t="s">
        <v>193</v>
      </c>
      <c r="J3" s="50" t="s">
        <v>194</v>
      </c>
      <c r="K3" s="50" t="s">
        <v>196</v>
      </c>
      <c r="L3" s="56" t="s">
        <v>181</v>
      </c>
      <c r="M3" s="56" t="s">
        <v>180</v>
      </c>
      <c r="N3" s="56" t="s">
        <v>134</v>
      </c>
    </row>
    <row r="4" spans="1:14">
      <c r="A4" s="49" t="s">
        <v>66</v>
      </c>
      <c r="C4" s="46"/>
      <c r="D4" s="46"/>
      <c r="E4" s="46">
        <f>'Guzzardi et al. (2024)'!C4</f>
        <v>0.42</v>
      </c>
      <c r="F4" s="13"/>
      <c r="G4" s="32"/>
      <c r="H4" s="32"/>
      <c r="I4" s="32"/>
      <c r="J4" s="32"/>
      <c r="K4" s="32"/>
      <c r="L4" s="97">
        <f t="shared" ref="L4:L10" si="0">E4</f>
        <v>0.42</v>
      </c>
      <c r="M4" s="96">
        <f>L4</f>
        <v>0.42</v>
      </c>
    </row>
    <row r="5" spans="1:14">
      <c r="A5" s="49" t="s">
        <v>67</v>
      </c>
      <c r="C5" s="46"/>
      <c r="D5" s="46"/>
      <c r="E5" s="46">
        <f>AVERAGE('Guzzardi et al. (2024)'!C5:C8)</f>
        <v>0.46</v>
      </c>
      <c r="F5" s="13"/>
      <c r="G5" s="32"/>
      <c r="H5" s="32"/>
      <c r="I5" s="32"/>
      <c r="J5" s="32"/>
      <c r="K5" s="32"/>
      <c r="L5" s="97">
        <f t="shared" si="0"/>
        <v>0.46</v>
      </c>
      <c r="M5" s="96">
        <f>L5</f>
        <v>0.46</v>
      </c>
    </row>
    <row r="6" spans="1:14">
      <c r="A6" s="49" t="s">
        <v>37</v>
      </c>
      <c r="C6" s="46"/>
      <c r="D6" s="46"/>
      <c r="E6" s="46">
        <f>'Guzzardi et al. (2024)'!C9</f>
        <v>0.5</v>
      </c>
      <c r="F6" s="13"/>
      <c r="G6" s="32"/>
      <c r="H6" s="32"/>
      <c r="I6" s="32"/>
      <c r="J6" s="32"/>
      <c r="K6" s="32"/>
      <c r="L6" s="97">
        <f t="shared" si="0"/>
        <v>0.5</v>
      </c>
      <c r="M6" s="96">
        <f>L6</f>
        <v>0.5</v>
      </c>
    </row>
    <row r="7" spans="1:14">
      <c r="A7" s="49" t="s">
        <v>38</v>
      </c>
      <c r="B7">
        <f>'Guzzardi et al. (2024)'!C29-'Guzzardi et al. (2024)'!C30</f>
        <v>456295</v>
      </c>
      <c r="C7" s="6">
        <f>('Guzzardi et al. (2024)'!C29*'Guzzardi et al. (2024)'!E29-'Guzzardi et al. (2024)'!C30*'Guzzardi et al. (2024)'!E30)/('Guzzardi et al. (2024)'!C29-'Guzzardi et al. (2024)'!C30)</f>
        <v>212338.52869086884</v>
      </c>
      <c r="D7" s="6">
        <f>'Guzzardi et al. (2024)'!D29</f>
        <v>147733</v>
      </c>
      <c r="E7" s="46">
        <f>'Guzzardi et al. (2024)'!C10</f>
        <v>0.43</v>
      </c>
      <c r="F7" s="46">
        <f>'Guzzardi et al. (2024)'!D10</f>
        <v>0.25</v>
      </c>
      <c r="G7" s="109">
        <v>0.13</v>
      </c>
      <c r="H7" s="30">
        <f>WID!N18</f>
        <v>4.3673219493195026E-2</v>
      </c>
      <c r="I7" s="113">
        <f>(D7/G7)*(1+H7)^9/1000000</f>
        <v>1.6696099408986425</v>
      </c>
      <c r="J7" s="94">
        <f>C7/D7</f>
        <v>1.4373127783966266</v>
      </c>
      <c r="K7" s="94">
        <f>IF(L$13&lt;=I7, 1, (I7/L$13)^(1/(J7-1)))</f>
        <v>1</v>
      </c>
      <c r="L7" s="97">
        <f t="shared" si="0"/>
        <v>0.43</v>
      </c>
      <c r="M7" s="96">
        <f>E7+MAX(0,L$14/G7-F7)*K7</f>
        <v>0.43</v>
      </c>
      <c r="N7" s="65">
        <f>(M7-L7)*C7*B7*(1+H7)^9/1000000</f>
        <v>0</v>
      </c>
    </row>
    <row r="8" spans="1:14">
      <c r="A8" s="49" t="s">
        <v>39</v>
      </c>
      <c r="B8">
        <f>'Guzzardi et al. (2024)'!C30</f>
        <v>50699</v>
      </c>
      <c r="C8" s="6">
        <f>'Guzzardi et al. (2024)'!E30*(1- 'Bach et al. (2025)'!Q17/'Bach et al. (2025)'!Q16)/0.9</f>
        <v>618122.64943457197</v>
      </c>
      <c r="D8" s="6">
        <f>'Guzzardi et al. (2024)'!D30</f>
        <v>507543</v>
      </c>
      <c r="E8" s="46">
        <f>'Guzzardi et al. (2024)'!C11</f>
        <v>0.36</v>
      </c>
      <c r="F8" s="46">
        <f>'Guzzardi et al. (2024)'!D11</f>
        <v>0.15</v>
      </c>
      <c r="G8" s="109">
        <v>0.12</v>
      </c>
      <c r="H8" s="30">
        <f>WID!N17</f>
        <v>6.5618761329873765E-2</v>
      </c>
      <c r="I8" s="113">
        <f>(D8/G8)*(1+H8)^9/1000000</f>
        <v>7.4939073466760009</v>
      </c>
      <c r="J8" s="94">
        <f>C8/D8</f>
        <v>1.2178724747155847</v>
      </c>
      <c r="K8" s="94">
        <f>IF(L$13&lt;=I8, 1, (I8/L$13)^(1/(J8-1)))</f>
        <v>1</v>
      </c>
      <c r="L8" s="97">
        <f t="shared" si="0"/>
        <v>0.36</v>
      </c>
      <c r="M8" s="96">
        <f>E8+MAX(0,L$14/G8-F8)*K8</f>
        <v>0.45999999999999996</v>
      </c>
      <c r="N8" s="65">
        <f>(M8-L8)*C8*B8*(1+H8)^9/1000000</f>
        <v>5552.5282091484514</v>
      </c>
    </row>
    <row r="9" spans="1:14">
      <c r="A9" s="49" t="s">
        <v>84</v>
      </c>
      <c r="B9" s="24">
        <f>'Guzzardi et al. (2024)'!C30/10</f>
        <v>5069.8999999999996</v>
      </c>
      <c r="C9" s="6">
        <f xml:space="preserve"> 'Guzzardi et al. (2024)'!E30 * ('Bach et al. (2025)'!Q17-'Bach et al. (2025)'!Q19)/'Bach et al. (2025)'!Q16 / 0.099</f>
        <v>3902289.4535010844</v>
      </c>
      <c r="D9" s="6">
        <f>C9*(FRA!D9/FRA!C9)</f>
        <v>1509670.9454187965</v>
      </c>
      <c r="E9" s="46">
        <f>AVERAGE('Guzzardi et al. (2024)'!C11, 'Guzzardi et al. (2024)'!C12)</f>
        <v>0.27</v>
      </c>
      <c r="F9" s="46">
        <f>AVERAGE('Guzzardi et al. (2024)'!C11:C12)*('Guzzardi et al. (2024)'!D11/'Guzzardi et al. (2024)'!C11)</f>
        <v>0.11250000000000002</v>
      </c>
      <c r="G9" s="109">
        <v>0.09</v>
      </c>
      <c r="H9" s="30">
        <f>AVERAGE(WID!N15:N16)</f>
        <v>8.1284523033389955E-2</v>
      </c>
      <c r="I9" s="113">
        <f>(D9/G9)*(1+H9)^9/1000000</f>
        <v>33.892192798415643</v>
      </c>
      <c r="J9" s="94">
        <f>C9/D9</f>
        <v>2.5848609363138757</v>
      </c>
      <c r="K9" s="94">
        <f>IF(L$13&lt;=I9, 1, (I9/L$13)^(1/(J9-1)))</f>
        <v>1</v>
      </c>
      <c r="L9" s="97">
        <f t="shared" si="0"/>
        <v>0.27</v>
      </c>
      <c r="M9" s="96">
        <f>E9+MAX(0,L$14/G9-F9)*K9</f>
        <v>0.49083333333333334</v>
      </c>
      <c r="N9" s="65">
        <f>(M9-L9)*C9*B9*(1+H9)^9/1000000</f>
        <v>8827.6149641791053</v>
      </c>
    </row>
    <row r="10" spans="1:14">
      <c r="A10" s="49" t="s">
        <v>69</v>
      </c>
      <c r="B10" s="24">
        <f>'Guzzardi et al. (2024)'!C30/1000</f>
        <v>50.698999999999998</v>
      </c>
      <c r="C10" s="6">
        <f xml:space="preserve"> 'Guzzardi et al. (2024)'!E30 * ('Bach et al. (2025)'!Q19/'Bach et al. (2025)'!Q16) / 0.001</f>
        <v>253043959.61227787</v>
      </c>
      <c r="D10" s="6">
        <f>C10*(FRA!D10/FRA!C10)</f>
        <v>71666422.48130177</v>
      </c>
      <c r="E10" s="46">
        <f>'Guzzardi et al. (2024)'!C12</f>
        <v>0.18</v>
      </c>
      <c r="F10" s="46">
        <f>'Guzzardi et al. (2024)'!C12*('Guzzardi et al. (2024)'!D11/'Guzzardi et al. (2024)'!C11)</f>
        <v>7.4999999999999997E-2</v>
      </c>
      <c r="G10" s="137">
        <v>0.06</v>
      </c>
      <c r="H10" s="30">
        <f>WID!N15</f>
        <v>8.8542974272436403E-2</v>
      </c>
      <c r="I10" s="113">
        <f>(D10/G10)*(1+H10)^9/1000000</f>
        <v>2563.1539210969795</v>
      </c>
      <c r="J10" s="94">
        <f>C10/D10</f>
        <v>3.5308579785505363</v>
      </c>
      <c r="K10" s="94">
        <f>IF(L$13&lt;=I10, 1, (I10/L$13)^(1/(J10-1)))</f>
        <v>1</v>
      </c>
      <c r="L10" s="97">
        <f t="shared" si="0"/>
        <v>0.18</v>
      </c>
      <c r="M10" s="96">
        <f>E10+MAX(0,L$14/G10-F10)*K10</f>
        <v>0.60499999999999998</v>
      </c>
      <c r="N10" s="65">
        <f>(M10-L10)*C10*B10*(1+H10)^9/1000000</f>
        <v>11700.232988769027</v>
      </c>
    </row>
    <row r="11" spans="1:14">
      <c r="A11" s="49"/>
      <c r="F11" s="45"/>
      <c r="G11" s="138">
        <f>C10*(1+H10)^9/('Billionnaires List'!E5*1000000000/'Billionnaires List'!C5)</f>
        <v>0.12517340663675089</v>
      </c>
      <c r="N11" s="100">
        <f>SUM(N7:N10)</f>
        <v>26080.376162096582</v>
      </c>
    </row>
    <row r="12" spans="1:14">
      <c r="B12" s="8" t="s">
        <v>176</v>
      </c>
      <c r="C12" s="8"/>
      <c r="D12" s="8"/>
      <c r="E12" s="8"/>
      <c r="F12" s="8"/>
      <c r="G12" s="139" t="s">
        <v>229</v>
      </c>
      <c r="K12" s="145" t="s">
        <v>77</v>
      </c>
      <c r="L12" s="145"/>
    </row>
    <row r="13" spans="1:14">
      <c r="B13" t="s">
        <v>190</v>
      </c>
      <c r="F13" s="45"/>
      <c r="K13" s="49" t="s">
        <v>73</v>
      </c>
      <c r="L13" s="5">
        <v>1</v>
      </c>
    </row>
    <row r="14" spans="1:14">
      <c r="B14" t="s">
        <v>199</v>
      </c>
      <c r="F14" s="45"/>
      <c r="K14" s="49" t="s">
        <v>74</v>
      </c>
      <c r="L14" s="15">
        <v>0.03</v>
      </c>
    </row>
    <row r="15" spans="1:14">
      <c r="B15" t="s">
        <v>177</v>
      </c>
      <c r="F15" s="45"/>
    </row>
    <row r="16" spans="1:14">
      <c r="B16" t="s">
        <v>198</v>
      </c>
      <c r="F16" s="43"/>
    </row>
    <row r="17" spans="2:5">
      <c r="B17" t="s">
        <v>200</v>
      </c>
    </row>
    <row r="18" spans="2:5">
      <c r="C18" s="42"/>
      <c r="D18" s="42"/>
      <c r="E18" s="42"/>
    </row>
    <row r="19" spans="2:5">
      <c r="C19" s="5"/>
      <c r="D19" s="5"/>
      <c r="E19" s="5"/>
    </row>
    <row r="20" spans="2:5">
      <c r="C20" s="15"/>
      <c r="D20" s="15"/>
      <c r="E20" s="15"/>
    </row>
  </sheetData>
  <mergeCells count="4">
    <mergeCell ref="B2:F2"/>
    <mergeCell ref="K12:L12"/>
    <mergeCell ref="G2:H2"/>
    <mergeCell ref="I2:N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933B8-BD46-427F-9CCC-6B4722EE66A1}">
  <dimension ref="B2:I19"/>
  <sheetViews>
    <sheetView zoomScale="130" zoomScaleNormal="130" workbookViewId="0">
      <selection activeCell="G22" sqref="G22"/>
    </sheetView>
  </sheetViews>
  <sheetFormatPr baseColWidth="10" defaultRowHeight="14.4"/>
  <cols>
    <col min="1" max="1" width="5.109375" customWidth="1"/>
  </cols>
  <sheetData>
    <row r="2" spans="2:9">
      <c r="C2" s="141" t="s">
        <v>53</v>
      </c>
      <c r="D2" s="141"/>
      <c r="E2" s="141"/>
      <c r="F2" s="141"/>
      <c r="G2" s="141"/>
      <c r="H2" s="141"/>
    </row>
    <row r="3" spans="2:9" ht="43.2">
      <c r="B3" s="50" t="s">
        <v>17</v>
      </c>
      <c r="C3" s="11" t="s">
        <v>61</v>
      </c>
      <c r="D3" s="53" t="s">
        <v>62</v>
      </c>
      <c r="E3" s="53" t="s">
        <v>136</v>
      </c>
      <c r="F3" s="53" t="s">
        <v>65</v>
      </c>
      <c r="G3" s="53" t="s">
        <v>56</v>
      </c>
      <c r="H3" s="53" t="s">
        <v>63</v>
      </c>
    </row>
    <row r="4" spans="2:9">
      <c r="B4" s="16" t="s">
        <v>1</v>
      </c>
      <c r="C4" s="10">
        <v>0.27</v>
      </c>
      <c r="D4" s="14">
        <v>0.17</v>
      </c>
      <c r="E4" s="13">
        <v>0</v>
      </c>
      <c r="F4" s="34">
        <v>0.03</v>
      </c>
      <c r="G4" s="34">
        <v>0.05</v>
      </c>
      <c r="H4" s="37">
        <v>0.02</v>
      </c>
      <c r="I4" s="9"/>
    </row>
    <row r="5" spans="2:9">
      <c r="B5" s="16" t="s">
        <v>2</v>
      </c>
      <c r="C5" s="10">
        <v>0.28000000000000003</v>
      </c>
      <c r="D5" s="14">
        <v>0.17</v>
      </c>
      <c r="E5" s="13">
        <v>0</v>
      </c>
      <c r="F5" s="34">
        <v>0.04</v>
      </c>
      <c r="G5" s="34">
        <v>0.06</v>
      </c>
      <c r="H5" s="37">
        <v>0.02</v>
      </c>
      <c r="I5" s="9"/>
    </row>
    <row r="6" spans="2:9">
      <c r="B6" s="16" t="s">
        <v>3</v>
      </c>
      <c r="C6" s="10">
        <v>0.31</v>
      </c>
      <c r="D6" s="14">
        <v>0.18</v>
      </c>
      <c r="E6" s="13">
        <v>0</v>
      </c>
      <c r="F6" s="34">
        <v>0.05</v>
      </c>
      <c r="G6" s="34">
        <v>0.06</v>
      </c>
      <c r="H6" s="37">
        <v>0.02</v>
      </c>
      <c r="I6" s="9"/>
    </row>
    <row r="7" spans="2:9">
      <c r="B7" s="16" t="s">
        <v>4</v>
      </c>
      <c r="C7" s="10">
        <v>0.33</v>
      </c>
      <c r="D7" s="14">
        <v>0.16</v>
      </c>
      <c r="E7" s="13">
        <v>5.0000000000000001E-3</v>
      </c>
      <c r="F7" s="34">
        <v>0.06</v>
      </c>
      <c r="G7" s="34">
        <v>0.08</v>
      </c>
      <c r="H7" s="37">
        <v>2.5000000000000001E-2</v>
      </c>
      <c r="I7" s="9"/>
    </row>
    <row r="8" spans="2:9">
      <c r="B8" s="16" t="s">
        <v>5</v>
      </c>
      <c r="C8" s="10">
        <v>0.35</v>
      </c>
      <c r="D8" s="14">
        <v>0.15</v>
      </c>
      <c r="E8" s="13">
        <v>1.4999999999999999E-2</v>
      </c>
      <c r="F8" s="34">
        <v>0.06</v>
      </c>
      <c r="G8" s="34">
        <v>0.1</v>
      </c>
      <c r="H8" s="37">
        <v>2.5000000000000001E-2</v>
      </c>
      <c r="I8" s="9"/>
    </row>
    <row r="9" spans="2:9">
      <c r="B9" s="16" t="s">
        <v>6</v>
      </c>
      <c r="C9" s="10">
        <v>0.38</v>
      </c>
      <c r="D9" s="14">
        <v>0.15</v>
      </c>
      <c r="E9" s="13">
        <v>2.5000000000000001E-2</v>
      </c>
      <c r="F9" s="34">
        <v>0.06</v>
      </c>
      <c r="G9" s="34">
        <v>0.12</v>
      </c>
      <c r="H9" s="37">
        <v>2.5000000000000001E-2</v>
      </c>
      <c r="I9" s="9"/>
    </row>
    <row r="10" spans="2:9">
      <c r="B10" s="16" t="s">
        <v>7</v>
      </c>
      <c r="C10" s="10">
        <v>0.41</v>
      </c>
      <c r="D10" s="14">
        <v>0.15</v>
      </c>
      <c r="E10" s="13">
        <v>0.03</v>
      </c>
      <c r="F10" s="34">
        <v>0.06</v>
      </c>
      <c r="G10" s="34">
        <v>0.14000000000000001</v>
      </c>
      <c r="H10" s="37">
        <v>0.03</v>
      </c>
      <c r="I10" s="9"/>
    </row>
    <row r="11" spans="2:9">
      <c r="B11" s="16" t="s">
        <v>8</v>
      </c>
      <c r="C11" s="10">
        <v>0.43</v>
      </c>
      <c r="D11" s="14">
        <v>0.15</v>
      </c>
      <c r="E11" s="13">
        <v>0.04</v>
      </c>
      <c r="F11" s="34">
        <v>0.06</v>
      </c>
      <c r="G11" s="34">
        <v>0.15</v>
      </c>
      <c r="H11" s="37">
        <v>0.03</v>
      </c>
      <c r="I11" s="9"/>
    </row>
    <row r="12" spans="2:9">
      <c r="B12" s="16" t="s">
        <v>9</v>
      </c>
      <c r="C12" s="10">
        <v>0.45</v>
      </c>
      <c r="D12" s="14">
        <v>0.14000000000000001</v>
      </c>
      <c r="E12" s="13">
        <v>0.05</v>
      </c>
      <c r="F12" s="34">
        <v>0.06</v>
      </c>
      <c r="G12" s="34">
        <v>0.16</v>
      </c>
      <c r="H12" s="37">
        <v>0.04</v>
      </c>
      <c r="I12" s="9"/>
    </row>
    <row r="13" spans="2:9">
      <c r="B13" s="16" t="s">
        <v>10</v>
      </c>
      <c r="C13" s="10">
        <v>0.48</v>
      </c>
      <c r="D13" s="14">
        <v>0.11</v>
      </c>
      <c r="E13" s="13">
        <v>0.08</v>
      </c>
      <c r="F13" s="34">
        <v>0.08</v>
      </c>
      <c r="G13" s="34">
        <v>0.15</v>
      </c>
      <c r="H13" s="37">
        <v>0.06</v>
      </c>
      <c r="I13" s="9"/>
    </row>
    <row r="14" spans="2:9">
      <c r="B14" s="16" t="s">
        <v>137</v>
      </c>
      <c r="C14" s="10">
        <v>0.51</v>
      </c>
      <c r="D14" s="14">
        <v>0.1</v>
      </c>
      <c r="E14" s="13">
        <v>0.1</v>
      </c>
      <c r="F14" s="34">
        <v>0.06</v>
      </c>
      <c r="G14" s="34">
        <v>0.11</v>
      </c>
      <c r="H14" s="37">
        <v>0.13</v>
      </c>
      <c r="I14" s="9"/>
    </row>
    <row r="15" spans="2:9">
      <c r="B15" s="16" t="s">
        <v>138</v>
      </c>
      <c r="C15" s="10">
        <v>0.52</v>
      </c>
      <c r="D15" s="14">
        <v>0.08</v>
      </c>
      <c r="E15" s="13">
        <v>0.11</v>
      </c>
      <c r="F15" s="34">
        <v>0.06</v>
      </c>
      <c r="G15" s="34">
        <v>0.08</v>
      </c>
      <c r="H15" s="37">
        <v>0.19</v>
      </c>
      <c r="I15" s="9"/>
    </row>
    <row r="16" spans="2:9">
      <c r="B16" s="16" t="s">
        <v>139</v>
      </c>
      <c r="C16" s="10">
        <v>0.53</v>
      </c>
      <c r="D16" s="3">
        <v>0.08</v>
      </c>
      <c r="E16" s="45">
        <v>0.1</v>
      </c>
      <c r="F16" s="34">
        <v>0.04</v>
      </c>
      <c r="G16" s="34">
        <v>0.03</v>
      </c>
      <c r="H16" s="37">
        <v>0.28000000000000003</v>
      </c>
      <c r="I16" s="9"/>
    </row>
    <row r="17" spans="2:5">
      <c r="B17" s="49"/>
      <c r="C17" s="46"/>
      <c r="D17" s="46"/>
      <c r="E17" s="43"/>
    </row>
    <row r="18" spans="2:5">
      <c r="B18" s="33" t="s">
        <v>135</v>
      </c>
      <c r="C18" s="46"/>
      <c r="D18" s="46"/>
      <c r="E18" s="43"/>
    </row>
    <row r="19" spans="2:5">
      <c r="B19" s="1" t="s">
        <v>78</v>
      </c>
      <c r="C19" s="46"/>
      <c r="D19" s="46"/>
      <c r="E19" s="43"/>
    </row>
  </sheetData>
  <mergeCells count="1">
    <mergeCell ref="C2:H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5522-3DEA-425A-B8AF-466B345A54FE}">
  <sheetPr codeName="Feuil2"/>
  <dimension ref="B2:Q52"/>
  <sheetViews>
    <sheetView topLeftCell="D1" zoomScale="115" zoomScaleNormal="115" workbookViewId="0">
      <selection activeCell="P16" sqref="P16"/>
    </sheetView>
  </sheetViews>
  <sheetFormatPr baseColWidth="10" defaultRowHeight="14.4"/>
  <cols>
    <col min="1" max="1" width="3.109375" customWidth="1"/>
    <col min="2" max="10" width="13" style="32" customWidth="1"/>
    <col min="14" max="15" width="13.6640625" bestFit="1" customWidth="1"/>
    <col min="16" max="16" width="14.6640625" bestFit="1" customWidth="1"/>
  </cols>
  <sheetData>
    <row r="2" spans="2:17" s="41" customFormat="1" ht="23.4" customHeight="1">
      <c r="B2" s="39"/>
      <c r="C2" s="141" t="s">
        <v>53</v>
      </c>
      <c r="D2" s="141"/>
      <c r="E2" s="141"/>
      <c r="F2" s="141"/>
      <c r="G2" s="141"/>
      <c r="H2" s="141"/>
      <c r="I2" s="141"/>
      <c r="J2" s="141"/>
      <c r="N2" s="141" t="s">
        <v>121</v>
      </c>
      <c r="O2" s="141"/>
      <c r="P2" s="141"/>
      <c r="Q2" s="141"/>
    </row>
    <row r="3" spans="2:17" s="39" customFormat="1" ht="42.6" customHeight="1">
      <c r="B3" s="20" t="s">
        <v>15</v>
      </c>
      <c r="C3" s="19" t="s">
        <v>54</v>
      </c>
      <c r="D3" s="19" t="s">
        <v>55</v>
      </c>
      <c r="E3" s="19" t="s">
        <v>56</v>
      </c>
      <c r="F3" s="19" t="s">
        <v>57</v>
      </c>
      <c r="G3" s="19" t="s">
        <v>58</v>
      </c>
      <c r="H3" s="19" t="s">
        <v>59</v>
      </c>
      <c r="I3" s="19" t="s">
        <v>60</v>
      </c>
      <c r="J3" s="19" t="s">
        <v>61</v>
      </c>
      <c r="K3" s="20"/>
      <c r="L3" s="26"/>
      <c r="M3" s="31" t="s">
        <v>20</v>
      </c>
      <c r="N3" s="31" t="s">
        <v>118</v>
      </c>
      <c r="O3" s="31" t="s">
        <v>26</v>
      </c>
      <c r="P3" s="56" t="s">
        <v>119</v>
      </c>
      <c r="Q3" s="56" t="s">
        <v>120</v>
      </c>
    </row>
    <row r="4" spans="2:17">
      <c r="B4" s="21">
        <v>90</v>
      </c>
      <c r="C4" s="21">
        <v>6.4</v>
      </c>
      <c r="D4" s="21">
        <v>0.19</v>
      </c>
      <c r="E4" s="21">
        <v>12.48</v>
      </c>
      <c r="F4" s="21">
        <v>7.42</v>
      </c>
      <c r="G4" s="21">
        <v>0.28000000000000003</v>
      </c>
      <c r="H4" s="21">
        <v>0.01</v>
      </c>
      <c r="I4" s="21">
        <v>0.27</v>
      </c>
      <c r="J4" s="21">
        <v>26.76</v>
      </c>
      <c r="K4" s="58"/>
      <c r="M4" s="32" t="s">
        <v>103</v>
      </c>
      <c r="N4" s="69">
        <v>37833502</v>
      </c>
      <c r="O4" s="81"/>
      <c r="P4" s="81">
        <v>32900</v>
      </c>
      <c r="Q4" s="95">
        <v>100</v>
      </c>
    </row>
    <row r="5" spans="2:17">
      <c r="B5" s="21">
        <v>91</v>
      </c>
      <c r="C5" s="21">
        <v>6.64</v>
      </c>
      <c r="D5" s="21">
        <v>0.21</v>
      </c>
      <c r="E5" s="21">
        <v>12.73</v>
      </c>
      <c r="F5" s="21">
        <v>7.4</v>
      </c>
      <c r="G5" s="21">
        <v>0.3</v>
      </c>
      <c r="H5" s="21">
        <v>0.01</v>
      </c>
      <c r="I5" s="21">
        <v>0.3</v>
      </c>
      <c r="J5" s="21">
        <v>27.28</v>
      </c>
      <c r="K5" s="58"/>
      <c r="M5" s="32" t="s">
        <v>104</v>
      </c>
      <c r="N5" s="69">
        <v>34050091</v>
      </c>
      <c r="O5" s="81">
        <v>3400</v>
      </c>
      <c r="P5" s="81">
        <v>36500</v>
      </c>
      <c r="Q5" s="95">
        <v>99.85</v>
      </c>
    </row>
    <row r="6" spans="2:17">
      <c r="B6" s="21">
        <v>92</v>
      </c>
      <c r="C6" s="21">
        <v>6.89</v>
      </c>
      <c r="D6" s="21">
        <v>0.22</v>
      </c>
      <c r="E6" s="21">
        <v>13.07</v>
      </c>
      <c r="F6" s="21">
        <v>7.37</v>
      </c>
      <c r="G6" s="21">
        <v>0.35</v>
      </c>
      <c r="H6" s="21">
        <v>0.01</v>
      </c>
      <c r="I6" s="21">
        <v>0.34</v>
      </c>
      <c r="J6" s="21">
        <v>27.9</v>
      </c>
      <c r="K6" s="58"/>
      <c r="M6" s="32" t="s">
        <v>105</v>
      </c>
      <c r="N6" s="69">
        <v>30266479</v>
      </c>
      <c r="O6" s="81">
        <v>9700</v>
      </c>
      <c r="P6" s="81">
        <v>40200</v>
      </c>
      <c r="Q6" s="95">
        <v>97.75</v>
      </c>
    </row>
    <row r="7" spans="2:17">
      <c r="B7" s="21">
        <v>93</v>
      </c>
      <c r="C7" s="21">
        <v>7.2</v>
      </c>
      <c r="D7" s="21">
        <v>0.26</v>
      </c>
      <c r="E7" s="21">
        <v>13.43</v>
      </c>
      <c r="F7" s="21">
        <v>7.36</v>
      </c>
      <c r="G7" s="21">
        <v>0.4</v>
      </c>
      <c r="H7" s="21">
        <v>0.01</v>
      </c>
      <c r="I7" s="21">
        <v>0.39</v>
      </c>
      <c r="J7" s="21">
        <v>28.65</v>
      </c>
      <c r="K7" s="58"/>
      <c r="M7" s="21" t="s">
        <v>106</v>
      </c>
      <c r="N7" s="68">
        <v>26483450</v>
      </c>
      <c r="O7" s="81">
        <v>14500</v>
      </c>
      <c r="P7" s="81">
        <v>44200</v>
      </c>
      <c r="Q7" s="95">
        <v>94.04</v>
      </c>
    </row>
    <row r="8" spans="2:17">
      <c r="B8" s="21">
        <v>94</v>
      </c>
      <c r="C8" s="21">
        <v>7.53</v>
      </c>
      <c r="D8" s="21">
        <v>0.28000000000000003</v>
      </c>
      <c r="E8" s="21">
        <v>13.85</v>
      </c>
      <c r="F8" s="21">
        <v>7.33</v>
      </c>
      <c r="G8" s="21">
        <v>0.46</v>
      </c>
      <c r="H8" s="21">
        <v>0.01</v>
      </c>
      <c r="I8" s="21">
        <v>0.45</v>
      </c>
      <c r="J8" s="21">
        <v>29.46</v>
      </c>
      <c r="K8" s="58"/>
      <c r="L8" s="58"/>
      <c r="M8" s="21" t="s">
        <v>107</v>
      </c>
      <c r="N8" s="68">
        <v>22699895</v>
      </c>
      <c r="O8" s="81">
        <v>18200</v>
      </c>
      <c r="P8" s="81">
        <v>48900</v>
      </c>
      <c r="Q8" s="95">
        <v>89.18</v>
      </c>
    </row>
    <row r="9" spans="2:17">
      <c r="B9" s="21">
        <v>95</v>
      </c>
      <c r="C9" s="21">
        <v>7.98</v>
      </c>
      <c r="D9" s="21">
        <v>0.33</v>
      </c>
      <c r="E9" s="21">
        <v>14.15</v>
      </c>
      <c r="F9" s="21">
        <v>7.29</v>
      </c>
      <c r="G9" s="21">
        <v>0.53</v>
      </c>
      <c r="H9" s="21">
        <v>0.01</v>
      </c>
      <c r="I9" s="21">
        <v>0.52</v>
      </c>
      <c r="J9" s="21">
        <v>30.3</v>
      </c>
      <c r="K9" s="58"/>
      <c r="L9" s="58"/>
      <c r="M9" s="21" t="s">
        <v>108</v>
      </c>
      <c r="N9" s="68">
        <v>18915941</v>
      </c>
      <c r="O9" s="81">
        <v>21900</v>
      </c>
      <c r="P9" s="81">
        <v>54600</v>
      </c>
      <c r="Q9" s="95">
        <v>82.98</v>
      </c>
    </row>
    <row r="10" spans="2:17">
      <c r="B10" s="21">
        <v>96</v>
      </c>
      <c r="C10" s="21">
        <v>8.66</v>
      </c>
      <c r="D10" s="21">
        <v>0.38</v>
      </c>
      <c r="E10" s="21">
        <v>14.36</v>
      </c>
      <c r="F10" s="21">
        <v>7.28</v>
      </c>
      <c r="G10" s="21">
        <v>0.67</v>
      </c>
      <c r="H10" s="21">
        <v>0.01</v>
      </c>
      <c r="I10" s="21">
        <v>0.66</v>
      </c>
      <c r="J10" s="21">
        <v>31.36</v>
      </c>
      <c r="K10" s="58"/>
      <c r="L10" s="58"/>
      <c r="M10" s="21" t="s">
        <v>109</v>
      </c>
      <c r="N10" s="68">
        <v>15133006</v>
      </c>
      <c r="O10" s="81">
        <v>27000</v>
      </c>
      <c r="P10" s="81">
        <v>62200</v>
      </c>
      <c r="Q10" s="95">
        <v>75.62</v>
      </c>
    </row>
    <row r="11" spans="2:17">
      <c r="B11" s="21">
        <v>97</v>
      </c>
      <c r="C11" s="21">
        <v>9.5399999999999991</v>
      </c>
      <c r="D11" s="21">
        <v>0.47</v>
      </c>
      <c r="E11" s="21">
        <v>14.52</v>
      </c>
      <c r="F11" s="21">
        <v>7.26</v>
      </c>
      <c r="G11" s="21">
        <v>0.88</v>
      </c>
      <c r="H11" s="21">
        <v>0.02</v>
      </c>
      <c r="I11" s="21">
        <v>0.86</v>
      </c>
      <c r="J11" s="21">
        <v>32.67</v>
      </c>
      <c r="K11" s="58"/>
      <c r="L11" s="58"/>
      <c r="M11" s="21" t="s">
        <v>110</v>
      </c>
      <c r="N11" s="68">
        <v>11349720</v>
      </c>
      <c r="O11" s="81">
        <v>33600</v>
      </c>
      <c r="P11" s="81">
        <v>72900</v>
      </c>
      <c r="Q11" s="95">
        <v>66.47</v>
      </c>
    </row>
    <row r="12" spans="2:17">
      <c r="B12" s="21">
        <v>98</v>
      </c>
      <c r="C12" s="21">
        <v>10.65</v>
      </c>
      <c r="D12" s="21">
        <v>0.6</v>
      </c>
      <c r="E12" s="21">
        <v>14.42</v>
      </c>
      <c r="F12" s="21">
        <v>7.25</v>
      </c>
      <c r="G12" s="21">
        <v>1.25</v>
      </c>
      <c r="H12" s="21">
        <v>0.03</v>
      </c>
      <c r="I12" s="21">
        <v>1.22</v>
      </c>
      <c r="J12" s="21">
        <v>34.17</v>
      </c>
      <c r="K12" s="58"/>
      <c r="L12" s="58"/>
      <c r="M12" s="21" t="s">
        <v>111</v>
      </c>
      <c r="N12" s="68">
        <v>7566688</v>
      </c>
      <c r="O12" s="81">
        <v>44300</v>
      </c>
      <c r="P12" s="81">
        <v>90100</v>
      </c>
      <c r="Q12" s="95">
        <v>54.77</v>
      </c>
    </row>
    <row r="13" spans="2:17">
      <c r="B13" s="21">
        <v>99</v>
      </c>
      <c r="C13" s="21">
        <v>12.13</v>
      </c>
      <c r="D13" s="21">
        <v>0.8</v>
      </c>
      <c r="E13" s="21">
        <v>13.78</v>
      </c>
      <c r="F13" s="21">
        <v>7.22</v>
      </c>
      <c r="G13" s="21">
        <v>2.13</v>
      </c>
      <c r="H13" s="21">
        <v>0.05</v>
      </c>
      <c r="I13" s="21">
        <v>2.08</v>
      </c>
      <c r="J13" s="21">
        <v>36.049999999999997</v>
      </c>
      <c r="K13" s="58"/>
      <c r="L13" s="58"/>
      <c r="M13" s="21" t="s">
        <v>112</v>
      </c>
      <c r="N13" s="68">
        <v>3783318</v>
      </c>
      <c r="O13" s="81">
        <v>62900</v>
      </c>
      <c r="P13" s="81">
        <v>128000</v>
      </c>
      <c r="Q13" s="95">
        <v>38.909999999999997</v>
      </c>
    </row>
    <row r="14" spans="2:17">
      <c r="B14" s="21">
        <v>99.1</v>
      </c>
      <c r="C14" s="2">
        <v>13.24</v>
      </c>
      <c r="D14" s="2">
        <v>0.95</v>
      </c>
      <c r="E14" s="21">
        <v>13.16</v>
      </c>
      <c r="F14" s="21">
        <v>7.14</v>
      </c>
      <c r="G14" s="21">
        <v>3.11</v>
      </c>
      <c r="H14" s="21">
        <v>7.0000000000000007E-2</v>
      </c>
      <c r="I14" s="21">
        <v>3.04</v>
      </c>
      <c r="J14" s="2">
        <v>37.6</v>
      </c>
      <c r="K14" s="58"/>
      <c r="L14" s="58"/>
      <c r="M14" s="21" t="s">
        <v>113</v>
      </c>
      <c r="N14" s="68">
        <v>1891637</v>
      </c>
      <c r="O14" s="81">
        <v>86300</v>
      </c>
      <c r="P14" s="81">
        <v>183000</v>
      </c>
      <c r="Q14" s="95">
        <v>27.81</v>
      </c>
    </row>
    <row r="15" spans="2:17">
      <c r="B15" s="21">
        <v>99.2</v>
      </c>
      <c r="C15" s="2">
        <v>13.56</v>
      </c>
      <c r="D15" s="2">
        <v>0.95</v>
      </c>
      <c r="E15" s="21">
        <v>13.1</v>
      </c>
      <c r="F15" s="21">
        <v>7.1</v>
      </c>
      <c r="G15" s="21">
        <v>3.42</v>
      </c>
      <c r="H15" s="21">
        <v>0.08</v>
      </c>
      <c r="I15" s="21">
        <v>3.34</v>
      </c>
      <c r="J15" s="2">
        <v>38.130000000000003</v>
      </c>
      <c r="K15" s="58"/>
      <c r="L15" s="58"/>
      <c r="M15" s="21" t="s">
        <v>68</v>
      </c>
      <c r="N15" s="64">
        <v>378333</v>
      </c>
      <c r="O15" s="63">
        <v>180000</v>
      </c>
      <c r="P15" s="63">
        <v>455000</v>
      </c>
      <c r="Q15" s="95">
        <v>13.83</v>
      </c>
    </row>
    <row r="16" spans="2:17">
      <c r="B16" s="21">
        <v>99.3</v>
      </c>
      <c r="C16" s="2">
        <v>14.06</v>
      </c>
      <c r="D16" s="2">
        <v>1.01</v>
      </c>
      <c r="E16" s="21">
        <v>13.01</v>
      </c>
      <c r="F16" s="21">
        <v>7.1</v>
      </c>
      <c r="G16" s="21">
        <v>3.72</v>
      </c>
      <c r="H16" s="21">
        <v>0.09</v>
      </c>
      <c r="I16" s="21">
        <v>3.63</v>
      </c>
      <c r="J16" s="2">
        <v>38.909999999999997</v>
      </c>
      <c r="K16" s="58"/>
      <c r="L16" s="58"/>
      <c r="M16" s="21" t="s">
        <v>114</v>
      </c>
      <c r="N16" s="64">
        <v>37833</v>
      </c>
      <c r="O16" s="63">
        <v>626000</v>
      </c>
      <c r="P16" s="63">
        <v>2035000</v>
      </c>
      <c r="Q16" s="95">
        <v>6.19</v>
      </c>
    </row>
    <row r="17" spans="2:17">
      <c r="B17" s="21">
        <v>99.4</v>
      </c>
      <c r="C17" s="2">
        <v>14.43</v>
      </c>
      <c r="D17" s="2">
        <v>1.0900000000000001</v>
      </c>
      <c r="E17" s="21">
        <v>12.7</v>
      </c>
      <c r="F17" s="21">
        <v>7</v>
      </c>
      <c r="G17" s="21">
        <v>4.26</v>
      </c>
      <c r="H17" s="21">
        <v>0.09</v>
      </c>
      <c r="I17" s="21">
        <v>4.17</v>
      </c>
      <c r="J17" s="2">
        <v>39.479999999999997</v>
      </c>
      <c r="K17" s="58"/>
      <c r="L17" s="58"/>
      <c r="M17" s="21" t="s">
        <v>115</v>
      </c>
      <c r="N17" s="64">
        <v>3783</v>
      </c>
      <c r="O17" s="63">
        <v>2592000</v>
      </c>
      <c r="P17" s="63">
        <v>10875000</v>
      </c>
      <c r="Q17" s="95">
        <v>3.31</v>
      </c>
    </row>
    <row r="18" spans="2:17">
      <c r="B18" s="21">
        <v>99.5</v>
      </c>
      <c r="C18" s="2">
        <v>14.83</v>
      </c>
      <c r="D18" s="2">
        <v>1.1000000000000001</v>
      </c>
      <c r="E18" s="21">
        <v>12.47</v>
      </c>
      <c r="F18" s="21">
        <v>6.93</v>
      </c>
      <c r="G18" s="21">
        <v>4.74</v>
      </c>
      <c r="H18" s="21">
        <v>0.11</v>
      </c>
      <c r="I18" s="21">
        <v>4.63</v>
      </c>
      <c r="J18" s="2">
        <v>40.07</v>
      </c>
      <c r="K18" s="58"/>
      <c r="L18" s="58"/>
      <c r="M18" s="21" t="s">
        <v>116</v>
      </c>
      <c r="N18" s="64">
        <v>378</v>
      </c>
      <c r="O18" s="63">
        <v>14876000</v>
      </c>
      <c r="P18" s="63">
        <v>64768000</v>
      </c>
      <c r="Q18" s="95">
        <v>1.97</v>
      </c>
    </row>
    <row r="19" spans="2:17">
      <c r="B19" s="21">
        <v>99.6</v>
      </c>
      <c r="C19" s="2">
        <v>15.23</v>
      </c>
      <c r="D19" s="2">
        <v>1.18</v>
      </c>
      <c r="E19" s="21">
        <v>12.13</v>
      </c>
      <c r="F19" s="21">
        <v>6.84</v>
      </c>
      <c r="G19" s="21">
        <v>5.41</v>
      </c>
      <c r="H19" s="21">
        <v>0.14000000000000001</v>
      </c>
      <c r="I19" s="21">
        <v>5.27</v>
      </c>
      <c r="J19" s="2">
        <v>40.78</v>
      </c>
      <c r="K19" s="58"/>
      <c r="L19" s="58"/>
      <c r="M19" s="21" t="s">
        <v>117</v>
      </c>
      <c r="N19" s="64">
        <v>75</v>
      </c>
      <c r="O19" s="63">
        <v>61540000</v>
      </c>
      <c r="P19" s="63">
        <v>217289000</v>
      </c>
      <c r="Q19" s="95">
        <v>1.31</v>
      </c>
    </row>
    <row r="20" spans="2:17">
      <c r="B20" s="21">
        <v>99.7</v>
      </c>
      <c r="C20" s="2">
        <v>15.64</v>
      </c>
      <c r="D20" s="2">
        <v>1.21</v>
      </c>
      <c r="E20" s="21">
        <v>11.53</v>
      </c>
      <c r="F20" s="21">
        <v>6.66</v>
      </c>
      <c r="G20" s="21">
        <v>6.43</v>
      </c>
      <c r="H20" s="21">
        <v>0.15</v>
      </c>
      <c r="I20" s="21">
        <v>6.28</v>
      </c>
      <c r="J20" s="2">
        <v>41.47</v>
      </c>
      <c r="K20" s="58"/>
      <c r="L20" s="58"/>
      <c r="M20" s="58"/>
      <c r="N20" s="58"/>
    </row>
    <row r="21" spans="2:17">
      <c r="B21" s="21">
        <v>99.8</v>
      </c>
      <c r="C21" s="2">
        <v>16.12</v>
      </c>
      <c r="D21" s="2">
        <v>1.34</v>
      </c>
      <c r="E21" s="21">
        <v>10.71</v>
      </c>
      <c r="F21" s="21">
        <v>6.53</v>
      </c>
      <c r="G21" s="21">
        <v>7.75</v>
      </c>
      <c r="H21" s="21">
        <v>0.2</v>
      </c>
      <c r="I21" s="21">
        <v>7.55</v>
      </c>
      <c r="J21" s="2">
        <v>42.45</v>
      </c>
      <c r="K21" s="58"/>
      <c r="L21" s="58"/>
      <c r="M21" s="4" t="s">
        <v>125</v>
      </c>
      <c r="N21" s="58"/>
    </row>
    <row r="22" spans="2:17">
      <c r="B22" s="21">
        <v>99.9</v>
      </c>
      <c r="C22" s="2">
        <v>16.3</v>
      </c>
      <c r="D22" s="2">
        <v>1.35</v>
      </c>
      <c r="E22" s="21">
        <v>9.9499999999999993</v>
      </c>
      <c r="F22" s="21">
        <v>6.15</v>
      </c>
      <c r="G22" s="21">
        <v>9.9</v>
      </c>
      <c r="H22" s="21">
        <v>0.28000000000000003</v>
      </c>
      <c r="I22" s="21">
        <v>9.61</v>
      </c>
      <c r="J22" s="2">
        <v>43.65</v>
      </c>
      <c r="K22" s="58"/>
      <c r="L22" s="58"/>
      <c r="M22" s="1" t="s">
        <v>78</v>
      </c>
      <c r="N22" s="58"/>
    </row>
    <row r="23" spans="2:17">
      <c r="B23" s="21">
        <v>99.91</v>
      </c>
      <c r="C23" s="2">
        <v>16.510000000000002</v>
      </c>
      <c r="D23" s="2">
        <v>1.44</v>
      </c>
      <c r="E23" s="21">
        <v>9.2200000000000006</v>
      </c>
      <c r="F23" s="21">
        <v>5.91</v>
      </c>
      <c r="G23" s="21">
        <v>11.67</v>
      </c>
      <c r="H23" s="21">
        <v>0.35</v>
      </c>
      <c r="I23" s="21">
        <v>11.32</v>
      </c>
      <c r="J23" s="2">
        <v>44.75</v>
      </c>
      <c r="K23" s="58"/>
      <c r="L23" s="58"/>
      <c r="M23" s="58"/>
      <c r="N23" s="58"/>
    </row>
    <row r="24" spans="2:17">
      <c r="B24" s="21">
        <v>99.92</v>
      </c>
      <c r="C24" s="2">
        <v>16.28</v>
      </c>
      <c r="D24" s="2">
        <v>1.38</v>
      </c>
      <c r="E24" s="21">
        <v>9.24</v>
      </c>
      <c r="F24" s="21">
        <v>5.75</v>
      </c>
      <c r="G24" s="21">
        <v>12.07</v>
      </c>
      <c r="H24" s="21">
        <v>0.36</v>
      </c>
      <c r="I24" s="21">
        <v>11.71</v>
      </c>
      <c r="J24" s="2">
        <v>44.72</v>
      </c>
      <c r="K24" s="58"/>
      <c r="L24" s="58"/>
      <c r="M24" s="58"/>
      <c r="N24" s="58"/>
    </row>
    <row r="25" spans="2:17">
      <c r="B25" s="21">
        <v>99.93</v>
      </c>
      <c r="C25" s="2">
        <v>15.61</v>
      </c>
      <c r="D25" s="2">
        <v>1.44</v>
      </c>
      <c r="E25" s="21">
        <v>8.57</v>
      </c>
      <c r="F25" s="21">
        <v>5.51</v>
      </c>
      <c r="G25" s="21">
        <v>12.94</v>
      </c>
      <c r="H25" s="21">
        <v>0.42</v>
      </c>
      <c r="I25" s="21">
        <v>12.52</v>
      </c>
      <c r="J25" s="2">
        <v>44.06</v>
      </c>
      <c r="K25" s="58"/>
      <c r="L25" s="58"/>
      <c r="M25" s="58"/>
      <c r="N25" s="58"/>
    </row>
    <row r="26" spans="2:17">
      <c r="B26" s="21">
        <v>99.94</v>
      </c>
      <c r="C26" s="2">
        <v>15.46</v>
      </c>
      <c r="D26" s="2">
        <v>1.48</v>
      </c>
      <c r="E26" s="21">
        <v>8.19</v>
      </c>
      <c r="F26" s="21">
        <v>5.51</v>
      </c>
      <c r="G26" s="21">
        <v>13.7</v>
      </c>
      <c r="H26" s="21">
        <v>0.47</v>
      </c>
      <c r="I26" s="21">
        <v>13.23</v>
      </c>
      <c r="J26" s="2">
        <v>44.35</v>
      </c>
      <c r="K26" s="58"/>
      <c r="L26" s="58"/>
      <c r="M26" s="58"/>
      <c r="N26" s="58"/>
    </row>
    <row r="27" spans="2:17">
      <c r="B27" s="21">
        <v>99.95</v>
      </c>
      <c r="C27" s="2">
        <v>15.44</v>
      </c>
      <c r="D27" s="2">
        <v>1.51</v>
      </c>
      <c r="E27" s="21">
        <v>7.62</v>
      </c>
      <c r="F27" s="21">
        <v>5.34</v>
      </c>
      <c r="G27" s="21">
        <v>14.06</v>
      </c>
      <c r="H27" s="21">
        <v>0.48</v>
      </c>
      <c r="I27" s="21">
        <v>13.59</v>
      </c>
      <c r="J27" s="2">
        <v>43.98</v>
      </c>
      <c r="K27" s="58"/>
      <c r="L27" s="58"/>
      <c r="M27" s="58"/>
      <c r="N27" s="58"/>
    </row>
    <row r="28" spans="2:17">
      <c r="B28" s="21">
        <v>99.96</v>
      </c>
      <c r="C28" s="2">
        <v>15.21</v>
      </c>
      <c r="D28" s="2">
        <v>1.48</v>
      </c>
      <c r="E28" s="21">
        <v>7.39</v>
      </c>
      <c r="F28" s="21">
        <v>5.21</v>
      </c>
      <c r="G28" s="21">
        <v>14.88</v>
      </c>
      <c r="H28" s="21">
        <v>0.47</v>
      </c>
      <c r="I28" s="21">
        <v>14.41</v>
      </c>
      <c r="J28" s="2">
        <v>44.16</v>
      </c>
      <c r="K28" s="58"/>
      <c r="L28" s="58"/>
      <c r="M28" s="58"/>
      <c r="N28" s="58"/>
    </row>
    <row r="29" spans="2:17">
      <c r="B29" s="21">
        <v>99.97</v>
      </c>
      <c r="C29" s="2">
        <v>14.62</v>
      </c>
      <c r="D29" s="2">
        <v>1.39</v>
      </c>
      <c r="E29" s="21">
        <v>6.74</v>
      </c>
      <c r="F29" s="21">
        <v>4.82</v>
      </c>
      <c r="G29" s="21">
        <v>15.73</v>
      </c>
      <c r="H29" s="21">
        <v>0.71</v>
      </c>
      <c r="I29" s="21">
        <v>15.01</v>
      </c>
      <c r="J29" s="2">
        <v>43.29</v>
      </c>
      <c r="K29" s="58"/>
      <c r="L29" s="58"/>
      <c r="M29" s="58"/>
      <c r="N29" s="58"/>
    </row>
    <row r="30" spans="2:17">
      <c r="B30" s="21">
        <v>99.98</v>
      </c>
      <c r="C30" s="2">
        <v>13.71</v>
      </c>
      <c r="D30" s="2">
        <v>1.52</v>
      </c>
      <c r="E30" s="21">
        <v>5.81</v>
      </c>
      <c r="F30" s="21">
        <v>4.5599999999999996</v>
      </c>
      <c r="G30" s="21">
        <v>17.079999999999998</v>
      </c>
      <c r="H30" s="21">
        <v>0.77</v>
      </c>
      <c r="I30" s="21">
        <v>16.3</v>
      </c>
      <c r="J30" s="2">
        <v>42.68</v>
      </c>
      <c r="K30" s="58"/>
      <c r="L30" s="58"/>
      <c r="M30" s="58"/>
      <c r="N30" s="58"/>
    </row>
    <row r="31" spans="2:17">
      <c r="B31" s="21">
        <v>99.99</v>
      </c>
      <c r="C31" s="2">
        <v>12.41</v>
      </c>
      <c r="D31" s="2">
        <v>1.41</v>
      </c>
      <c r="E31" s="21">
        <v>4.63</v>
      </c>
      <c r="F31" s="21">
        <v>4.21</v>
      </c>
      <c r="G31" s="21">
        <v>19.02</v>
      </c>
      <c r="H31" s="21">
        <v>0.93</v>
      </c>
      <c r="I31" s="21">
        <v>18.09</v>
      </c>
      <c r="J31" s="2">
        <v>41.68</v>
      </c>
      <c r="K31" s="58"/>
      <c r="L31" s="58"/>
      <c r="M31" s="58"/>
      <c r="N31" s="58"/>
    </row>
    <row r="32" spans="2:17">
      <c r="B32" s="21">
        <v>99.991</v>
      </c>
      <c r="C32" s="2">
        <v>10.67</v>
      </c>
      <c r="D32" s="2">
        <v>1.43</v>
      </c>
      <c r="E32" s="21">
        <v>3.63</v>
      </c>
      <c r="F32" s="21">
        <v>3.49</v>
      </c>
      <c r="G32" s="21">
        <v>21.71</v>
      </c>
      <c r="H32" s="21">
        <v>1.33</v>
      </c>
      <c r="I32" s="21">
        <v>20.38</v>
      </c>
      <c r="J32" s="2">
        <v>40.93</v>
      </c>
      <c r="K32" s="58"/>
      <c r="L32" s="58"/>
      <c r="M32" s="58"/>
      <c r="N32" s="58"/>
    </row>
    <row r="33" spans="2:14">
      <c r="B33" s="21">
        <v>99.992000000000004</v>
      </c>
      <c r="C33" s="2">
        <v>12.23</v>
      </c>
      <c r="D33" s="2">
        <v>1.26</v>
      </c>
      <c r="E33" s="21">
        <v>3.91</v>
      </c>
      <c r="F33" s="21">
        <v>3.56</v>
      </c>
      <c r="G33" s="21">
        <v>19.850000000000001</v>
      </c>
      <c r="H33" s="21">
        <v>1.06</v>
      </c>
      <c r="I33" s="21">
        <v>18.79</v>
      </c>
      <c r="J33" s="2">
        <v>40.81</v>
      </c>
      <c r="K33" s="58"/>
      <c r="L33" s="58"/>
      <c r="M33" s="58"/>
      <c r="N33" s="58"/>
    </row>
    <row r="34" spans="2:14">
      <c r="B34" s="21">
        <v>99.992999999999995</v>
      </c>
      <c r="C34" s="2">
        <v>12.08</v>
      </c>
      <c r="D34" s="2">
        <v>1.42</v>
      </c>
      <c r="E34" s="21">
        <v>3.88</v>
      </c>
      <c r="F34" s="21">
        <v>4.2699999999999996</v>
      </c>
      <c r="G34" s="21">
        <v>21.35</v>
      </c>
      <c r="H34" s="21">
        <v>1.28</v>
      </c>
      <c r="I34" s="21">
        <v>20.079999999999998</v>
      </c>
      <c r="J34" s="2">
        <v>43</v>
      </c>
      <c r="K34" s="58"/>
      <c r="L34" s="58"/>
      <c r="M34" s="58"/>
      <c r="N34" s="58"/>
    </row>
    <row r="35" spans="2:14">
      <c r="B35" s="21">
        <v>99.994</v>
      </c>
      <c r="C35" s="2">
        <v>11.24</v>
      </c>
      <c r="D35" s="2">
        <v>1.2</v>
      </c>
      <c r="E35" s="21">
        <v>3.5</v>
      </c>
      <c r="F35" s="21">
        <v>3.68</v>
      </c>
      <c r="G35" s="21">
        <v>20.72</v>
      </c>
      <c r="H35" s="21">
        <v>1.56</v>
      </c>
      <c r="I35" s="21">
        <v>19.16</v>
      </c>
      <c r="J35" s="2">
        <v>40.35</v>
      </c>
      <c r="K35" s="58"/>
      <c r="L35" s="58"/>
      <c r="M35" s="58"/>
      <c r="N35" s="58"/>
    </row>
    <row r="36" spans="2:14">
      <c r="B36" s="21">
        <v>99.995000000000005</v>
      </c>
      <c r="C36" s="2">
        <v>9.52</v>
      </c>
      <c r="D36" s="2">
        <v>1.17</v>
      </c>
      <c r="E36" s="21">
        <v>3.12</v>
      </c>
      <c r="F36" s="21">
        <v>2.98</v>
      </c>
      <c r="G36" s="21">
        <v>21.82</v>
      </c>
      <c r="H36" s="21">
        <v>1.88</v>
      </c>
      <c r="I36" s="21">
        <v>19.95</v>
      </c>
      <c r="J36" s="2">
        <v>38.61</v>
      </c>
      <c r="K36" s="58"/>
      <c r="L36" s="58"/>
      <c r="M36" s="58"/>
      <c r="N36" s="58"/>
    </row>
    <row r="37" spans="2:14">
      <c r="B37" s="21">
        <v>99.995999999999995</v>
      </c>
      <c r="C37" s="2">
        <v>10.67</v>
      </c>
      <c r="D37" s="2">
        <v>1.3</v>
      </c>
      <c r="E37" s="21">
        <v>3.09</v>
      </c>
      <c r="F37" s="21">
        <v>3.63</v>
      </c>
      <c r="G37" s="21">
        <v>22.13</v>
      </c>
      <c r="H37" s="21">
        <v>1.82</v>
      </c>
      <c r="I37" s="21">
        <v>20.3</v>
      </c>
      <c r="J37" s="2">
        <v>40.83</v>
      </c>
      <c r="K37" s="58"/>
      <c r="L37" s="58"/>
      <c r="M37" s="58"/>
      <c r="N37" s="58"/>
    </row>
    <row r="38" spans="2:14">
      <c r="B38" s="21">
        <v>99.997</v>
      </c>
      <c r="C38" s="2">
        <v>9.43</v>
      </c>
      <c r="D38" s="2">
        <v>0.97</v>
      </c>
      <c r="E38" s="21">
        <v>2.8</v>
      </c>
      <c r="F38" s="21">
        <v>3.43</v>
      </c>
      <c r="G38" s="21">
        <v>22.33</v>
      </c>
      <c r="H38" s="21">
        <v>2.2799999999999998</v>
      </c>
      <c r="I38" s="21">
        <v>20.05</v>
      </c>
      <c r="J38" s="2">
        <v>38.96</v>
      </c>
      <c r="K38" s="58"/>
      <c r="L38" s="58"/>
      <c r="M38" s="58"/>
      <c r="N38" s="58"/>
    </row>
    <row r="39" spans="2:14">
      <c r="B39" s="21">
        <v>99.998000000000005</v>
      </c>
      <c r="C39" s="2">
        <v>8.11</v>
      </c>
      <c r="D39" s="2">
        <v>1.05</v>
      </c>
      <c r="E39" s="21">
        <v>2.52</v>
      </c>
      <c r="F39" s="21">
        <v>2.6</v>
      </c>
      <c r="G39" s="21">
        <v>23.73</v>
      </c>
      <c r="H39" s="21">
        <v>2.64</v>
      </c>
      <c r="I39" s="21">
        <v>21.08</v>
      </c>
      <c r="J39" s="2">
        <v>38.01</v>
      </c>
      <c r="K39" s="58"/>
      <c r="L39" s="58"/>
      <c r="M39" s="58"/>
      <c r="N39" s="58"/>
    </row>
    <row r="40" spans="2:14">
      <c r="B40" s="21">
        <v>99.998999999999995</v>
      </c>
      <c r="C40" s="2">
        <v>7.12</v>
      </c>
      <c r="D40" s="2">
        <v>0.86</v>
      </c>
      <c r="E40" s="21">
        <v>1.53</v>
      </c>
      <c r="F40" s="21">
        <v>2.56</v>
      </c>
      <c r="G40" s="21">
        <v>23.96</v>
      </c>
      <c r="H40" s="21">
        <v>4.09</v>
      </c>
      <c r="I40" s="21">
        <v>19.87</v>
      </c>
      <c r="J40" s="2">
        <v>36.04</v>
      </c>
      <c r="K40" s="58"/>
      <c r="L40" s="58"/>
      <c r="M40" s="58"/>
      <c r="N40" s="58"/>
    </row>
    <row r="41" spans="2:14">
      <c r="B41" s="21">
        <v>99.999200000000002</v>
      </c>
      <c r="C41" s="2">
        <v>4.87</v>
      </c>
      <c r="D41" s="2">
        <v>0.97</v>
      </c>
      <c r="E41" s="21">
        <v>1.1000000000000001</v>
      </c>
      <c r="F41" s="21">
        <v>1.88</v>
      </c>
      <c r="G41" s="21">
        <v>22.93</v>
      </c>
      <c r="H41" s="21">
        <v>6.78</v>
      </c>
      <c r="I41" s="21">
        <v>16.14</v>
      </c>
      <c r="J41" s="2">
        <v>31.76</v>
      </c>
      <c r="K41" s="58"/>
      <c r="L41" s="58"/>
      <c r="M41" s="58"/>
      <c r="N41" s="58"/>
    </row>
    <row r="42" spans="2:14">
      <c r="B42" s="21">
        <v>99.999399999999994</v>
      </c>
      <c r="C42" s="2">
        <v>4.43</v>
      </c>
      <c r="D42" s="2">
        <v>0.47</v>
      </c>
      <c r="E42" s="21">
        <v>1.19</v>
      </c>
      <c r="F42" s="21">
        <v>0.98</v>
      </c>
      <c r="G42" s="21">
        <v>17.440000000000001</v>
      </c>
      <c r="H42" s="21">
        <v>7.73</v>
      </c>
      <c r="I42" s="21">
        <v>9.7100000000000009</v>
      </c>
      <c r="J42" s="2">
        <v>24.51</v>
      </c>
      <c r="K42" s="58"/>
      <c r="L42" s="58"/>
      <c r="M42" s="58"/>
      <c r="N42" s="58"/>
    </row>
    <row r="43" spans="2:14">
      <c r="B43" s="21">
        <v>99.999600000000001</v>
      </c>
      <c r="C43" s="2">
        <v>4.34</v>
      </c>
      <c r="D43" s="2">
        <v>0.38</v>
      </c>
      <c r="E43" s="21">
        <v>0.59</v>
      </c>
      <c r="F43" s="21">
        <v>0.86</v>
      </c>
      <c r="G43" s="21">
        <v>24.33</v>
      </c>
      <c r="H43" s="21">
        <v>7.97</v>
      </c>
      <c r="I43" s="21">
        <v>16.36</v>
      </c>
      <c r="J43" s="2">
        <v>30.52</v>
      </c>
      <c r="K43" s="58"/>
      <c r="L43" s="58"/>
      <c r="M43" s="58"/>
      <c r="N43" s="58"/>
    </row>
    <row r="44" spans="2:14">
      <c r="B44" s="21">
        <v>99.999799999999993</v>
      </c>
      <c r="C44" s="2">
        <v>2.04</v>
      </c>
      <c r="D44" s="2">
        <v>0.32</v>
      </c>
      <c r="E44" s="21">
        <v>0.2</v>
      </c>
      <c r="F44" s="21">
        <v>0.97</v>
      </c>
      <c r="G44" s="21">
        <v>25.26</v>
      </c>
      <c r="H44" s="21">
        <v>12.83</v>
      </c>
      <c r="I44" s="21">
        <v>12.43</v>
      </c>
      <c r="J44" s="2">
        <v>28.79</v>
      </c>
      <c r="K44" s="58"/>
      <c r="L44" s="58"/>
      <c r="M44" s="58"/>
      <c r="N44" s="58"/>
    </row>
    <row r="45" spans="2:14">
      <c r="B45" s="21">
        <v>100</v>
      </c>
      <c r="C45" s="2">
        <v>1.22</v>
      </c>
      <c r="D45" s="2">
        <v>0.13</v>
      </c>
      <c r="E45" s="21">
        <v>7.0000000000000007E-2</v>
      </c>
      <c r="F45" s="21">
        <v>0.6</v>
      </c>
      <c r="G45" s="21">
        <v>23.04</v>
      </c>
      <c r="H45" s="21">
        <v>11.83</v>
      </c>
      <c r="I45" s="21">
        <v>11.22</v>
      </c>
      <c r="J45" s="2">
        <v>25.06</v>
      </c>
      <c r="K45" s="58"/>
      <c r="L45" s="58"/>
      <c r="M45" s="58"/>
      <c r="N45" s="58"/>
    </row>
    <row r="46" spans="2:14">
      <c r="B46" s="21"/>
      <c r="C46" s="21"/>
      <c r="D46" s="21"/>
      <c r="E46" s="21"/>
      <c r="F46" s="21"/>
      <c r="G46" s="21"/>
      <c r="H46" s="21"/>
      <c r="I46" s="21"/>
      <c r="J46" s="21"/>
      <c r="K46" s="58"/>
      <c r="L46" s="58"/>
      <c r="M46" s="58"/>
      <c r="N46" s="58"/>
    </row>
    <row r="47" spans="2:14">
      <c r="B47" s="4" t="s">
        <v>76</v>
      </c>
      <c r="C47" s="21"/>
      <c r="D47" s="21"/>
      <c r="E47" s="21"/>
      <c r="F47" s="21"/>
      <c r="G47" s="21"/>
      <c r="H47" s="21"/>
      <c r="I47" s="21"/>
      <c r="J47" s="21"/>
      <c r="K47" s="58"/>
      <c r="L47" s="58"/>
      <c r="M47" s="58"/>
      <c r="N47" s="58"/>
    </row>
    <row r="48" spans="2:14">
      <c r="B48" s="1" t="s">
        <v>78</v>
      </c>
      <c r="C48" s="21"/>
      <c r="D48" s="21"/>
      <c r="E48" s="21"/>
      <c r="F48" s="21"/>
      <c r="G48" s="21"/>
      <c r="H48" s="21"/>
      <c r="I48" s="21"/>
      <c r="J48" s="21"/>
      <c r="K48" s="58"/>
      <c r="L48" s="58"/>
      <c r="M48" s="58"/>
      <c r="N48" s="58"/>
    </row>
    <row r="49" spans="2:14">
      <c r="B49" s="21"/>
      <c r="C49" s="21"/>
      <c r="D49" s="21"/>
      <c r="E49" s="21"/>
      <c r="F49" s="21"/>
      <c r="G49" s="21"/>
      <c r="H49" s="21"/>
      <c r="I49" s="21"/>
      <c r="J49" s="21"/>
      <c r="K49" s="58"/>
      <c r="L49" s="58"/>
      <c r="M49" s="58"/>
      <c r="N49" s="58"/>
    </row>
    <row r="50" spans="2:14">
      <c r="B50" s="21"/>
      <c r="C50" s="21"/>
      <c r="D50" s="21"/>
      <c r="E50" s="18"/>
      <c r="F50" s="21"/>
      <c r="G50" s="21"/>
      <c r="H50" s="21"/>
      <c r="I50" s="21"/>
      <c r="J50" s="21"/>
      <c r="K50" s="58"/>
      <c r="L50" s="58"/>
      <c r="M50" s="58"/>
      <c r="N50" s="58"/>
    </row>
    <row r="51" spans="2:14">
      <c r="B51" s="21"/>
      <c r="C51" s="21"/>
      <c r="D51" s="21"/>
      <c r="E51" s="21"/>
      <c r="F51" s="21"/>
      <c r="G51" s="21"/>
      <c r="H51" s="21"/>
      <c r="I51" s="21"/>
      <c r="J51" s="21"/>
      <c r="K51" s="58"/>
      <c r="L51" s="58"/>
      <c r="M51" s="58"/>
      <c r="N51" s="58"/>
    </row>
    <row r="52" spans="2:14">
      <c r="B52" s="21"/>
      <c r="C52" s="21"/>
      <c r="D52" s="21"/>
      <c r="E52" s="21"/>
      <c r="F52" s="17"/>
      <c r="G52" s="21"/>
      <c r="H52" s="21"/>
      <c r="I52" s="21"/>
      <c r="J52" s="21"/>
      <c r="K52" s="58"/>
      <c r="L52" s="58"/>
      <c r="M52" s="58"/>
      <c r="N52" s="58"/>
    </row>
  </sheetData>
  <mergeCells count="2">
    <mergeCell ref="C2:J2"/>
    <mergeCell ref="N2:Q2"/>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D457-BD0A-4D17-92A5-F2D91F813A28}">
  <sheetPr codeName="Feuil3"/>
  <dimension ref="B2:L26"/>
  <sheetViews>
    <sheetView zoomScale="115" zoomScaleNormal="115" workbookViewId="0">
      <selection activeCell="E24" sqref="E24"/>
    </sheetView>
  </sheetViews>
  <sheetFormatPr baseColWidth="10" defaultRowHeight="14.4"/>
  <cols>
    <col min="1" max="1" width="5.33203125" customWidth="1"/>
    <col min="2" max="2" width="16.77734375" style="39" customWidth="1"/>
    <col min="3" max="3" width="15.33203125" style="39" customWidth="1"/>
    <col min="4" max="4" width="16.33203125" style="39" customWidth="1"/>
    <col min="5" max="5" width="15.44140625" style="39" customWidth="1"/>
    <col min="6" max="6" width="14.6640625" style="39" customWidth="1"/>
    <col min="7" max="8" width="11.5546875" style="39"/>
  </cols>
  <sheetData>
    <row r="2" spans="2:12" ht="19.2" customHeight="1">
      <c r="B2" s="36"/>
      <c r="C2" s="36"/>
      <c r="D2" s="36"/>
      <c r="E2" s="36"/>
      <c r="F2" s="141" t="s">
        <v>53</v>
      </c>
      <c r="G2" s="141"/>
      <c r="H2" s="141"/>
      <c r="I2" s="141"/>
      <c r="J2" s="141"/>
      <c r="K2" s="141"/>
      <c r="L2" s="141"/>
    </row>
    <row r="3" spans="2:12" ht="36" customHeight="1">
      <c r="B3" s="50" t="s">
        <v>79</v>
      </c>
      <c r="C3" s="50" t="s">
        <v>41</v>
      </c>
      <c r="D3" s="50" t="s">
        <v>27</v>
      </c>
      <c r="E3" s="50" t="s">
        <v>26</v>
      </c>
      <c r="F3" s="50" t="s">
        <v>61</v>
      </c>
      <c r="G3" s="50" t="s">
        <v>80</v>
      </c>
      <c r="H3" s="50" t="s">
        <v>81</v>
      </c>
      <c r="I3" s="56" t="s">
        <v>90</v>
      </c>
      <c r="J3" s="56" t="s">
        <v>89</v>
      </c>
      <c r="K3" s="56" t="s">
        <v>82</v>
      </c>
      <c r="L3" s="56" t="s">
        <v>83</v>
      </c>
    </row>
    <row r="4" spans="2:12">
      <c r="B4" s="35" t="s">
        <v>0</v>
      </c>
      <c r="C4" s="86">
        <v>21666619</v>
      </c>
      <c r="D4" s="89">
        <v>11111</v>
      </c>
      <c r="E4" s="87"/>
      <c r="F4" s="79">
        <v>0.25600000000000001</v>
      </c>
      <c r="G4" s="83">
        <v>0.123</v>
      </c>
      <c r="H4" s="78">
        <v>5.0000000000000001E-3</v>
      </c>
      <c r="I4" s="82">
        <v>4.0000000000000001E-3</v>
      </c>
      <c r="J4" s="78">
        <v>1.2E-2</v>
      </c>
      <c r="K4" s="82">
        <v>0</v>
      </c>
      <c r="L4" s="82">
        <v>0.112</v>
      </c>
    </row>
    <row r="5" spans="2:12">
      <c r="B5" s="35" t="s">
        <v>1</v>
      </c>
      <c r="C5" s="86">
        <v>21669345</v>
      </c>
      <c r="D5" s="89">
        <v>17553</v>
      </c>
      <c r="E5" s="101">
        <v>14300</v>
      </c>
      <c r="F5" s="79">
        <v>0.24199999999999999</v>
      </c>
      <c r="G5" s="83">
        <v>0.10299999999999999</v>
      </c>
      <c r="H5" s="78">
        <v>0.01</v>
      </c>
      <c r="I5" s="82">
        <v>6.0000000000000001E-3</v>
      </c>
      <c r="J5" s="78">
        <v>1.0999999999999999E-2</v>
      </c>
      <c r="K5" s="82">
        <v>0</v>
      </c>
      <c r="L5" s="82">
        <v>0.113</v>
      </c>
    </row>
    <row r="6" spans="2:12">
      <c r="B6" s="35" t="s">
        <v>2</v>
      </c>
      <c r="C6" s="86">
        <v>21669339</v>
      </c>
      <c r="D6" s="89">
        <v>24460</v>
      </c>
      <c r="E6" s="101">
        <v>20900</v>
      </c>
      <c r="F6" s="79">
        <v>0.245</v>
      </c>
      <c r="G6" s="83">
        <v>9.0999999999999998E-2</v>
      </c>
      <c r="H6" s="78">
        <v>1.7999999999999999E-2</v>
      </c>
      <c r="I6" s="82">
        <v>8.0000000000000002E-3</v>
      </c>
      <c r="J6" s="78">
        <v>1.2E-2</v>
      </c>
      <c r="K6" s="82">
        <v>0</v>
      </c>
      <c r="L6" s="82">
        <v>0.11700000000000001</v>
      </c>
    </row>
    <row r="7" spans="2:12">
      <c r="B7" s="35" t="s">
        <v>3</v>
      </c>
      <c r="C7" s="86">
        <v>21671008</v>
      </c>
      <c r="D7" s="89">
        <v>32422</v>
      </c>
      <c r="E7" s="101">
        <v>28200</v>
      </c>
      <c r="F7" s="79">
        <v>0.23499999999999999</v>
      </c>
      <c r="G7" s="83">
        <v>7.6999999999999999E-2</v>
      </c>
      <c r="H7" s="78">
        <v>2.8000000000000001E-2</v>
      </c>
      <c r="I7" s="82">
        <v>1.0999999999999999E-2</v>
      </c>
      <c r="J7" s="78">
        <v>1.2999999999999999E-2</v>
      </c>
      <c r="K7" s="82">
        <v>0</v>
      </c>
      <c r="L7" s="82">
        <v>0.106</v>
      </c>
    </row>
    <row r="8" spans="2:12">
      <c r="B8" s="35" t="s">
        <v>4</v>
      </c>
      <c r="C8" s="86">
        <v>21668892</v>
      </c>
      <c r="D8" s="89">
        <v>42170</v>
      </c>
      <c r="E8" s="101">
        <v>37000</v>
      </c>
      <c r="F8" s="79">
        <v>0.24199999999999999</v>
      </c>
      <c r="G8" s="83">
        <v>6.7000000000000004E-2</v>
      </c>
      <c r="H8" s="78">
        <v>4.3999999999999997E-2</v>
      </c>
      <c r="I8" s="82">
        <v>1.2999999999999999E-2</v>
      </c>
      <c r="J8" s="78">
        <v>1.2E-2</v>
      </c>
      <c r="K8" s="82">
        <v>0</v>
      </c>
      <c r="L8" s="82">
        <v>0.106</v>
      </c>
    </row>
    <row r="9" spans="2:12">
      <c r="B9" s="35" t="s">
        <v>5</v>
      </c>
      <c r="C9" s="86">
        <v>21670158</v>
      </c>
      <c r="D9" s="89">
        <v>53311</v>
      </c>
      <c r="E9" s="101">
        <v>47500</v>
      </c>
      <c r="F9" s="79">
        <v>0.254</v>
      </c>
      <c r="G9" s="83">
        <v>6.4000000000000001E-2</v>
      </c>
      <c r="H9" s="78">
        <v>5.7000000000000002E-2</v>
      </c>
      <c r="I9" s="82">
        <v>1.4999999999999999E-2</v>
      </c>
      <c r="J9" s="78">
        <v>1.2E-2</v>
      </c>
      <c r="K9" s="82">
        <v>0</v>
      </c>
      <c r="L9" s="82">
        <v>0.105</v>
      </c>
    </row>
    <row r="10" spans="2:12">
      <c r="B10" s="35" t="s">
        <v>6</v>
      </c>
      <c r="C10" s="86">
        <v>21669862</v>
      </c>
      <c r="D10" s="89">
        <v>66788</v>
      </c>
      <c r="E10" s="101">
        <v>59500</v>
      </c>
      <c r="F10" s="79">
        <v>0.26300000000000001</v>
      </c>
      <c r="G10" s="83">
        <v>5.3999999999999999E-2</v>
      </c>
      <c r="H10" s="78">
        <v>7.2999999999999995E-2</v>
      </c>
      <c r="I10" s="82">
        <v>1.7000000000000001E-2</v>
      </c>
      <c r="J10" s="78">
        <v>1.2999999999999999E-2</v>
      </c>
      <c r="K10" s="82">
        <v>0</v>
      </c>
      <c r="L10" s="82">
        <v>0.106</v>
      </c>
    </row>
    <row r="11" spans="2:12">
      <c r="B11" s="35" t="s">
        <v>7</v>
      </c>
      <c r="C11" s="86">
        <v>21668952</v>
      </c>
      <c r="D11" s="89">
        <v>84599</v>
      </c>
      <c r="E11" s="101">
        <v>74600</v>
      </c>
      <c r="F11" s="79">
        <v>0.27800000000000002</v>
      </c>
      <c r="G11" s="83">
        <v>5.0999999999999997E-2</v>
      </c>
      <c r="H11" s="78">
        <v>9.0999999999999998E-2</v>
      </c>
      <c r="I11" s="82">
        <v>1.7999999999999999E-2</v>
      </c>
      <c r="J11" s="78">
        <v>1.4E-2</v>
      </c>
      <c r="K11" s="82">
        <v>0</v>
      </c>
      <c r="L11" s="82">
        <v>0.10299999999999999</v>
      </c>
    </row>
    <row r="12" spans="2:12">
      <c r="B12" s="35" t="s">
        <v>8</v>
      </c>
      <c r="C12" s="86">
        <v>21669217</v>
      </c>
      <c r="D12" s="89">
        <v>115173</v>
      </c>
      <c r="E12" s="101">
        <v>96700</v>
      </c>
      <c r="F12" s="79">
        <v>0.29399999999999998</v>
      </c>
      <c r="G12" s="83">
        <v>4.8000000000000001E-2</v>
      </c>
      <c r="H12" s="78">
        <v>0.112</v>
      </c>
      <c r="I12" s="82">
        <v>0.02</v>
      </c>
      <c r="J12" s="78">
        <v>1.6E-2</v>
      </c>
      <c r="K12" s="82">
        <v>0</v>
      </c>
      <c r="L12" s="82">
        <v>9.8000000000000004E-2</v>
      </c>
    </row>
    <row r="13" spans="2:12">
      <c r="B13" s="35" t="s">
        <v>9</v>
      </c>
      <c r="C13" s="86">
        <v>10834493</v>
      </c>
      <c r="D13" s="89">
        <v>166342</v>
      </c>
      <c r="E13" s="101">
        <v>141000</v>
      </c>
      <c r="F13" s="79">
        <v>0.28599999999999998</v>
      </c>
      <c r="G13" s="83">
        <v>3.7999999999999999E-2</v>
      </c>
      <c r="H13" s="78">
        <v>0.127</v>
      </c>
      <c r="I13" s="82">
        <v>2.4E-2</v>
      </c>
      <c r="J13" s="78">
        <v>1.6E-2</v>
      </c>
      <c r="K13" s="82">
        <v>0</v>
      </c>
      <c r="L13" s="82">
        <v>0.08</v>
      </c>
    </row>
    <row r="14" spans="2:12">
      <c r="B14" s="35" t="s">
        <v>10</v>
      </c>
      <c r="C14" s="86">
        <v>8668442</v>
      </c>
      <c r="D14" s="89">
        <v>300376</v>
      </c>
      <c r="E14" s="101">
        <v>203000</v>
      </c>
      <c r="F14" s="79">
        <v>0.27700000000000002</v>
      </c>
      <c r="G14" s="83">
        <v>3.2000000000000001E-2</v>
      </c>
      <c r="H14" s="78">
        <v>0.14699999999999999</v>
      </c>
      <c r="I14" s="82">
        <v>3.1E-2</v>
      </c>
      <c r="J14" s="78">
        <v>1.4E-2</v>
      </c>
      <c r="K14" s="82">
        <v>0</v>
      </c>
      <c r="L14" s="82">
        <v>5.1999999999999998E-2</v>
      </c>
    </row>
    <row r="15" spans="2:12">
      <c r="B15" s="35" t="s">
        <v>11</v>
      </c>
      <c r="C15" s="116">
        <v>1950271</v>
      </c>
      <c r="D15" s="117">
        <v>936385</v>
      </c>
      <c r="E15" s="115">
        <v>539000</v>
      </c>
      <c r="F15" s="79">
        <v>0.28899999999999998</v>
      </c>
      <c r="G15" s="83">
        <v>2.3E-2</v>
      </c>
      <c r="H15" s="78">
        <v>0.187</v>
      </c>
      <c r="I15" s="82">
        <v>4.3999999999999997E-2</v>
      </c>
      <c r="J15" s="78">
        <v>0.01</v>
      </c>
      <c r="K15" s="82">
        <v>1E-3</v>
      </c>
      <c r="L15" s="82">
        <v>2.4E-2</v>
      </c>
    </row>
    <row r="16" spans="2:12">
      <c r="B16" s="35" t="s">
        <v>12</v>
      </c>
      <c r="C16" s="116">
        <v>195016</v>
      </c>
      <c r="D16" s="117">
        <v>4526004</v>
      </c>
      <c r="E16" s="115">
        <v>2430000</v>
      </c>
      <c r="F16" s="79">
        <v>0.33100000000000002</v>
      </c>
      <c r="G16" s="83">
        <v>2.1999999999999999E-2</v>
      </c>
      <c r="H16" s="78">
        <v>0.22</v>
      </c>
      <c r="I16" s="82">
        <v>6.0999999999999999E-2</v>
      </c>
      <c r="J16" s="78">
        <v>6.0000000000000001E-3</v>
      </c>
      <c r="K16" s="82">
        <v>0.01</v>
      </c>
      <c r="L16" s="82">
        <v>1.2E-2</v>
      </c>
    </row>
    <row r="17" spans="2:12">
      <c r="B17" s="35" t="s">
        <v>13</v>
      </c>
      <c r="C17" s="116">
        <v>21163</v>
      </c>
      <c r="D17" s="117">
        <v>31593939</v>
      </c>
      <c r="E17" s="115">
        <v>12800000</v>
      </c>
      <c r="F17" s="79">
        <v>0.30399999999999999</v>
      </c>
      <c r="G17" s="83">
        <v>2.1999999999999999E-2</v>
      </c>
      <c r="H17" s="78">
        <v>0.184</v>
      </c>
      <c r="I17" s="82">
        <v>0.08</v>
      </c>
      <c r="J17" s="78">
        <v>3.0000000000000001E-3</v>
      </c>
      <c r="K17" s="82">
        <v>0.01</v>
      </c>
      <c r="L17" s="82">
        <v>5.0000000000000001E-3</v>
      </c>
    </row>
    <row r="18" spans="2:12">
      <c r="B18" s="35" t="s">
        <v>14</v>
      </c>
      <c r="C18" s="86">
        <v>515</v>
      </c>
      <c r="D18" s="102">
        <v>207996848</v>
      </c>
      <c r="E18" s="101"/>
      <c r="F18" s="88">
        <v>0.23</v>
      </c>
      <c r="G18" s="83">
        <v>2.3E-2</v>
      </c>
      <c r="H18" s="78">
        <v>9.1999999999999998E-2</v>
      </c>
      <c r="I18" s="82">
        <v>0.1</v>
      </c>
      <c r="J18" s="78">
        <v>1E-3</v>
      </c>
      <c r="K18" s="82">
        <v>1.0999999999999999E-2</v>
      </c>
      <c r="L18" s="82">
        <v>3.0000000000000001E-3</v>
      </c>
    </row>
    <row r="19" spans="2:12">
      <c r="B19" s="49"/>
      <c r="C19" s="49"/>
      <c r="D19" s="49"/>
      <c r="E19" s="49"/>
      <c r="F19" s="49"/>
      <c r="G19" s="49"/>
      <c r="H19" s="49"/>
      <c r="I19" s="54"/>
    </row>
    <row r="20" spans="2:12">
      <c r="B20" s="33" t="s">
        <v>191</v>
      </c>
      <c r="D20" s="49"/>
      <c r="E20" s="49"/>
      <c r="F20" s="49"/>
      <c r="G20" s="49"/>
      <c r="H20" s="49"/>
      <c r="I20" s="54"/>
    </row>
    <row r="21" spans="2:12">
      <c r="B21" s="1" t="s">
        <v>78</v>
      </c>
      <c r="C21" s="49"/>
      <c r="D21" s="33"/>
      <c r="E21" s="33"/>
      <c r="F21" s="49"/>
      <c r="G21" s="49"/>
      <c r="H21" s="49"/>
      <c r="I21" s="54"/>
    </row>
    <row r="22" spans="2:12">
      <c r="B22" s="49"/>
      <c r="C22" s="49"/>
      <c r="D22" s="49"/>
      <c r="E22" s="49"/>
      <c r="F22" s="49"/>
      <c r="G22" s="49"/>
      <c r="H22" s="49"/>
      <c r="I22" s="54"/>
    </row>
    <row r="23" spans="2:12">
      <c r="H23" s="49"/>
    </row>
    <row r="24" spans="2:12">
      <c r="H24" s="49"/>
    </row>
    <row r="25" spans="2:12">
      <c r="H25" s="49"/>
    </row>
    <row r="26" spans="2:12">
      <c r="H26" s="47"/>
    </row>
  </sheetData>
  <mergeCells count="1">
    <mergeCell ref="F2:L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228E-E6EC-4D97-A6BE-F9C5DE6DBC67}">
  <dimension ref="B2:J10"/>
  <sheetViews>
    <sheetView zoomScale="115" zoomScaleNormal="115" workbookViewId="0">
      <selection activeCell="J19" sqref="J19"/>
    </sheetView>
  </sheetViews>
  <sheetFormatPr baseColWidth="10" defaultRowHeight="14.4"/>
  <cols>
    <col min="1" max="1" width="3.6640625" customWidth="1"/>
    <col min="2" max="3" width="11.5546875" style="32"/>
    <col min="4" max="4" width="16.21875" style="32" bestFit="1" customWidth="1"/>
    <col min="5" max="5" width="16.21875" style="32" customWidth="1"/>
    <col min="6" max="10" width="11.5546875" style="32"/>
  </cols>
  <sheetData>
    <row r="2" spans="2:10">
      <c r="F2" s="141" t="s">
        <v>53</v>
      </c>
      <c r="G2" s="141"/>
      <c r="H2" s="141"/>
      <c r="I2" s="141"/>
      <c r="J2" s="141"/>
    </row>
    <row r="3" spans="2:10" ht="43.2">
      <c r="B3" s="56" t="s">
        <v>17</v>
      </c>
      <c r="C3" s="56" t="s">
        <v>87</v>
      </c>
      <c r="D3" s="56" t="s">
        <v>88</v>
      </c>
      <c r="E3" s="56" t="s">
        <v>219</v>
      </c>
      <c r="F3" s="50" t="s">
        <v>61</v>
      </c>
      <c r="G3" s="56" t="s">
        <v>91</v>
      </c>
      <c r="H3" s="50" t="s">
        <v>92</v>
      </c>
      <c r="I3" s="56" t="s">
        <v>82</v>
      </c>
      <c r="J3" s="56" t="s">
        <v>94</v>
      </c>
    </row>
    <row r="4" spans="2:10">
      <c r="B4" s="29" t="s">
        <v>85</v>
      </c>
      <c r="C4" s="42">
        <v>367</v>
      </c>
      <c r="D4" s="63">
        <v>452300000</v>
      </c>
      <c r="E4" s="130">
        <v>5.6000000000000001E-2</v>
      </c>
      <c r="F4" s="80">
        <v>0.23799999999999999</v>
      </c>
      <c r="G4" s="30">
        <v>0.11</v>
      </c>
      <c r="H4" s="30">
        <v>8.8999999999999996E-2</v>
      </c>
      <c r="I4" s="30">
        <v>6.0000000000000001E-3</v>
      </c>
      <c r="J4" s="30">
        <v>3.4000000000000002E-2</v>
      </c>
    </row>
    <row r="5" spans="2:10">
      <c r="B5" s="29" t="s">
        <v>86</v>
      </c>
      <c r="C5" s="32">
        <v>92</v>
      </c>
      <c r="D5" s="81">
        <v>1093400000</v>
      </c>
      <c r="E5" s="130">
        <v>5.2999999999999999E-2</v>
      </c>
      <c r="F5" s="30">
        <v>0.22</v>
      </c>
      <c r="G5" s="30">
        <v>0.08</v>
      </c>
      <c r="H5" s="30">
        <v>0.10100000000000001</v>
      </c>
      <c r="I5" s="30">
        <v>4.0000000000000001E-3</v>
      </c>
      <c r="J5" s="30">
        <v>3.5999999999999997E-2</v>
      </c>
    </row>
    <row r="6" spans="2:10">
      <c r="B6" s="29" t="s">
        <v>86</v>
      </c>
      <c r="C6" s="32">
        <v>276</v>
      </c>
      <c r="D6" s="81">
        <v>238700000</v>
      </c>
      <c r="E6" s="130">
        <v>6.3E-2</v>
      </c>
      <c r="F6" s="30">
        <v>0.26600000000000001</v>
      </c>
      <c r="G6" s="30">
        <v>0.156</v>
      </c>
      <c r="H6" s="30">
        <v>7.0999999999999994E-2</v>
      </c>
      <c r="I6" s="30">
        <v>8.9999999999999993E-3</v>
      </c>
      <c r="J6" s="30">
        <v>0.03</v>
      </c>
    </row>
    <row r="7" spans="2:10">
      <c r="B7" s="29"/>
    </row>
    <row r="8" spans="2:10">
      <c r="B8" s="29" t="s">
        <v>93</v>
      </c>
    </row>
    <row r="9" spans="2:10">
      <c r="B9" s="1" t="s">
        <v>78</v>
      </c>
    </row>
    <row r="10" spans="2:10">
      <c r="H10" s="56"/>
    </row>
  </sheetData>
  <mergeCells count="1">
    <mergeCell ref="F2:J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D0CC9-61B3-4D1E-94F5-791761C62400}">
  <dimension ref="B2:Q19"/>
  <sheetViews>
    <sheetView topLeftCell="D1" zoomScale="115" zoomScaleNormal="115" workbookViewId="0">
      <selection activeCell="O16" sqref="O16"/>
    </sheetView>
  </sheetViews>
  <sheetFormatPr baseColWidth="10" defaultRowHeight="14.4"/>
  <cols>
    <col min="1" max="1" width="3.33203125" customWidth="1"/>
    <col min="2" max="2" width="15.77734375" customWidth="1"/>
    <col min="12" max="12" width="14.5546875" bestFit="1" customWidth="1"/>
    <col min="13" max="15" width="15.6640625" bestFit="1" customWidth="1"/>
    <col min="16" max="16" width="13" bestFit="1" customWidth="1"/>
  </cols>
  <sheetData>
    <row r="2" spans="2:17">
      <c r="C2" s="141" t="s">
        <v>16</v>
      </c>
      <c r="D2" s="141"/>
      <c r="E2" s="141"/>
      <c r="F2" s="141"/>
      <c r="G2" s="141"/>
      <c r="H2" s="141"/>
      <c r="I2" s="141"/>
      <c r="J2" s="141"/>
      <c r="K2" s="141" t="s">
        <v>121</v>
      </c>
      <c r="L2" s="141"/>
      <c r="M2" s="141"/>
      <c r="N2" s="141"/>
      <c r="O2" s="141"/>
      <c r="P2" s="141"/>
    </row>
    <row r="3" spans="2:17" ht="43.2">
      <c r="B3" s="50" t="s">
        <v>17</v>
      </c>
      <c r="C3" s="50" t="s">
        <v>61</v>
      </c>
      <c r="D3" s="50" t="s">
        <v>62</v>
      </c>
      <c r="E3" s="50" t="s">
        <v>98</v>
      </c>
      <c r="F3" s="50" t="s">
        <v>64</v>
      </c>
      <c r="G3" s="50" t="s">
        <v>99</v>
      </c>
      <c r="H3" s="50" t="s">
        <v>100</v>
      </c>
      <c r="I3" s="50" t="s">
        <v>101</v>
      </c>
      <c r="K3" s="56" t="s">
        <v>122</v>
      </c>
      <c r="L3" s="56" t="s">
        <v>72</v>
      </c>
      <c r="M3" s="56" t="s">
        <v>220</v>
      </c>
      <c r="N3" s="56" t="s">
        <v>221</v>
      </c>
      <c r="O3" s="56" t="s">
        <v>220</v>
      </c>
      <c r="P3" s="56" t="s">
        <v>221</v>
      </c>
    </row>
    <row r="4" spans="2:17">
      <c r="B4" s="29" t="s">
        <v>95</v>
      </c>
      <c r="C4" s="80">
        <v>0.48921796000000001</v>
      </c>
      <c r="D4" s="30">
        <v>0.35078787</v>
      </c>
      <c r="E4" s="30">
        <v>7.3076589999999997E-2</v>
      </c>
      <c r="F4" s="30">
        <v>1.1969000000000563E-4</v>
      </c>
      <c r="G4" s="30">
        <v>3.028099999999867E-4</v>
      </c>
      <c r="H4" s="30">
        <v>3.7247660000000016E-2</v>
      </c>
      <c r="I4" s="30">
        <v>2.7683340000000001E-2</v>
      </c>
      <c r="J4" s="12"/>
      <c r="K4" t="s">
        <v>108</v>
      </c>
      <c r="L4" s="25">
        <v>75875159</v>
      </c>
      <c r="M4" s="25">
        <v>14305</v>
      </c>
      <c r="N4" s="25">
        <v>68523</v>
      </c>
      <c r="O4" s="132">
        <f>M4/4.03</f>
        <v>3549.6277915632754</v>
      </c>
      <c r="P4" s="132">
        <f>N4/4.03</f>
        <v>17003.225806451614</v>
      </c>
    </row>
    <row r="5" spans="2:17">
      <c r="B5" s="29" t="s">
        <v>31</v>
      </c>
      <c r="C5" s="80">
        <v>0.48097889999999999</v>
      </c>
      <c r="D5" s="30">
        <v>0.30598335999999998</v>
      </c>
      <c r="E5" s="30">
        <v>0.12977363000000003</v>
      </c>
      <c r="F5" s="30">
        <v>2.9069999999964402E-5</v>
      </c>
      <c r="G5" s="30">
        <v>4.4550000000032064E-5</v>
      </c>
      <c r="H5" s="30">
        <v>1.8400489999999992E-2</v>
      </c>
      <c r="I5" s="30">
        <v>2.6747799999999988E-2</v>
      </c>
      <c r="J5" s="12"/>
      <c r="K5" t="s">
        <v>111</v>
      </c>
      <c r="L5" s="25">
        <v>29837281</v>
      </c>
      <c r="M5" s="25">
        <v>36178</v>
      </c>
      <c r="N5" s="25">
        <v>141121</v>
      </c>
      <c r="O5" s="132">
        <f t="shared" ref="O5:O12" si="0">M5/4.03</f>
        <v>8977.1712158808932</v>
      </c>
      <c r="P5" s="132">
        <f t="shared" ref="P5:P12" si="1">N5/4.03</f>
        <v>35017.617866004963</v>
      </c>
    </row>
    <row r="6" spans="2:17">
      <c r="B6" s="29" t="s">
        <v>32</v>
      </c>
      <c r="C6" s="80">
        <v>0.44749116</v>
      </c>
      <c r="D6" s="30">
        <v>0.28814492000000003</v>
      </c>
      <c r="E6" s="30">
        <v>0.11425879</v>
      </c>
      <c r="F6" s="30">
        <v>3.2159999999947786E-5</v>
      </c>
      <c r="G6" s="30">
        <v>7.4400000000029998E-5</v>
      </c>
      <c r="H6" s="30">
        <v>1.9991690000000006E-2</v>
      </c>
      <c r="I6" s="30">
        <v>2.4989199999999989E-2</v>
      </c>
      <c r="J6" s="12"/>
      <c r="K6" t="s">
        <v>112</v>
      </c>
      <c r="L6" s="25">
        <v>14918640</v>
      </c>
      <c r="M6" s="25">
        <v>73213</v>
      </c>
      <c r="N6" s="25">
        <v>230814</v>
      </c>
      <c r="O6" s="132">
        <f t="shared" si="0"/>
        <v>18166.99751861042</v>
      </c>
      <c r="P6" s="132">
        <f t="shared" si="1"/>
        <v>57273.945409429274</v>
      </c>
    </row>
    <row r="7" spans="2:17">
      <c r="B7" s="29" t="s">
        <v>33</v>
      </c>
      <c r="C7" s="80">
        <v>0.46344125000000003</v>
      </c>
      <c r="D7" s="30">
        <v>0.27923704999999999</v>
      </c>
      <c r="E7" s="30">
        <v>0.13652030000000004</v>
      </c>
      <c r="F7" s="30">
        <v>3.9299999999964363E-5</v>
      </c>
      <c r="G7" s="30">
        <v>5.9399999999987241E-5</v>
      </c>
      <c r="H7" s="30">
        <v>2.199091000000003E-2</v>
      </c>
      <c r="I7" s="30">
        <v>2.559429000000002E-2</v>
      </c>
      <c r="J7" s="12"/>
      <c r="K7" t="s">
        <v>113</v>
      </c>
      <c r="L7" s="25">
        <v>7459319</v>
      </c>
      <c r="M7" s="25">
        <v>129125</v>
      </c>
      <c r="N7" s="25">
        <v>365465</v>
      </c>
      <c r="O7" s="132">
        <f t="shared" si="0"/>
        <v>32040.942928039702</v>
      </c>
      <c r="P7" s="132">
        <f t="shared" si="1"/>
        <v>90686.104218362278</v>
      </c>
    </row>
    <row r="8" spans="2:17">
      <c r="B8" s="29" t="s">
        <v>34</v>
      </c>
      <c r="C8" s="80">
        <v>0.46875623</v>
      </c>
      <c r="D8" s="30">
        <v>0.27187730999999998</v>
      </c>
      <c r="E8" s="30">
        <v>0.14923669000000001</v>
      </c>
      <c r="F8" s="30">
        <v>6.3599999999996992E-5</v>
      </c>
      <c r="G8" s="30">
        <v>5.3579999999997519E-5</v>
      </c>
      <c r="H8" s="30">
        <v>2.1793000000000007E-2</v>
      </c>
      <c r="I8" s="30">
        <v>2.5732050000000006E-2</v>
      </c>
      <c r="J8" s="12"/>
      <c r="K8" t="s">
        <v>68</v>
      </c>
      <c r="L8" s="62">
        <v>1491870</v>
      </c>
      <c r="M8" s="134">
        <v>374526</v>
      </c>
      <c r="N8" s="134">
        <v>1004838</v>
      </c>
      <c r="O8" s="133">
        <f t="shared" si="0"/>
        <v>92934.491315136474</v>
      </c>
      <c r="P8" s="133">
        <f t="shared" si="1"/>
        <v>249339.4540942928</v>
      </c>
    </row>
    <row r="9" spans="2:17">
      <c r="B9" s="29" t="s">
        <v>35</v>
      </c>
      <c r="C9" s="80">
        <v>0.4378783</v>
      </c>
      <c r="D9" s="30">
        <v>0.24387754</v>
      </c>
      <c r="E9" s="30">
        <v>0.14179302999999999</v>
      </c>
      <c r="F9" s="30">
        <v>4.4270299999999985E-3</v>
      </c>
      <c r="G9" s="30">
        <v>5.1422000000000967E-4</v>
      </c>
      <c r="H9" s="30">
        <v>2.343706000000001E-2</v>
      </c>
      <c r="I9" s="30">
        <v>2.382941999999999E-2</v>
      </c>
      <c r="J9" s="12"/>
      <c r="K9" t="s">
        <v>114</v>
      </c>
      <c r="L9" s="62">
        <v>149187</v>
      </c>
      <c r="M9" s="134">
        <v>1422293</v>
      </c>
      <c r="N9" s="134">
        <v>4586560</v>
      </c>
      <c r="O9" s="133">
        <f t="shared" si="0"/>
        <v>352926.30272952851</v>
      </c>
      <c r="P9" s="133">
        <f t="shared" si="1"/>
        <v>1138104.2183622827</v>
      </c>
    </row>
    <row r="10" spans="2:17">
      <c r="B10" s="29" t="s">
        <v>36</v>
      </c>
      <c r="C10" s="80">
        <v>0.49957816999999999</v>
      </c>
      <c r="D10" s="30">
        <v>0.20272693</v>
      </c>
      <c r="E10" s="30">
        <v>0.22207020000000002</v>
      </c>
      <c r="F10" s="30">
        <v>2.8896959999999972E-2</v>
      </c>
      <c r="G10" s="30">
        <v>1.6467800000000143E-3</v>
      </c>
      <c r="H10" s="30">
        <v>1.9115920000000008E-2</v>
      </c>
      <c r="I10" s="30">
        <v>2.5121379999999971E-2</v>
      </c>
      <c r="J10" s="12"/>
      <c r="K10" t="s">
        <v>115</v>
      </c>
      <c r="L10" s="62">
        <v>14922</v>
      </c>
      <c r="M10" s="134">
        <v>7003875</v>
      </c>
      <c r="N10" s="134">
        <v>22950356</v>
      </c>
      <c r="O10" s="133">
        <f t="shared" si="0"/>
        <v>1737934.2431761785</v>
      </c>
      <c r="P10" s="133">
        <f t="shared" si="1"/>
        <v>5694877.4193548383</v>
      </c>
      <c r="Q10" s="37"/>
    </row>
    <row r="11" spans="2:17">
      <c r="B11" s="29" t="s">
        <v>96</v>
      </c>
      <c r="C11" s="80">
        <v>0.51614698999999997</v>
      </c>
      <c r="D11" s="30">
        <v>0.18110766</v>
      </c>
      <c r="E11" s="30">
        <v>0.22354725999999997</v>
      </c>
      <c r="F11" s="30">
        <v>6.8337360000000014E-2</v>
      </c>
      <c r="G11" s="30">
        <v>3.1153600000000115E-3</v>
      </c>
      <c r="H11" s="30">
        <v>1.5995470000000012E-2</v>
      </c>
      <c r="I11" s="30">
        <v>2.4043879999999962E-2</v>
      </c>
      <c r="J11" s="12"/>
      <c r="K11" t="s">
        <v>116</v>
      </c>
      <c r="L11" s="62">
        <v>1492</v>
      </c>
      <c r="M11" s="134">
        <v>36343312</v>
      </c>
      <c r="N11" s="134">
        <v>111879448</v>
      </c>
      <c r="O11" s="133">
        <f t="shared" si="0"/>
        <v>9018191.5632754341</v>
      </c>
      <c r="P11" s="133">
        <f t="shared" si="1"/>
        <v>27761649.627791561</v>
      </c>
      <c r="Q11" s="37"/>
    </row>
    <row r="12" spans="2:17">
      <c r="B12" s="29" t="s">
        <v>97</v>
      </c>
      <c r="C12" s="80">
        <v>0.41765648999999999</v>
      </c>
      <c r="D12" s="30">
        <v>0.10663188999999999</v>
      </c>
      <c r="E12" s="30">
        <v>0.17045790999999999</v>
      </c>
      <c r="F12" s="30">
        <v>0.10205763000000001</v>
      </c>
      <c r="G12" s="30">
        <v>8.3621600000000074E-3</v>
      </c>
      <c r="H12" s="30">
        <v>1.1407039999999979E-2</v>
      </c>
      <c r="I12" s="30">
        <v>1.8739859999999997E-2</v>
      </c>
      <c r="J12" s="12"/>
      <c r="K12" t="s">
        <v>123</v>
      </c>
      <c r="L12" s="62">
        <v>152</v>
      </c>
      <c r="M12" s="134">
        <v>199694816</v>
      </c>
      <c r="N12" s="134">
        <v>491618912</v>
      </c>
      <c r="O12" s="133">
        <f t="shared" si="0"/>
        <v>49552063.523573197</v>
      </c>
      <c r="P12" s="133">
        <f t="shared" si="1"/>
        <v>121989804.46650124</v>
      </c>
      <c r="Q12" s="37"/>
    </row>
    <row r="13" spans="2:17">
      <c r="B13" s="29" t="s">
        <v>38</v>
      </c>
      <c r="C13" s="80">
        <v>0.30034454999999999</v>
      </c>
      <c r="D13" s="30">
        <v>6.541951E-2</v>
      </c>
      <c r="E13" s="30">
        <v>9.6153059999999999E-2</v>
      </c>
      <c r="F13" s="80">
        <v>8.8037680000000007E-2</v>
      </c>
      <c r="G13" s="30">
        <v>2.8660810000000009E-2</v>
      </c>
      <c r="H13" s="30">
        <v>7.3779199999999823E-3</v>
      </c>
      <c r="I13" s="30">
        <v>1.4695569999999991E-2</v>
      </c>
      <c r="J13" s="12"/>
    </row>
    <row r="14" spans="2:17">
      <c r="B14" s="29" t="s">
        <v>39</v>
      </c>
      <c r="C14" s="80">
        <v>0.22436049</v>
      </c>
      <c r="D14" s="30">
        <v>5.3847699999999998E-2</v>
      </c>
      <c r="E14" s="30">
        <v>2.5956469999999995E-2</v>
      </c>
      <c r="F14" s="80">
        <v>4.4077640000000001E-2</v>
      </c>
      <c r="G14" s="30">
        <v>8.1830119999999992E-2</v>
      </c>
      <c r="H14" s="30">
        <v>4.4707800000000075E-3</v>
      </c>
      <c r="I14" s="30">
        <v>1.4177780000000001E-2</v>
      </c>
      <c r="J14" s="12"/>
      <c r="K14" t="s">
        <v>182</v>
      </c>
    </row>
    <row r="15" spans="2:17">
      <c r="B15" s="29" t="s">
        <v>18</v>
      </c>
      <c r="C15" s="80">
        <v>0.21458076000000001</v>
      </c>
      <c r="D15" s="30">
        <v>4.9400050000000001E-2</v>
      </c>
      <c r="E15" s="30">
        <v>9.7962600000000011E-3</v>
      </c>
      <c r="F15" s="80">
        <v>3.0993380000000001E-2</v>
      </c>
      <c r="G15" s="30">
        <v>0.10685298</v>
      </c>
      <c r="H15" s="30">
        <v>2.698779999999984E-3</v>
      </c>
      <c r="I15" s="30">
        <v>1.4839310000000022E-2</v>
      </c>
      <c r="J15" s="12"/>
      <c r="K15" t="s">
        <v>222</v>
      </c>
    </row>
    <row r="16" spans="2:17">
      <c r="B16" s="29" t="s">
        <v>50</v>
      </c>
      <c r="C16" s="80">
        <v>0.19708729</v>
      </c>
      <c r="D16" s="30">
        <v>4.0906579999999998E-2</v>
      </c>
      <c r="E16" s="30">
        <v>1.884540000000004E-3</v>
      </c>
      <c r="F16" s="80">
        <v>1.9791820000000002E-2</v>
      </c>
      <c r="G16" s="30">
        <v>0.11906232</v>
      </c>
      <c r="H16" s="30">
        <v>6.687800000000077E-4</v>
      </c>
      <c r="I16" s="30">
        <v>1.4773249999999988E-2</v>
      </c>
      <c r="J16" s="12"/>
      <c r="K16" s="1" t="s">
        <v>78</v>
      </c>
    </row>
    <row r="17" spans="2:7">
      <c r="B17" s="29"/>
      <c r="C17" s="30"/>
      <c r="D17" s="30"/>
      <c r="E17" s="30"/>
      <c r="F17" s="30"/>
      <c r="G17" s="30"/>
    </row>
    <row r="18" spans="2:7">
      <c r="B18" t="s">
        <v>124</v>
      </c>
    </row>
    <row r="19" spans="2:7">
      <c r="B19" s="1" t="s">
        <v>78</v>
      </c>
    </row>
  </sheetData>
  <mergeCells count="2">
    <mergeCell ref="C2:J2"/>
    <mergeCell ref="K2:P2"/>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255-9FD5-4F0E-A8E9-9FD9F5E5BD9A}">
  <sheetPr codeName="Feuil5"/>
  <dimension ref="B2:M21"/>
  <sheetViews>
    <sheetView topLeftCell="B1" zoomScale="115" zoomScaleNormal="115" workbookViewId="0">
      <selection activeCell="N6" sqref="N6"/>
    </sheetView>
  </sheetViews>
  <sheetFormatPr baseColWidth="10" defaultRowHeight="14.4"/>
  <cols>
    <col min="1" max="1" width="2.77734375" customWidth="1"/>
    <col min="2" max="2" width="15.5546875" customWidth="1"/>
    <col min="11" max="11" width="14.109375" bestFit="1" customWidth="1"/>
    <col min="12" max="12" width="17.5546875" customWidth="1"/>
  </cols>
  <sheetData>
    <row r="2" spans="2:13">
      <c r="C2" s="141" t="s">
        <v>16</v>
      </c>
      <c r="D2" s="141"/>
      <c r="E2" s="141"/>
      <c r="F2" s="141"/>
      <c r="G2" s="141"/>
      <c r="I2" s="141" t="s">
        <v>52</v>
      </c>
      <c r="J2" s="141"/>
      <c r="K2" s="141"/>
      <c r="L2" s="141"/>
      <c r="M2" s="141"/>
    </row>
    <row r="3" spans="2:13" ht="55.2">
      <c r="B3" s="50" t="s">
        <v>17</v>
      </c>
      <c r="C3" s="31" t="s">
        <v>25</v>
      </c>
      <c r="D3" s="31" t="s">
        <v>21</v>
      </c>
      <c r="E3" s="31" t="s">
        <v>22</v>
      </c>
      <c r="F3" s="31" t="s">
        <v>23</v>
      </c>
      <c r="G3" s="31" t="s">
        <v>24</v>
      </c>
      <c r="H3" s="31"/>
      <c r="I3" s="31" t="s">
        <v>17</v>
      </c>
      <c r="J3" s="31" t="s">
        <v>41</v>
      </c>
      <c r="K3" s="56" t="s">
        <v>26</v>
      </c>
      <c r="L3" s="56" t="s">
        <v>27</v>
      </c>
      <c r="M3" s="56" t="s">
        <v>42</v>
      </c>
    </row>
    <row r="4" spans="2:13" ht="27.6">
      <c r="B4" s="28" t="s">
        <v>28</v>
      </c>
      <c r="C4" s="31"/>
      <c r="D4" s="31"/>
      <c r="E4" s="31"/>
      <c r="F4" s="31"/>
      <c r="G4" s="31"/>
      <c r="H4" s="26"/>
      <c r="I4" s="31" t="s">
        <v>43</v>
      </c>
      <c r="J4" s="23">
        <v>13332368</v>
      </c>
      <c r="K4" s="25"/>
      <c r="L4" s="25">
        <v>44371</v>
      </c>
      <c r="M4" s="38">
        <v>1</v>
      </c>
    </row>
    <row r="5" spans="2:13">
      <c r="B5" s="29" t="s">
        <v>29</v>
      </c>
      <c r="C5" s="30">
        <v>0.12</v>
      </c>
      <c r="D5" s="30">
        <v>0.17</v>
      </c>
      <c r="E5" s="30">
        <v>0.2</v>
      </c>
      <c r="F5" s="30">
        <v>1.4999999999999999E-2</v>
      </c>
      <c r="G5" s="80">
        <v>0.505</v>
      </c>
      <c r="H5" s="27"/>
      <c r="I5" s="32" t="s">
        <v>44</v>
      </c>
      <c r="J5" s="22">
        <v>6666184</v>
      </c>
      <c r="K5" s="25"/>
      <c r="L5" s="25">
        <v>19049</v>
      </c>
      <c r="M5" s="38">
        <v>0.215</v>
      </c>
    </row>
    <row r="6" spans="2:13">
      <c r="B6" s="29" t="s">
        <v>30</v>
      </c>
      <c r="C6" s="30">
        <v>0.12</v>
      </c>
      <c r="D6" s="30">
        <v>0.15</v>
      </c>
      <c r="E6" s="30">
        <v>0.17</v>
      </c>
      <c r="F6" s="30">
        <v>0.02</v>
      </c>
      <c r="G6" s="80">
        <v>0.46</v>
      </c>
      <c r="H6" s="27"/>
      <c r="I6" s="32" t="s">
        <v>45</v>
      </c>
      <c r="J6" s="22">
        <v>5332947</v>
      </c>
      <c r="K6" s="25">
        <v>34158</v>
      </c>
      <c r="L6" s="25">
        <v>47982</v>
      </c>
      <c r="M6" s="38">
        <v>0.433</v>
      </c>
    </row>
    <row r="7" spans="2:13">
      <c r="B7" s="29" t="s">
        <v>31</v>
      </c>
      <c r="C7" s="30">
        <v>0.13</v>
      </c>
      <c r="D7" s="30">
        <v>0.15</v>
      </c>
      <c r="E7" s="30">
        <v>0.16</v>
      </c>
      <c r="F7" s="30">
        <v>0.02</v>
      </c>
      <c r="G7" s="80">
        <v>0.46</v>
      </c>
      <c r="H7" s="27"/>
      <c r="I7" s="32" t="s">
        <v>46</v>
      </c>
      <c r="J7" s="22">
        <v>1333237</v>
      </c>
      <c r="K7" s="25">
        <v>72164</v>
      </c>
      <c r="L7" s="25">
        <v>156533</v>
      </c>
      <c r="M7" s="38">
        <v>0.35299999999999998</v>
      </c>
    </row>
    <row r="8" spans="2:13">
      <c r="B8" s="29" t="s">
        <v>32</v>
      </c>
      <c r="C8" s="30">
        <v>0.14000000000000001</v>
      </c>
      <c r="D8" s="30">
        <v>0.15</v>
      </c>
      <c r="E8" s="30">
        <v>0.15</v>
      </c>
      <c r="F8" s="30">
        <v>0.02</v>
      </c>
      <c r="G8" s="80">
        <v>0.46</v>
      </c>
      <c r="H8" s="27"/>
      <c r="I8" s="32" t="s">
        <v>47</v>
      </c>
      <c r="J8" s="61">
        <v>133324</v>
      </c>
      <c r="K8" s="62">
        <v>226162</v>
      </c>
      <c r="L8" s="62">
        <v>625482</v>
      </c>
      <c r="M8" s="38">
        <v>0.14099999999999999</v>
      </c>
    </row>
    <row r="9" spans="2:13">
      <c r="B9" s="29" t="s">
        <v>33</v>
      </c>
      <c r="C9" s="30">
        <v>0.15</v>
      </c>
      <c r="D9" s="30">
        <v>0.15</v>
      </c>
      <c r="E9" s="30">
        <v>0.14000000000000001</v>
      </c>
      <c r="F9" s="30">
        <v>0.02</v>
      </c>
      <c r="G9" s="80">
        <v>0.46</v>
      </c>
      <c r="H9" s="27"/>
      <c r="I9" s="32" t="s">
        <v>48</v>
      </c>
      <c r="J9" s="61">
        <v>13333</v>
      </c>
      <c r="K9" s="62">
        <v>1023879</v>
      </c>
      <c r="L9" s="62">
        <v>2694670</v>
      </c>
      <c r="M9" s="60">
        <v>6.0999999999999999E-2</v>
      </c>
    </row>
    <row r="10" spans="2:13">
      <c r="B10" s="29" t="s">
        <v>34</v>
      </c>
      <c r="C10" s="30">
        <v>0.16</v>
      </c>
      <c r="D10" s="30">
        <v>0.16</v>
      </c>
      <c r="E10" s="30">
        <v>0.13</v>
      </c>
      <c r="F10" s="30">
        <v>0.02</v>
      </c>
      <c r="G10" s="80">
        <v>0.47</v>
      </c>
      <c r="H10" s="27"/>
      <c r="I10" s="32" t="s">
        <v>49</v>
      </c>
      <c r="J10" s="61">
        <v>1334</v>
      </c>
      <c r="K10" s="62">
        <v>4372218</v>
      </c>
      <c r="L10" s="62">
        <v>10921054</v>
      </c>
      <c r="M10" s="60">
        <v>2.5000000000000001E-2</v>
      </c>
    </row>
    <row r="11" spans="2:13">
      <c r="B11" s="29" t="s">
        <v>35</v>
      </c>
      <c r="C11" s="30">
        <v>0.18</v>
      </c>
      <c r="D11" s="30">
        <v>0.16</v>
      </c>
      <c r="E11" s="30">
        <v>0.12</v>
      </c>
      <c r="F11" s="30">
        <v>0.02</v>
      </c>
      <c r="G11" s="80">
        <v>0.48</v>
      </c>
      <c r="H11" s="27"/>
      <c r="I11" s="32" t="s">
        <v>50</v>
      </c>
      <c r="J11" s="52">
        <v>134</v>
      </c>
      <c r="K11" s="62">
        <v>18828918</v>
      </c>
      <c r="L11" s="62">
        <v>40602767</v>
      </c>
      <c r="M11" s="60">
        <v>9.0000000000000011E-3</v>
      </c>
    </row>
    <row r="12" spans="2:13">
      <c r="B12" s="29" t="s">
        <v>36</v>
      </c>
      <c r="C12" s="30">
        <v>0.2</v>
      </c>
      <c r="D12" s="30">
        <v>0.15</v>
      </c>
      <c r="E12" s="30">
        <v>0.11</v>
      </c>
      <c r="F12" s="30">
        <v>0.02</v>
      </c>
      <c r="G12" s="80">
        <v>0.48</v>
      </c>
      <c r="H12" s="27"/>
      <c r="I12" s="32" t="s">
        <v>51</v>
      </c>
      <c r="J12" s="52">
        <v>14</v>
      </c>
      <c r="K12" s="62">
        <v>89761129</v>
      </c>
      <c r="L12" s="62">
        <v>111562388</v>
      </c>
      <c r="M12" s="60">
        <v>3.0000000000000001E-3</v>
      </c>
    </row>
    <row r="13" spans="2:13">
      <c r="B13" s="29" t="s">
        <v>37</v>
      </c>
      <c r="C13" s="30">
        <v>0.21</v>
      </c>
      <c r="D13" s="30">
        <v>0.1</v>
      </c>
      <c r="E13" s="30">
        <v>0.1</v>
      </c>
      <c r="F13" s="30">
        <v>0.03</v>
      </c>
      <c r="G13" s="80">
        <v>0.44</v>
      </c>
    </row>
    <row r="14" spans="2:13">
      <c r="B14" s="29" t="s">
        <v>38</v>
      </c>
      <c r="C14" s="80">
        <v>0.12</v>
      </c>
      <c r="D14" s="30">
        <v>0.02</v>
      </c>
      <c r="E14" s="30">
        <v>0.04</v>
      </c>
      <c r="F14" s="30">
        <v>0.09</v>
      </c>
      <c r="G14" s="80">
        <v>0.27</v>
      </c>
      <c r="I14" s="29" t="s">
        <v>167</v>
      </c>
    </row>
    <row r="15" spans="2:13">
      <c r="B15" s="29" t="s">
        <v>39</v>
      </c>
      <c r="C15" s="80">
        <v>7.0000000000000007E-2</v>
      </c>
      <c r="D15" s="30">
        <v>5.0000000000000001E-3</v>
      </c>
      <c r="E15" s="30">
        <v>0.03</v>
      </c>
      <c r="F15" s="30">
        <v>0.11</v>
      </c>
      <c r="G15" s="80">
        <v>0.215</v>
      </c>
      <c r="I15" s="1" t="s">
        <v>78</v>
      </c>
    </row>
    <row r="16" spans="2:13">
      <c r="B16" s="29" t="s">
        <v>18</v>
      </c>
      <c r="C16" s="80">
        <v>4.4999999999999998E-2</v>
      </c>
      <c r="D16" s="30">
        <v>0</v>
      </c>
      <c r="E16" s="30">
        <v>2.5000000000000001E-2</v>
      </c>
      <c r="F16" s="30">
        <v>0.12</v>
      </c>
      <c r="G16" s="80">
        <v>0.19</v>
      </c>
    </row>
    <row r="17" spans="2:7">
      <c r="B17" s="29" t="s">
        <v>19</v>
      </c>
      <c r="C17" s="80">
        <v>2.5000000000000001E-2</v>
      </c>
      <c r="D17" s="30">
        <v>0</v>
      </c>
      <c r="E17" s="30">
        <v>2.5000000000000001E-2</v>
      </c>
      <c r="F17" s="30">
        <v>0.13500000000000001</v>
      </c>
      <c r="G17" s="80">
        <v>0.185</v>
      </c>
    </row>
    <row r="18" spans="2:7">
      <c r="B18" s="29" t="s">
        <v>40</v>
      </c>
      <c r="C18" s="80">
        <v>5.0000000000000001E-3</v>
      </c>
      <c r="D18" s="30">
        <v>0</v>
      </c>
      <c r="E18" s="30">
        <v>0.02</v>
      </c>
      <c r="F18" s="30">
        <v>0.13500000000000001</v>
      </c>
      <c r="G18" s="80">
        <v>0.16</v>
      </c>
    </row>
    <row r="20" spans="2:7">
      <c r="C20" t="s">
        <v>166</v>
      </c>
    </row>
    <row r="21" spans="2:7">
      <c r="C21" s="1" t="s">
        <v>78</v>
      </c>
    </row>
  </sheetData>
  <mergeCells count="2">
    <mergeCell ref="C2:G2"/>
    <mergeCell ref="I2: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5E9C2-9ECA-4B37-BDE5-46C3885B0ED1}">
  <dimension ref="A1:F26"/>
  <sheetViews>
    <sheetView zoomScale="145" zoomScaleNormal="145" workbookViewId="0">
      <selection activeCell="H15" sqref="H15"/>
    </sheetView>
  </sheetViews>
  <sheetFormatPr baseColWidth="10" defaultRowHeight="14.4"/>
  <cols>
    <col min="1" max="1" width="3.6640625" style="120" customWidth="1"/>
    <col min="2" max="5" width="12.5546875" style="54" customWidth="1"/>
    <col min="6" max="6" width="11.5546875" style="54"/>
  </cols>
  <sheetData>
    <row r="1" spans="2:6" s="120" customFormat="1">
      <c r="B1" s="54"/>
      <c r="C1" s="54"/>
      <c r="D1" s="54"/>
      <c r="E1" s="54"/>
      <c r="F1" s="54"/>
    </row>
    <row r="2" spans="2:6" ht="28.8">
      <c r="B2" s="11" t="s">
        <v>213</v>
      </c>
      <c r="C2" s="123" t="s">
        <v>214</v>
      </c>
      <c r="D2" s="123" t="s">
        <v>215</v>
      </c>
      <c r="E2" s="123" t="s">
        <v>216</v>
      </c>
    </row>
    <row r="3" spans="2:6">
      <c r="B3" s="136" t="s">
        <v>211</v>
      </c>
      <c r="C3" s="128">
        <v>147</v>
      </c>
      <c r="D3" s="126">
        <v>730</v>
      </c>
      <c r="E3" s="127">
        <v>695.2</v>
      </c>
    </row>
    <row r="4" spans="2:6">
      <c r="B4" s="136" t="s">
        <v>217</v>
      </c>
      <c r="C4" s="129">
        <v>936</v>
      </c>
      <c r="D4" s="126">
        <v>7927.6093639999926</v>
      </c>
      <c r="E4" s="127">
        <f>D4*0.95</f>
        <v>7531.2288957999926</v>
      </c>
    </row>
    <row r="5" spans="2:6">
      <c r="B5" s="136" t="s">
        <v>209</v>
      </c>
      <c r="C5" s="129">
        <v>79</v>
      </c>
      <c r="D5" s="126">
        <v>360.74274099999991</v>
      </c>
      <c r="E5" s="127">
        <f>D5*0.95</f>
        <v>342.7056039499999</v>
      </c>
    </row>
    <row r="6" spans="2:6">
      <c r="B6" s="32" t="s">
        <v>210</v>
      </c>
      <c r="C6" s="129">
        <v>66</v>
      </c>
      <c r="D6" s="126">
        <v>252.6951380000001</v>
      </c>
      <c r="E6" s="127">
        <f t="shared" ref="E6:E7" si="0">D6*0.95</f>
        <v>240.06038110000009</v>
      </c>
    </row>
    <row r="7" spans="2:6">
      <c r="B7" s="32" t="s">
        <v>212</v>
      </c>
      <c r="C7" s="129">
        <v>13</v>
      </c>
      <c r="D7" s="126">
        <v>49.210541999999997</v>
      </c>
      <c r="E7" s="127">
        <f t="shared" si="0"/>
        <v>46.750014899999996</v>
      </c>
    </row>
    <row r="8" spans="2:6">
      <c r="B8" s="121"/>
      <c r="C8" s="122"/>
      <c r="D8" s="122"/>
      <c r="E8" s="122"/>
    </row>
    <row r="9" spans="2:6">
      <c r="B9" s="124" t="s">
        <v>218</v>
      </c>
      <c r="C9" s="122"/>
      <c r="D9" s="122"/>
      <c r="E9" s="122"/>
    </row>
    <row r="10" spans="2:6">
      <c r="B10" s="121" t="s">
        <v>227</v>
      </c>
      <c r="C10" s="122"/>
      <c r="D10" s="122"/>
      <c r="E10" s="122"/>
    </row>
    <row r="11" spans="2:6">
      <c r="B11" s="121"/>
      <c r="C11" s="122"/>
      <c r="D11" s="122"/>
      <c r="E11" s="122"/>
    </row>
    <row r="12" spans="2:6">
      <c r="B12" s="121"/>
      <c r="C12" s="122"/>
      <c r="D12" s="122"/>
      <c r="E12" s="122"/>
    </row>
    <row r="13" spans="2:6">
      <c r="B13" s="121"/>
      <c r="C13" s="122"/>
      <c r="D13" s="122"/>
      <c r="E13" s="122"/>
    </row>
    <row r="14" spans="2:6">
      <c r="C14" s="122"/>
      <c r="D14" s="122"/>
      <c r="E14" s="122"/>
    </row>
    <row r="15" spans="2:6">
      <c r="C15" s="122"/>
      <c r="D15" s="122"/>
      <c r="E15" s="122"/>
    </row>
    <row r="16" spans="2:6">
      <c r="B16" s="121"/>
      <c r="C16" s="122"/>
      <c r="D16" s="122"/>
      <c r="E16" s="122"/>
    </row>
    <row r="17" spans="2:5">
      <c r="B17" s="121"/>
      <c r="C17" s="122"/>
      <c r="D17" s="122"/>
      <c r="E17" s="122"/>
    </row>
    <row r="18" spans="2:5">
      <c r="B18" s="121"/>
      <c r="C18" s="122"/>
      <c r="D18" s="122"/>
      <c r="E18" s="122"/>
    </row>
    <row r="19" spans="2:5">
      <c r="B19" s="121"/>
      <c r="C19" s="122"/>
      <c r="D19" s="122"/>
      <c r="E19" s="122"/>
    </row>
    <row r="20" spans="2:5">
      <c r="B20" s="121"/>
      <c r="C20" s="122"/>
      <c r="D20" s="122"/>
      <c r="E20" s="122"/>
    </row>
    <row r="21" spans="2:5">
      <c r="B21" s="121"/>
      <c r="C21" s="122"/>
      <c r="D21" s="122"/>
      <c r="E21" s="122"/>
    </row>
    <row r="22" spans="2:5">
      <c r="B22" s="121"/>
      <c r="C22" s="122"/>
      <c r="D22" s="122"/>
      <c r="E22" s="122"/>
    </row>
    <row r="23" spans="2:5">
      <c r="B23" s="121"/>
      <c r="C23" s="122"/>
      <c r="D23" s="122"/>
      <c r="E23" s="122"/>
    </row>
    <row r="24" spans="2:5">
      <c r="B24" s="121"/>
      <c r="C24" s="122"/>
      <c r="D24" s="122"/>
      <c r="E24" s="122"/>
    </row>
    <row r="25" spans="2:5">
      <c r="B25" s="121"/>
      <c r="C25" s="122"/>
      <c r="D25" s="122"/>
      <c r="E25" s="122"/>
    </row>
    <row r="26" spans="2:5">
      <c r="B26" s="121"/>
      <c r="C26" s="122"/>
      <c r="D26" s="122"/>
      <c r="E26" s="122"/>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BD9FE-447D-43A9-B308-0AB122408051}">
  <dimension ref="B2:M33"/>
  <sheetViews>
    <sheetView zoomScale="115" zoomScaleNormal="115" workbookViewId="0">
      <selection activeCell="K24" sqref="K24"/>
    </sheetView>
  </sheetViews>
  <sheetFormatPr baseColWidth="10" defaultRowHeight="14.4"/>
  <cols>
    <col min="1" max="1" width="3.44140625" customWidth="1"/>
    <col min="2" max="11" width="11.6640625" customWidth="1"/>
    <col min="12" max="12" width="9.21875" customWidth="1"/>
  </cols>
  <sheetData>
    <row r="2" spans="2:12" ht="36" customHeight="1">
      <c r="B2" s="146" t="s">
        <v>16</v>
      </c>
      <c r="C2" s="146"/>
      <c r="D2" s="146"/>
      <c r="E2" s="36"/>
      <c r="F2" s="91"/>
      <c r="L2" s="91"/>
    </row>
    <row r="3" spans="2:12" ht="28.8">
      <c r="B3" s="56" t="s">
        <v>17</v>
      </c>
      <c r="C3" s="91" t="s">
        <v>172</v>
      </c>
      <c r="D3" s="91" t="s">
        <v>171</v>
      </c>
      <c r="E3" s="38"/>
      <c r="F3" s="38"/>
      <c r="L3" s="38"/>
    </row>
    <row r="4" spans="2:12">
      <c r="B4" s="41" t="s">
        <v>169</v>
      </c>
      <c r="C4" s="93">
        <v>0.42</v>
      </c>
      <c r="D4" s="16">
        <v>0.1</v>
      </c>
      <c r="E4" s="38"/>
      <c r="F4" s="38"/>
      <c r="L4" s="38"/>
    </row>
    <row r="5" spans="2:12">
      <c r="B5" s="41" t="s">
        <v>5</v>
      </c>
      <c r="C5" s="93">
        <v>0.43</v>
      </c>
      <c r="D5" s="16">
        <v>0.13</v>
      </c>
      <c r="E5" s="38"/>
      <c r="F5" s="38"/>
      <c r="L5" s="38"/>
    </row>
    <row r="6" spans="2:12">
      <c r="B6" s="41" t="s">
        <v>6</v>
      </c>
      <c r="C6" s="93">
        <v>0.45</v>
      </c>
      <c r="D6" s="16">
        <v>0.14000000000000001</v>
      </c>
      <c r="E6" s="38"/>
      <c r="F6" s="38"/>
      <c r="L6" s="38"/>
    </row>
    <row r="7" spans="2:12">
      <c r="B7" s="41" t="s">
        <v>7</v>
      </c>
      <c r="C7" s="93">
        <v>0.47</v>
      </c>
      <c r="D7" s="16">
        <v>0.14000000000000001</v>
      </c>
      <c r="E7" s="38"/>
      <c r="F7" s="38"/>
      <c r="L7" s="38"/>
    </row>
    <row r="8" spans="2:12">
      <c r="B8" s="41" t="s">
        <v>8</v>
      </c>
      <c r="C8" s="93">
        <v>0.49</v>
      </c>
      <c r="D8" s="16">
        <v>0.15</v>
      </c>
      <c r="E8" s="38"/>
      <c r="F8" s="38"/>
      <c r="L8" s="38"/>
    </row>
    <row r="9" spans="2:12">
      <c r="B9" s="41" t="s">
        <v>170</v>
      </c>
      <c r="C9" s="93">
        <v>0.5</v>
      </c>
      <c r="D9" s="16">
        <v>0.2</v>
      </c>
      <c r="E9" s="38"/>
      <c r="F9" s="38"/>
      <c r="L9" s="38"/>
    </row>
    <row r="10" spans="2:12">
      <c r="B10" s="41" t="s">
        <v>11</v>
      </c>
      <c r="C10" s="93">
        <v>0.43</v>
      </c>
      <c r="D10" s="93">
        <v>0.25</v>
      </c>
      <c r="E10" s="38"/>
      <c r="F10" s="38"/>
      <c r="L10" s="38"/>
    </row>
    <row r="11" spans="2:12">
      <c r="B11" s="41" t="s">
        <v>139</v>
      </c>
      <c r="C11" s="93">
        <v>0.36</v>
      </c>
      <c r="D11" s="93">
        <v>0.15</v>
      </c>
      <c r="E11" s="38"/>
      <c r="F11" s="38"/>
      <c r="L11" s="38"/>
    </row>
    <row r="12" spans="2:12">
      <c r="B12" s="41" t="s">
        <v>174</v>
      </c>
      <c r="C12" s="93">
        <v>0.18</v>
      </c>
      <c r="D12" s="93"/>
      <c r="E12" s="38"/>
      <c r="F12" s="38"/>
      <c r="L12" s="38"/>
    </row>
    <row r="13" spans="2:12">
      <c r="C13" s="92"/>
      <c r="D13" s="38"/>
      <c r="E13" s="38"/>
      <c r="F13" s="38"/>
      <c r="L13" s="38"/>
    </row>
    <row r="14" spans="2:12">
      <c r="B14" t="s">
        <v>173</v>
      </c>
      <c r="C14" s="92"/>
      <c r="D14" s="38"/>
      <c r="E14" s="38"/>
      <c r="F14" s="38"/>
      <c r="L14" s="38"/>
    </row>
    <row r="15" spans="2:12">
      <c r="B15" s="41" t="s">
        <v>175</v>
      </c>
      <c r="C15" s="92"/>
      <c r="D15" s="38"/>
      <c r="E15" s="38"/>
      <c r="F15" s="38"/>
      <c r="L15" s="38"/>
    </row>
    <row r="16" spans="2:12">
      <c r="B16" s="1" t="s">
        <v>78</v>
      </c>
      <c r="D16" s="38"/>
      <c r="E16" s="38"/>
      <c r="F16" s="38"/>
      <c r="L16" s="38"/>
    </row>
    <row r="18" spans="2:13">
      <c r="B18" s="141" t="s">
        <v>52</v>
      </c>
      <c r="C18" s="141"/>
      <c r="D18" s="141"/>
      <c r="E18" s="141"/>
      <c r="F18" s="141"/>
    </row>
    <row r="19" spans="2:13" ht="28.8">
      <c r="B19" s="56" t="s">
        <v>146</v>
      </c>
      <c r="C19" s="56" t="s">
        <v>147</v>
      </c>
      <c r="D19" s="56" t="s">
        <v>26</v>
      </c>
      <c r="E19" s="56" t="s">
        <v>27</v>
      </c>
      <c r="F19" s="56" t="s">
        <v>120</v>
      </c>
    </row>
    <row r="20" spans="2:13">
      <c r="B20" t="s">
        <v>43</v>
      </c>
      <c r="C20" s="87">
        <v>50699447</v>
      </c>
      <c r="D20" s="87"/>
      <c r="E20" s="87">
        <v>26357</v>
      </c>
      <c r="F20" s="39" t="s">
        <v>148</v>
      </c>
    </row>
    <row r="21" spans="2:13">
      <c r="B21" t="s">
        <v>149</v>
      </c>
      <c r="C21" s="87">
        <v>12674862</v>
      </c>
      <c r="D21" s="87"/>
      <c r="E21" s="87">
        <v>1814</v>
      </c>
      <c r="F21" s="39" t="s">
        <v>150</v>
      </c>
    </row>
    <row r="22" spans="2:13">
      <c r="B22" t="s">
        <v>151</v>
      </c>
      <c r="C22" s="87">
        <v>12674862</v>
      </c>
      <c r="D22" s="87">
        <v>6817</v>
      </c>
      <c r="E22" s="87">
        <v>13582</v>
      </c>
      <c r="F22" s="39" t="s">
        <v>152</v>
      </c>
    </row>
    <row r="23" spans="2:13">
      <c r="B23" t="s">
        <v>153</v>
      </c>
      <c r="C23" s="87">
        <v>5069945</v>
      </c>
      <c r="D23" s="87">
        <v>20006</v>
      </c>
      <c r="E23" s="87">
        <v>22592</v>
      </c>
      <c r="F23" s="39" t="s">
        <v>154</v>
      </c>
    </row>
    <row r="24" spans="2:13">
      <c r="B24" t="s">
        <v>155</v>
      </c>
      <c r="C24" s="87">
        <v>5069945</v>
      </c>
      <c r="D24" s="87">
        <v>25057</v>
      </c>
      <c r="E24" s="87">
        <v>27618</v>
      </c>
      <c r="F24" s="39" t="s">
        <v>156</v>
      </c>
      <c r="M24" s="90"/>
    </row>
    <row r="25" spans="2:13">
      <c r="B25" t="s">
        <v>157</v>
      </c>
      <c r="C25" s="87">
        <v>5069945</v>
      </c>
      <c r="D25" s="87">
        <v>30433</v>
      </c>
      <c r="E25" s="87">
        <v>33938</v>
      </c>
      <c r="F25" s="39" t="s">
        <v>158</v>
      </c>
    </row>
    <row r="26" spans="2:13">
      <c r="B26" t="s">
        <v>159</v>
      </c>
      <c r="C26" s="87">
        <v>5069945</v>
      </c>
      <c r="D26" s="87">
        <v>37957</v>
      </c>
      <c r="E26" s="87">
        <v>43279</v>
      </c>
      <c r="F26" s="39" t="s">
        <v>160</v>
      </c>
    </row>
    <row r="27" spans="2:13">
      <c r="B27" t="s">
        <v>46</v>
      </c>
      <c r="C27" s="87">
        <v>5069945</v>
      </c>
      <c r="D27" s="87">
        <v>50313</v>
      </c>
      <c r="E27" s="87">
        <v>97649</v>
      </c>
      <c r="F27" s="39" t="s">
        <v>161</v>
      </c>
    </row>
    <row r="28" spans="2:13">
      <c r="B28" t="s">
        <v>162</v>
      </c>
      <c r="C28" s="87">
        <v>2534972</v>
      </c>
      <c r="D28" s="87">
        <v>68534</v>
      </c>
      <c r="E28" s="87">
        <v>137611</v>
      </c>
      <c r="F28" s="39" t="s">
        <v>163</v>
      </c>
    </row>
    <row r="29" spans="2:13">
      <c r="B29" t="s">
        <v>47</v>
      </c>
      <c r="C29" s="118">
        <v>506994</v>
      </c>
      <c r="D29" s="118">
        <v>147733</v>
      </c>
      <c r="E29" s="118">
        <v>310672</v>
      </c>
      <c r="F29" s="39" t="s">
        <v>164</v>
      </c>
    </row>
    <row r="30" spans="2:13">
      <c r="B30" t="s">
        <v>48</v>
      </c>
      <c r="C30" s="118">
        <v>50699</v>
      </c>
      <c r="D30" s="118">
        <v>507543</v>
      </c>
      <c r="E30" s="118">
        <v>1195681</v>
      </c>
      <c r="F30" s="39" t="s">
        <v>165</v>
      </c>
    </row>
    <row r="32" spans="2:13">
      <c r="B32" t="s">
        <v>168</v>
      </c>
    </row>
    <row r="33" spans="2:2">
      <c r="B33" s="1" t="s">
        <v>78</v>
      </c>
    </row>
  </sheetData>
  <mergeCells count="2">
    <mergeCell ref="B18:F18"/>
    <mergeCell ref="B2:D2"/>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6C197-42CD-4DDA-A3EF-7FF5B45CE247}">
  <dimension ref="A2:O33"/>
  <sheetViews>
    <sheetView workbookViewId="0">
      <selection activeCell="H15" sqref="H15"/>
    </sheetView>
  </sheetViews>
  <sheetFormatPr baseColWidth="10" defaultRowHeight="14.4"/>
  <cols>
    <col min="1" max="1" width="4.21875" style="125" customWidth="1"/>
    <col min="4" max="4" width="8.5546875" customWidth="1"/>
  </cols>
  <sheetData>
    <row r="2" spans="2:15" ht="28.8">
      <c r="B2" s="131" t="s">
        <v>232</v>
      </c>
      <c r="C2" s="131" t="s">
        <v>219</v>
      </c>
    </row>
    <row r="3" spans="2:15">
      <c r="B3" s="135">
        <v>99</v>
      </c>
      <c r="C3" s="30">
        <v>0.12772980332374573</v>
      </c>
      <c r="D3" s="147">
        <f>AVERAGE(C3:C12)</f>
        <v>0.13096671104431151</v>
      </c>
      <c r="E3" s="24"/>
      <c r="F3" s="24"/>
      <c r="G3" s="24"/>
      <c r="H3" s="24"/>
      <c r="I3" s="24"/>
      <c r="J3" s="24"/>
      <c r="K3" s="24"/>
      <c r="L3" s="24"/>
      <c r="M3" s="24"/>
      <c r="N3" s="24"/>
      <c r="O3" s="24"/>
    </row>
    <row r="4" spans="2:15">
      <c r="B4" s="135">
        <v>99.099998474121094</v>
      </c>
      <c r="C4" s="30">
        <v>0.13575124740600586</v>
      </c>
      <c r="D4" s="147"/>
      <c r="E4" s="24"/>
      <c r="F4" s="24"/>
      <c r="G4" s="24"/>
      <c r="H4" s="24"/>
      <c r="I4" s="24"/>
      <c r="J4" s="24"/>
      <c r="K4" s="24"/>
      <c r="L4" s="24"/>
      <c r="M4" s="24"/>
      <c r="N4" s="24"/>
      <c r="O4" s="24"/>
    </row>
    <row r="5" spans="2:15">
      <c r="B5" s="135">
        <v>99.199996948242188</v>
      </c>
      <c r="C5" s="30">
        <v>0.13687241077423096</v>
      </c>
      <c r="D5" s="147"/>
      <c r="E5" s="24"/>
      <c r="F5" s="24"/>
      <c r="G5" s="24"/>
      <c r="H5" s="24"/>
      <c r="I5" s="24"/>
      <c r="J5" s="24"/>
      <c r="K5" s="24"/>
      <c r="L5" s="24"/>
      <c r="M5" s="24"/>
      <c r="N5" s="24"/>
      <c r="O5" s="24"/>
    </row>
    <row r="6" spans="2:15">
      <c r="B6" s="135">
        <v>99.300003051757813</v>
      </c>
      <c r="C6" s="30">
        <v>0.13723267614841461</v>
      </c>
      <c r="D6" s="147"/>
      <c r="E6" s="24"/>
      <c r="F6" s="24"/>
      <c r="G6" s="24"/>
      <c r="H6" s="24"/>
      <c r="I6" s="24"/>
      <c r="J6" s="24"/>
      <c r="K6" s="24"/>
      <c r="L6" s="24"/>
      <c r="M6" s="24"/>
      <c r="N6" s="24"/>
      <c r="O6" s="24"/>
    </row>
    <row r="7" spans="2:15">
      <c r="B7" s="135">
        <v>99.400001525878906</v>
      </c>
      <c r="C7" s="30">
        <v>0.1388394683599472</v>
      </c>
      <c r="D7" s="147"/>
      <c r="E7" s="24"/>
      <c r="F7" s="24"/>
      <c r="G7" s="24"/>
      <c r="H7" s="24"/>
      <c r="I7" s="24"/>
      <c r="J7" s="24"/>
      <c r="K7" s="24"/>
      <c r="L7" s="24"/>
      <c r="M7" s="24"/>
      <c r="N7" s="24"/>
      <c r="O7" s="24"/>
    </row>
    <row r="8" spans="2:15">
      <c r="B8" s="135">
        <v>99.5</v>
      </c>
      <c r="C8" s="30">
        <v>0.13648426532745361</v>
      </c>
      <c r="D8" s="147"/>
      <c r="E8" s="24"/>
      <c r="F8" s="24"/>
      <c r="G8" s="24"/>
      <c r="H8" s="24"/>
      <c r="I8" s="24"/>
      <c r="J8" s="24"/>
      <c r="K8" s="24"/>
      <c r="L8" s="24"/>
      <c r="M8" s="24"/>
      <c r="N8" s="24"/>
      <c r="O8" s="24"/>
    </row>
    <row r="9" spans="2:15">
      <c r="B9" s="135">
        <v>99.599998474121094</v>
      </c>
      <c r="C9" s="30">
        <v>0.12754970788955688</v>
      </c>
      <c r="D9" s="147"/>
      <c r="E9" s="24"/>
      <c r="F9" s="24"/>
      <c r="G9" s="24"/>
      <c r="H9" s="24"/>
      <c r="I9" s="24"/>
      <c r="J9" s="24"/>
      <c r="K9" s="24"/>
      <c r="L9" s="24"/>
      <c r="M9" s="24"/>
      <c r="N9" s="24"/>
      <c r="O9" s="24"/>
    </row>
    <row r="10" spans="2:15">
      <c r="B10" s="135">
        <v>99.699996948242188</v>
      </c>
      <c r="C10" s="30">
        <v>0.12451424449682236</v>
      </c>
      <c r="D10" s="147"/>
      <c r="E10" s="24"/>
      <c r="F10" s="24"/>
      <c r="G10" s="24"/>
      <c r="H10" s="24"/>
      <c r="I10" s="24"/>
      <c r="J10" s="24"/>
      <c r="K10" s="24"/>
      <c r="L10" s="24"/>
      <c r="M10" s="24"/>
      <c r="N10" s="24"/>
      <c r="O10" s="24"/>
    </row>
    <row r="11" spans="2:15">
      <c r="B11" s="135">
        <v>99.800003051757813</v>
      </c>
      <c r="C11" s="30">
        <v>0.11918256431818008</v>
      </c>
      <c r="D11" s="147"/>
      <c r="E11" s="24"/>
      <c r="F11" s="24"/>
      <c r="G11" s="24"/>
      <c r="H11" s="24"/>
      <c r="I11" s="24"/>
      <c r="J11" s="24"/>
      <c r="K11" s="24"/>
      <c r="L11" s="24"/>
      <c r="M11" s="24"/>
      <c r="N11" s="24"/>
      <c r="O11" s="24"/>
    </row>
    <row r="12" spans="2:15">
      <c r="B12" s="135">
        <v>99.900001525878906</v>
      </c>
      <c r="C12" s="30">
        <v>0.12551072239875793</v>
      </c>
      <c r="D12" s="147"/>
      <c r="E12" s="24"/>
      <c r="F12" s="24"/>
      <c r="G12" s="24"/>
      <c r="H12" s="24"/>
      <c r="I12" s="24"/>
      <c r="J12" s="24"/>
      <c r="K12" s="24"/>
      <c r="L12" s="24"/>
      <c r="M12" s="24"/>
      <c r="N12" s="24"/>
      <c r="O12" s="24"/>
    </row>
    <row r="13" spans="2:15">
      <c r="B13" s="135">
        <v>99.910003662109375</v>
      </c>
      <c r="C13" s="30">
        <v>0.11963845044374466</v>
      </c>
      <c r="D13" s="147">
        <f>AVERAGE(C13:C21)</f>
        <v>0.11571877284182443</v>
      </c>
      <c r="E13" s="24"/>
      <c r="F13" s="24"/>
      <c r="G13" s="24"/>
      <c r="H13" s="24"/>
      <c r="I13" s="24"/>
      <c r="J13" s="24"/>
      <c r="K13" s="24"/>
      <c r="L13" s="24"/>
      <c r="M13" s="24"/>
      <c r="N13" s="24"/>
      <c r="O13" s="24"/>
    </row>
    <row r="14" spans="2:15">
      <c r="B14" s="135">
        <v>99.919998168945313</v>
      </c>
      <c r="C14" s="30">
        <v>0.12229987233877182</v>
      </c>
      <c r="D14" s="147"/>
      <c r="E14" s="24"/>
      <c r="F14" s="24"/>
      <c r="G14" s="24"/>
      <c r="H14" s="24"/>
      <c r="I14" s="24"/>
      <c r="J14" s="24"/>
      <c r="K14" s="24"/>
      <c r="L14" s="24"/>
      <c r="M14" s="24"/>
      <c r="N14" s="24"/>
      <c r="O14" s="24"/>
    </row>
    <row r="15" spans="2:15">
      <c r="B15" s="135">
        <v>99.930000305175781</v>
      </c>
      <c r="C15" s="30">
        <v>0.12536704540252686</v>
      </c>
      <c r="D15" s="147"/>
      <c r="E15" s="24"/>
      <c r="F15" s="24"/>
      <c r="G15" s="24"/>
      <c r="H15" s="24"/>
      <c r="I15" s="24"/>
      <c r="J15" s="24"/>
      <c r="K15" s="24"/>
      <c r="L15" s="24"/>
      <c r="M15" s="24"/>
      <c r="N15" s="24"/>
      <c r="O15" s="24"/>
    </row>
    <row r="16" spans="2:15">
      <c r="B16" s="135">
        <v>99.94000244140625</v>
      </c>
      <c r="C16" s="30">
        <v>0.11465321481227875</v>
      </c>
      <c r="D16" s="147"/>
      <c r="E16" s="24"/>
      <c r="F16" s="24"/>
      <c r="G16" s="24"/>
      <c r="H16" s="24"/>
      <c r="I16" s="24"/>
      <c r="J16" s="24"/>
      <c r="K16" s="24"/>
      <c r="L16" s="24"/>
      <c r="M16" s="24"/>
      <c r="N16" s="24"/>
      <c r="O16" s="24"/>
    </row>
    <row r="17" spans="2:15">
      <c r="B17" s="135">
        <v>99.949996948242188</v>
      </c>
      <c r="C17" s="30">
        <v>0.11773142963647842</v>
      </c>
      <c r="D17" s="147"/>
      <c r="E17" s="24"/>
      <c r="F17" s="24"/>
      <c r="G17" s="24"/>
      <c r="H17" s="24"/>
      <c r="I17" s="24"/>
      <c r="J17" s="24"/>
      <c r="K17" s="24"/>
      <c r="L17" s="24"/>
      <c r="M17" s="24"/>
      <c r="N17" s="24"/>
      <c r="O17" s="24"/>
    </row>
    <row r="18" spans="2:15">
      <c r="B18" s="135">
        <v>99.959999084472656</v>
      </c>
      <c r="C18" s="30">
        <v>0.11506056785583496</v>
      </c>
      <c r="D18" s="147"/>
      <c r="E18" s="24"/>
      <c r="F18" s="24"/>
      <c r="G18" s="24"/>
      <c r="H18" s="24"/>
      <c r="I18" s="24"/>
      <c r="J18" s="24"/>
      <c r="K18" s="24"/>
      <c r="L18" s="24"/>
      <c r="M18" s="24"/>
      <c r="N18" s="24"/>
      <c r="O18" s="24"/>
    </row>
    <row r="19" spans="2:15">
      <c r="B19" s="135">
        <v>99.970001220703125</v>
      </c>
      <c r="C19" s="30">
        <v>0.11425507813692093</v>
      </c>
      <c r="D19" s="147"/>
      <c r="E19" s="24"/>
      <c r="F19" s="24"/>
      <c r="G19" s="24"/>
      <c r="H19" s="24"/>
      <c r="I19" s="24"/>
      <c r="J19" s="24"/>
      <c r="K19" s="24"/>
      <c r="L19" s="24"/>
      <c r="M19" s="24"/>
      <c r="N19" s="24"/>
      <c r="O19" s="24"/>
    </row>
    <row r="20" spans="2:15">
      <c r="B20" s="135">
        <v>99.980003356933594</v>
      </c>
      <c r="C20" s="30">
        <v>0.10835576057434082</v>
      </c>
      <c r="D20" s="147"/>
      <c r="E20" s="24"/>
      <c r="F20" s="24"/>
      <c r="G20" s="24"/>
      <c r="H20" s="24"/>
      <c r="I20" s="24"/>
      <c r="J20" s="24"/>
      <c r="K20" s="24"/>
      <c r="L20" s="24"/>
      <c r="M20" s="24"/>
      <c r="N20" s="24"/>
      <c r="O20" s="24"/>
    </row>
    <row r="21" spans="2:15">
      <c r="B21" s="135">
        <v>99.989997863769531</v>
      </c>
      <c r="C21" s="30">
        <v>0.10410753637552261</v>
      </c>
      <c r="D21" s="147"/>
      <c r="E21" s="24"/>
      <c r="F21" s="24"/>
      <c r="G21" s="24"/>
      <c r="H21" s="24"/>
      <c r="I21" s="24"/>
      <c r="J21" s="24"/>
      <c r="K21" s="24"/>
      <c r="L21" s="24"/>
      <c r="M21" s="24"/>
      <c r="N21" s="24"/>
      <c r="O21" s="24"/>
    </row>
    <row r="22" spans="2:15">
      <c r="B22" s="135">
        <v>99.990997314453125</v>
      </c>
      <c r="C22" s="30">
        <v>9.5770731568336487E-2</v>
      </c>
      <c r="D22" s="147">
        <f>AVERAGE(C22:C30)</f>
        <v>9.1873241795433894E-2</v>
      </c>
      <c r="E22" s="24"/>
      <c r="F22" s="24"/>
      <c r="G22" s="24"/>
      <c r="H22" s="24"/>
      <c r="I22" s="24"/>
      <c r="J22" s="24"/>
      <c r="K22" s="24"/>
      <c r="L22" s="24"/>
      <c r="M22" s="24"/>
      <c r="N22" s="24"/>
      <c r="O22" s="24"/>
    </row>
    <row r="23" spans="2:15">
      <c r="B23" s="135">
        <v>99.991996765136719</v>
      </c>
      <c r="C23" s="30">
        <v>0.10013033449649811</v>
      </c>
      <c r="D23" s="147"/>
      <c r="E23" s="24"/>
      <c r="F23" s="24"/>
      <c r="G23" s="24"/>
      <c r="H23" s="24"/>
      <c r="I23" s="24"/>
      <c r="J23" s="24"/>
      <c r="K23" s="24"/>
      <c r="L23" s="24"/>
      <c r="M23" s="24"/>
      <c r="N23" s="24"/>
      <c r="O23" s="24"/>
    </row>
    <row r="24" spans="2:15">
      <c r="B24" s="135">
        <v>99.992996215820313</v>
      </c>
      <c r="C24" s="30">
        <v>0.10537221282720566</v>
      </c>
      <c r="D24" s="147"/>
      <c r="E24" s="24"/>
      <c r="F24" s="24"/>
      <c r="G24" s="24"/>
      <c r="H24" s="24"/>
      <c r="I24" s="24"/>
      <c r="J24" s="24"/>
      <c r="K24" s="24"/>
      <c r="L24" s="24"/>
      <c r="M24" s="24"/>
      <c r="N24" s="24"/>
      <c r="O24" s="24"/>
    </row>
    <row r="25" spans="2:15">
      <c r="B25" s="135">
        <v>99.994003295898438</v>
      </c>
      <c r="C25" s="30">
        <v>0.1007363498210907</v>
      </c>
      <c r="D25" s="147"/>
      <c r="E25" s="24"/>
      <c r="F25" s="24"/>
      <c r="G25" s="24"/>
      <c r="H25" s="24"/>
      <c r="I25" s="24"/>
      <c r="J25" s="24"/>
      <c r="K25" s="24"/>
      <c r="L25" s="24"/>
      <c r="M25" s="24"/>
      <c r="N25" s="24"/>
      <c r="O25" s="24"/>
    </row>
    <row r="26" spans="2:15">
      <c r="B26" s="135">
        <v>99.995002746582031</v>
      </c>
      <c r="C26" s="30">
        <v>8.3995796740055084E-2</v>
      </c>
      <c r="D26" s="147"/>
      <c r="E26" s="24"/>
      <c r="F26" s="24"/>
      <c r="G26" s="24"/>
      <c r="H26" s="24"/>
      <c r="I26" s="24"/>
      <c r="J26" s="24"/>
      <c r="K26" s="24"/>
      <c r="L26" s="24"/>
      <c r="M26" s="24"/>
      <c r="N26" s="24"/>
      <c r="O26" s="24"/>
    </row>
    <row r="27" spans="2:15">
      <c r="B27" s="135">
        <v>99.996002197265625</v>
      </c>
      <c r="C27" s="30">
        <v>7.6790519058704376E-2</v>
      </c>
      <c r="D27" s="147"/>
      <c r="E27" s="24"/>
      <c r="F27" s="24"/>
      <c r="G27" s="24"/>
      <c r="H27" s="24"/>
      <c r="I27" s="24"/>
      <c r="J27" s="24"/>
      <c r="K27" s="24"/>
      <c r="L27" s="24"/>
      <c r="M27" s="24"/>
      <c r="N27" s="24"/>
      <c r="O27" s="24"/>
    </row>
    <row r="28" spans="2:15">
      <c r="B28" s="135">
        <v>99.997001647949219</v>
      </c>
      <c r="C28" s="30">
        <v>8.8232956826686859E-2</v>
      </c>
      <c r="D28" s="147"/>
      <c r="E28" s="24"/>
      <c r="F28" s="24"/>
      <c r="G28" s="24"/>
      <c r="H28" s="24"/>
      <c r="I28" s="24"/>
      <c r="J28" s="24"/>
      <c r="K28" s="24"/>
      <c r="L28" s="24"/>
      <c r="M28" s="24"/>
      <c r="N28" s="24"/>
      <c r="O28" s="24"/>
    </row>
    <row r="29" spans="2:15">
      <c r="B29" s="135">
        <v>99.998001098632813</v>
      </c>
      <c r="C29" s="30">
        <v>8.8679119944572449E-2</v>
      </c>
      <c r="D29" s="147"/>
      <c r="E29" s="24"/>
      <c r="F29" s="24"/>
      <c r="G29" s="24"/>
      <c r="H29" s="24"/>
      <c r="I29" s="24"/>
      <c r="J29" s="24"/>
      <c r="K29" s="24"/>
      <c r="L29" s="24"/>
      <c r="M29" s="24"/>
      <c r="N29" s="24"/>
      <c r="O29" s="24"/>
    </row>
    <row r="30" spans="2:15">
      <c r="B30" s="135">
        <v>99.999000549316406</v>
      </c>
      <c r="C30" s="30">
        <v>8.715115487575531E-2</v>
      </c>
      <c r="D30" s="147"/>
      <c r="E30" s="24"/>
      <c r="F30" s="24"/>
      <c r="G30" s="24"/>
      <c r="H30" s="24"/>
      <c r="I30" s="24"/>
      <c r="J30" s="24"/>
      <c r="K30" s="24"/>
      <c r="L30" s="24"/>
      <c r="M30" s="24"/>
      <c r="N30" s="24"/>
      <c r="O30" s="24"/>
    </row>
    <row r="31" spans="2:15">
      <c r="B31" s="129">
        <v>400</v>
      </c>
      <c r="C31" s="30">
        <v>5.8123957365751266E-2</v>
      </c>
      <c r="D31" s="24"/>
      <c r="E31" s="24"/>
      <c r="F31" s="24"/>
      <c r="G31" s="24"/>
      <c r="H31" s="24"/>
      <c r="I31" s="24"/>
      <c r="J31" s="24"/>
      <c r="K31" s="24"/>
      <c r="L31" s="24"/>
      <c r="M31" s="24"/>
      <c r="N31" s="24"/>
      <c r="O31" s="24"/>
    </row>
    <row r="33" spans="2:2">
      <c r="B33" t="s">
        <v>233</v>
      </c>
    </row>
  </sheetData>
  <mergeCells count="3">
    <mergeCell ref="D3:D12"/>
    <mergeCell ref="D13:D21"/>
    <mergeCell ref="D22:D30"/>
  </mergeCells>
  <pageMargins left="0.7" right="0.7" top="0.75" bottom="0.75" header="0.3" footer="0.3"/>
  <ignoredErrors>
    <ignoredError sqref="D3 D13 D22" formulaRange="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8562F-2B27-4E8C-AAFC-DDC8915E49AC}">
  <dimension ref="A1:N32"/>
  <sheetViews>
    <sheetView zoomScale="115" zoomScaleNormal="115" workbookViewId="0">
      <selection activeCell="E12" sqref="E12"/>
    </sheetView>
  </sheetViews>
  <sheetFormatPr baseColWidth="10" defaultRowHeight="14.4"/>
  <cols>
    <col min="2" max="2" width="11.5546875" style="32"/>
    <col min="4" max="12" width="13.6640625" customWidth="1"/>
    <col min="14" max="14" width="12.5546875" customWidth="1"/>
  </cols>
  <sheetData>
    <row r="1" spans="1:14" s="125" customFormat="1">
      <c r="B1" s="32"/>
    </row>
    <row r="2" spans="1:14" s="125" customFormat="1" ht="28.8">
      <c r="C2" s="36"/>
      <c r="D2" s="141" t="s">
        <v>267</v>
      </c>
      <c r="E2" s="141"/>
      <c r="F2" s="141"/>
      <c r="G2" s="141"/>
      <c r="H2" s="141"/>
      <c r="I2" s="141"/>
      <c r="J2" s="141"/>
      <c r="K2" s="141"/>
      <c r="L2" s="141"/>
      <c r="N2" s="140" t="s">
        <v>268</v>
      </c>
    </row>
    <row r="3" spans="1:14">
      <c r="A3" s="125"/>
      <c r="B3" s="56" t="s">
        <v>253</v>
      </c>
      <c r="C3" s="56" t="s">
        <v>254</v>
      </c>
      <c r="D3" s="56">
        <v>2015</v>
      </c>
      <c r="E3" s="56">
        <v>2016</v>
      </c>
      <c r="F3" s="56">
        <v>2017</v>
      </c>
      <c r="G3" s="56">
        <v>2018</v>
      </c>
      <c r="H3" s="56">
        <v>2019</v>
      </c>
      <c r="I3" s="56">
        <v>2020</v>
      </c>
      <c r="J3" s="56">
        <v>2021</v>
      </c>
      <c r="K3" s="56">
        <v>2022</v>
      </c>
      <c r="L3" s="56">
        <v>2023</v>
      </c>
    </row>
    <row r="4" spans="1:14" s="125" customFormat="1">
      <c r="B4" s="56"/>
      <c r="C4" s="56"/>
      <c r="D4" s="56"/>
      <c r="E4" s="56"/>
      <c r="F4" s="56"/>
      <c r="G4" s="56"/>
      <c r="H4" s="56"/>
      <c r="I4" s="56"/>
      <c r="J4" s="56"/>
      <c r="K4" s="56"/>
      <c r="L4" s="56"/>
    </row>
    <row r="5" spans="1:14">
      <c r="B5" s="32" t="s">
        <v>255</v>
      </c>
      <c r="C5" s="125" t="s">
        <v>256</v>
      </c>
      <c r="D5" s="81">
        <v>240535477.8398</v>
      </c>
      <c r="E5" s="81">
        <v>185715848.921</v>
      </c>
      <c r="F5" s="81">
        <v>338262036.70230001</v>
      </c>
      <c r="G5" s="81">
        <v>200133696.19859999</v>
      </c>
      <c r="H5" s="81">
        <v>236552285.78490001</v>
      </c>
      <c r="I5" s="81">
        <v>247007937.9348</v>
      </c>
      <c r="J5" s="81">
        <v>333863247.91369998</v>
      </c>
      <c r="K5" s="81">
        <v>276429491.20880002</v>
      </c>
      <c r="L5" s="81">
        <v>291726407.19999999</v>
      </c>
      <c r="M5" s="32"/>
      <c r="N5" s="30">
        <f>(L5/H5)^(1/4) - 1</f>
        <v>5.3809595206012917E-2</v>
      </c>
    </row>
    <row r="6" spans="1:14">
      <c r="B6" s="32" t="s">
        <v>255</v>
      </c>
      <c r="C6" s="125" t="s">
        <v>257</v>
      </c>
      <c r="D6" s="81">
        <v>6265573.9018000001</v>
      </c>
      <c r="E6" s="81">
        <v>3642877.8664000002</v>
      </c>
      <c r="F6" s="81">
        <v>4326404.0994999995</v>
      </c>
      <c r="G6" s="81">
        <v>3096355.1233999999</v>
      </c>
      <c r="H6" s="81">
        <v>4349699.9030999998</v>
      </c>
      <c r="I6" s="81">
        <v>6799443.9210000001</v>
      </c>
      <c r="J6" s="81">
        <v>7695683.6007000003</v>
      </c>
      <c r="K6" s="81">
        <v>3828321.1475999998</v>
      </c>
      <c r="L6" s="81">
        <v>5344350</v>
      </c>
      <c r="M6" s="32"/>
      <c r="N6" s="30">
        <f>(L6/H6)^(1/4) - 1</f>
        <v>5.2831570475920575E-2</v>
      </c>
    </row>
    <row r="7" spans="1:14">
      <c r="B7" s="32" t="s">
        <v>255</v>
      </c>
      <c r="C7" s="125" t="s">
        <v>258</v>
      </c>
      <c r="D7" s="81">
        <v>2125214.9315999998</v>
      </c>
      <c r="E7" s="81">
        <v>2250778.1102999998</v>
      </c>
      <c r="F7" s="81">
        <v>1554801.4731999999</v>
      </c>
      <c r="G7" s="81">
        <v>2345723.5783000002</v>
      </c>
      <c r="H7" s="81">
        <v>3049677.2354000001</v>
      </c>
      <c r="I7" s="81">
        <v>2985842.7653000001</v>
      </c>
      <c r="J7" s="81">
        <v>3519643.5290999999</v>
      </c>
      <c r="K7" s="81">
        <v>3571007.7590000001</v>
      </c>
      <c r="L7" s="81">
        <v>4065765</v>
      </c>
      <c r="M7" s="32"/>
      <c r="N7" s="30">
        <f>(L7/H7)^(1/4) - 1</f>
        <v>7.4538792356618311E-2</v>
      </c>
    </row>
    <row r="8" spans="1:14">
      <c r="B8" s="32" t="s">
        <v>255</v>
      </c>
      <c r="C8" s="125" t="s">
        <v>259</v>
      </c>
      <c r="D8" s="81">
        <v>432735.37699999998</v>
      </c>
      <c r="E8" s="81">
        <v>437481.74219999998</v>
      </c>
      <c r="F8" s="81">
        <v>416824.46470000001</v>
      </c>
      <c r="G8" s="81">
        <v>474515.30940000003</v>
      </c>
      <c r="H8" s="81">
        <v>446252.12790000002</v>
      </c>
      <c r="I8" s="81">
        <v>495974.10759999999</v>
      </c>
      <c r="J8" s="81">
        <v>567322.94169999997</v>
      </c>
      <c r="K8" s="81">
        <v>662793.47900000005</v>
      </c>
      <c r="L8" s="81">
        <v>735594.79</v>
      </c>
      <c r="M8" s="32"/>
      <c r="N8" s="30">
        <f>(L8/H8)^(1/4) - 1</f>
        <v>0.13309046810491298</v>
      </c>
    </row>
    <row r="9" spans="1:14">
      <c r="C9" s="125"/>
      <c r="D9" s="81"/>
      <c r="E9" s="81"/>
      <c r="F9" s="81"/>
      <c r="G9" s="81"/>
      <c r="H9" s="81"/>
      <c r="I9" s="81"/>
      <c r="J9" s="81"/>
      <c r="K9" s="81"/>
      <c r="L9" s="81"/>
      <c r="M9" s="32"/>
      <c r="N9" s="30"/>
    </row>
    <row r="10" spans="1:14">
      <c r="B10" s="32" t="s">
        <v>260</v>
      </c>
      <c r="C10" s="125" t="s">
        <v>256</v>
      </c>
      <c r="D10" s="81">
        <v>17334873.495200001</v>
      </c>
      <c r="E10" s="81">
        <v>18382563.141399998</v>
      </c>
      <c r="F10" s="81">
        <v>25794003.867899999</v>
      </c>
      <c r="G10" s="81">
        <v>34201871.8244</v>
      </c>
      <c r="H10" s="81">
        <v>26235724.8671</v>
      </c>
      <c r="I10" s="81">
        <v>25659040.2828</v>
      </c>
      <c r="J10" s="81">
        <v>50369706.283399999</v>
      </c>
      <c r="K10" s="81">
        <v>33308774.0678</v>
      </c>
      <c r="L10" s="81">
        <v>40517488.100000001</v>
      </c>
      <c r="M10" s="32"/>
      <c r="N10" s="30">
        <f>(L10/E10)^(1/7) - 1</f>
        <v>0.11952495337432567</v>
      </c>
    </row>
    <row r="11" spans="1:14">
      <c r="B11" s="32" t="s">
        <v>260</v>
      </c>
      <c r="C11" s="125" t="s">
        <v>257</v>
      </c>
      <c r="D11" s="81">
        <v>3328075.3133999999</v>
      </c>
      <c r="E11" s="81">
        <v>3447401.2333</v>
      </c>
      <c r="F11" s="81">
        <v>3796088.8686000002</v>
      </c>
      <c r="G11" s="81">
        <v>5019492.2396</v>
      </c>
      <c r="H11" s="81">
        <v>4887797.7016000003</v>
      </c>
      <c r="I11" s="81">
        <v>4274807.0937000001</v>
      </c>
      <c r="J11" s="81">
        <v>6326346.3750999998</v>
      </c>
      <c r="K11" s="81">
        <v>5900362.6010999996</v>
      </c>
      <c r="L11" s="81">
        <v>5615634.4444000004</v>
      </c>
      <c r="M11" s="32"/>
      <c r="N11" s="30">
        <f>(L11/E11)^(1/7) - 1</f>
        <v>7.2191668185325408E-2</v>
      </c>
    </row>
    <row r="12" spans="1:14">
      <c r="B12" s="32" t="s">
        <v>260</v>
      </c>
      <c r="C12" s="125" t="s">
        <v>258</v>
      </c>
      <c r="D12" s="81">
        <v>947869.55130000005</v>
      </c>
      <c r="E12" s="81">
        <v>966123.55550000002</v>
      </c>
      <c r="F12" s="81">
        <v>1034106.9676</v>
      </c>
      <c r="G12" s="81">
        <v>1194905.6747000001</v>
      </c>
      <c r="H12" s="81">
        <v>1185743.5164999999</v>
      </c>
      <c r="I12" s="81">
        <v>1066585.5323000001</v>
      </c>
      <c r="J12" s="81">
        <v>1371478.0098000001</v>
      </c>
      <c r="K12" s="81">
        <v>1371954.2309000001</v>
      </c>
      <c r="L12" s="81">
        <v>1398803.4889</v>
      </c>
      <c r="M12" s="32"/>
      <c r="N12" s="30">
        <f>(L12/E12)^(1/7) - 1</f>
        <v>5.4291187882988368E-2</v>
      </c>
    </row>
    <row r="13" spans="1:14">
      <c r="B13" s="32" t="s">
        <v>260</v>
      </c>
      <c r="C13" s="125" t="s">
        <v>259</v>
      </c>
      <c r="D13" s="81">
        <v>216947.15160000001</v>
      </c>
      <c r="E13" s="81">
        <v>218808.00380000001</v>
      </c>
      <c r="F13" s="81">
        <v>226384.47289999999</v>
      </c>
      <c r="G13" s="81">
        <v>237548.59239999999</v>
      </c>
      <c r="H13" s="81">
        <v>242073.75440000001</v>
      </c>
      <c r="I13" s="81">
        <v>223731.5809</v>
      </c>
      <c r="J13" s="81">
        <v>252417.64369999999</v>
      </c>
      <c r="K13" s="81">
        <v>265048.98389999999</v>
      </c>
      <c r="L13" s="81">
        <v>277417.2133</v>
      </c>
      <c r="M13" s="32"/>
      <c r="N13" s="30">
        <f>(L13/E13)^(1/7) - 1</f>
        <v>3.4485277763562694E-2</v>
      </c>
    </row>
    <row r="14" spans="1:14">
      <c r="C14" s="125"/>
      <c r="D14" s="81"/>
      <c r="E14" s="81"/>
      <c r="F14" s="81"/>
      <c r="G14" s="81"/>
      <c r="H14" s="81"/>
      <c r="I14" s="81"/>
      <c r="J14" s="81"/>
      <c r="K14" s="81"/>
      <c r="L14" s="81"/>
      <c r="M14" s="32"/>
      <c r="N14" s="30"/>
    </row>
    <row r="15" spans="1:14">
      <c r="B15" s="32" t="s">
        <v>261</v>
      </c>
      <c r="C15" s="125" t="s">
        <v>256</v>
      </c>
      <c r="D15" s="81">
        <v>3754629.7897999999</v>
      </c>
      <c r="E15" s="81">
        <v>6029952.2648999998</v>
      </c>
      <c r="F15" s="81">
        <v>6248873.1036999999</v>
      </c>
      <c r="G15" s="81">
        <v>6201246.4381999997</v>
      </c>
      <c r="H15" s="81">
        <v>6053506.3711000001</v>
      </c>
      <c r="I15" s="81">
        <v>5530279.9611999998</v>
      </c>
      <c r="J15" s="81">
        <v>6538127.4148000004</v>
      </c>
      <c r="K15" s="81">
        <v>7388238.0508000003</v>
      </c>
      <c r="L15" s="81">
        <v>7401704.7000000002</v>
      </c>
      <c r="M15" s="32"/>
      <c r="N15" s="30">
        <f>(L15/D15)^(1/8) - 1</f>
        <v>8.8542974272436403E-2</v>
      </c>
    </row>
    <row r="16" spans="1:14">
      <c r="B16" s="32" t="s">
        <v>261</v>
      </c>
      <c r="C16" s="125" t="s">
        <v>257</v>
      </c>
      <c r="D16" s="81">
        <v>1208183.5308000001</v>
      </c>
      <c r="E16" s="81">
        <v>1637356.2069000001</v>
      </c>
      <c r="F16" s="81">
        <v>1749074.7701999999</v>
      </c>
      <c r="G16" s="81">
        <v>1752125.1221</v>
      </c>
      <c r="H16" s="81">
        <v>1702963.7926</v>
      </c>
      <c r="I16" s="81">
        <v>1555765.3182000001</v>
      </c>
      <c r="J16" s="81">
        <v>1864081.3358</v>
      </c>
      <c r="K16" s="81">
        <v>2100653.9838</v>
      </c>
      <c r="L16" s="81">
        <v>2139200.5556000001</v>
      </c>
      <c r="M16" s="32"/>
      <c r="N16" s="30">
        <f>(L16/D16)^(1/8) - 1</f>
        <v>7.4026071794343506E-2</v>
      </c>
    </row>
    <row r="17" spans="2:14">
      <c r="B17" s="32" t="s">
        <v>261</v>
      </c>
      <c r="C17" s="125" t="s">
        <v>258</v>
      </c>
      <c r="D17" s="81">
        <v>458490.16039999999</v>
      </c>
      <c r="E17" s="81">
        <v>577890.42599999998</v>
      </c>
      <c r="F17" s="81">
        <v>613826.24010000005</v>
      </c>
      <c r="G17" s="81">
        <v>619982.73549999995</v>
      </c>
      <c r="H17" s="81">
        <v>616472.89300000004</v>
      </c>
      <c r="I17" s="81">
        <v>563187.04520000005</v>
      </c>
      <c r="J17" s="81">
        <v>662784.47499999998</v>
      </c>
      <c r="K17" s="81">
        <v>751813.00470000005</v>
      </c>
      <c r="L17" s="81">
        <v>762333.28890000004</v>
      </c>
      <c r="M17" s="32"/>
      <c r="N17" s="30">
        <f>(L17/D17)^(1/8) - 1</f>
        <v>6.5618761329873765E-2</v>
      </c>
    </row>
    <row r="18" spans="2:14">
      <c r="B18" s="32" t="s">
        <v>261</v>
      </c>
      <c r="C18" s="125" t="s">
        <v>259</v>
      </c>
      <c r="D18" s="81">
        <v>145826.16529999999</v>
      </c>
      <c r="E18" s="81">
        <v>166030.00099999999</v>
      </c>
      <c r="F18" s="81">
        <v>177683.63519999999</v>
      </c>
      <c r="G18" s="81">
        <v>180944.25949999999</v>
      </c>
      <c r="H18" s="81">
        <v>181095.86309999999</v>
      </c>
      <c r="I18" s="81">
        <v>165844.12280000001</v>
      </c>
      <c r="J18" s="81">
        <v>181595.84169999999</v>
      </c>
      <c r="K18" s="81">
        <v>195845.39309999999</v>
      </c>
      <c r="L18" s="81">
        <v>205282.42670000001</v>
      </c>
      <c r="M18" s="32"/>
      <c r="N18" s="30">
        <f>(L18/D18)^(1/8) - 1</f>
        <v>4.3673219493195026E-2</v>
      </c>
    </row>
    <row r="19" spans="2:14">
      <c r="C19" s="125"/>
      <c r="D19" s="81"/>
      <c r="E19" s="81"/>
      <c r="F19" s="81"/>
      <c r="G19" s="81"/>
      <c r="H19" s="81"/>
      <c r="I19" s="81"/>
      <c r="J19" s="81"/>
      <c r="K19" s="81"/>
      <c r="L19" s="81"/>
      <c r="M19" s="32"/>
      <c r="N19" s="30"/>
    </row>
    <row r="20" spans="2:14">
      <c r="B20" s="32" t="s">
        <v>262</v>
      </c>
      <c r="C20" s="125" t="s">
        <v>256</v>
      </c>
      <c r="D20" s="81">
        <v>3815394.3404000001</v>
      </c>
      <c r="E20" s="81">
        <v>4184156.5981000001</v>
      </c>
      <c r="F20" s="81">
        <v>4129912.5740999999</v>
      </c>
      <c r="G20" s="81">
        <v>4348548.4359999998</v>
      </c>
      <c r="H20" s="81">
        <v>4367503.9700999996</v>
      </c>
      <c r="I20" s="81">
        <v>4177729.6401</v>
      </c>
      <c r="J20" s="81">
        <v>5030444.9638</v>
      </c>
      <c r="K20" s="81">
        <v>5153645.6860999996</v>
      </c>
      <c r="L20" s="81">
        <v>5313976.2</v>
      </c>
      <c r="M20" s="32"/>
      <c r="N20" s="30">
        <f>(L20/E20)^(1/7) - 1</f>
        <v>3.4737620496357202E-2</v>
      </c>
    </row>
    <row r="21" spans="2:14">
      <c r="B21" s="32" t="s">
        <v>262</v>
      </c>
      <c r="C21" s="125" t="s">
        <v>257</v>
      </c>
      <c r="D21" s="81">
        <v>1429240.1646</v>
      </c>
      <c r="E21" s="81">
        <v>1514808.4890000001</v>
      </c>
      <c r="F21" s="81">
        <v>1507419.5401999999</v>
      </c>
      <c r="G21" s="81">
        <v>1586924.0427000001</v>
      </c>
      <c r="H21" s="81">
        <v>1657229.496</v>
      </c>
      <c r="I21" s="81">
        <v>1585234.6346</v>
      </c>
      <c r="J21" s="81">
        <v>1833679.8017</v>
      </c>
      <c r="K21" s="81">
        <v>1878739.422</v>
      </c>
      <c r="L21" s="81">
        <v>2080737.1111000001</v>
      </c>
      <c r="M21" s="32"/>
      <c r="N21" s="30">
        <f>(L21/E21)^(1/7) - 1</f>
        <v>4.6391520929042418E-2</v>
      </c>
    </row>
    <row r="22" spans="2:14">
      <c r="B22" s="32" t="s">
        <v>262</v>
      </c>
      <c r="C22" s="125" t="s">
        <v>258</v>
      </c>
      <c r="D22" s="81">
        <v>617635.92819999997</v>
      </c>
      <c r="E22" s="81">
        <v>642487.73849999998</v>
      </c>
      <c r="F22" s="81">
        <v>672955.15190000006</v>
      </c>
      <c r="G22" s="81">
        <v>697113.06160000002</v>
      </c>
      <c r="H22" s="81">
        <v>697179.30519999994</v>
      </c>
      <c r="I22" s="81">
        <v>666891.81180000002</v>
      </c>
      <c r="J22" s="81">
        <v>784056.19099999999</v>
      </c>
      <c r="K22" s="81">
        <v>798464.25439999998</v>
      </c>
      <c r="L22" s="81">
        <v>868169.62219999998</v>
      </c>
      <c r="M22" s="32"/>
      <c r="N22" s="30">
        <f>(L22/E22)^(1/7) - 1</f>
        <v>4.3943767809603962E-2</v>
      </c>
    </row>
    <row r="23" spans="2:14">
      <c r="B23" s="32" t="s">
        <v>262</v>
      </c>
      <c r="C23" s="125" t="s">
        <v>259</v>
      </c>
      <c r="D23" s="81">
        <v>206125.93859999999</v>
      </c>
      <c r="E23" s="81">
        <v>210954.21599999999</v>
      </c>
      <c r="F23" s="81">
        <v>223717.99549999999</v>
      </c>
      <c r="G23" s="81">
        <v>232622.16759999999</v>
      </c>
      <c r="H23" s="81">
        <v>233081.1139</v>
      </c>
      <c r="I23" s="81">
        <v>223791.81280000001</v>
      </c>
      <c r="J23" s="81">
        <v>265243.4915</v>
      </c>
      <c r="K23" s="81">
        <v>284402.84499999997</v>
      </c>
      <c r="L23" s="81">
        <v>309659.31109999999</v>
      </c>
      <c r="M23" s="32"/>
      <c r="N23" s="30">
        <f>(L23/E23)^(1/7) - 1</f>
        <v>5.6364273526328335E-2</v>
      </c>
    </row>
    <row r="24" spans="2:14">
      <c r="C24" s="125"/>
      <c r="D24" s="81"/>
      <c r="E24" s="81"/>
      <c r="F24" s="81"/>
      <c r="G24" s="81"/>
      <c r="H24" s="81"/>
      <c r="I24" s="81"/>
      <c r="J24" s="81"/>
      <c r="K24" s="81"/>
      <c r="L24" s="81"/>
      <c r="M24" s="32"/>
      <c r="N24" s="30"/>
    </row>
    <row r="25" spans="2:14">
      <c r="B25" s="32" t="s">
        <v>263</v>
      </c>
      <c r="C25" s="125" t="s">
        <v>256</v>
      </c>
      <c r="D25" s="81">
        <v>125035596.1153</v>
      </c>
      <c r="E25" s="81">
        <v>123980935.42990001</v>
      </c>
      <c r="F25" s="81">
        <v>133630863.23890001</v>
      </c>
      <c r="G25" s="81">
        <v>130350215.3558</v>
      </c>
      <c r="H25" s="81">
        <v>124072040.3002</v>
      </c>
      <c r="I25" s="81">
        <v>115698282.51880001</v>
      </c>
      <c r="J25" s="81">
        <v>157651122.435</v>
      </c>
      <c r="K25" s="81">
        <v>190826302.46160001</v>
      </c>
      <c r="L25" s="81">
        <v>201056846.19999999</v>
      </c>
      <c r="M25" s="32"/>
      <c r="N25" s="30">
        <f>(L25/G25)^(1/7) - 1</f>
        <v>6.386551221830894E-2</v>
      </c>
    </row>
    <row r="26" spans="2:14">
      <c r="B26" s="32" t="s">
        <v>263</v>
      </c>
      <c r="C26" s="125" t="s">
        <v>257</v>
      </c>
      <c r="D26" s="81">
        <v>16089815.0842</v>
      </c>
      <c r="E26" s="81">
        <v>15903493.853599999</v>
      </c>
      <c r="F26" s="81">
        <v>16535317.728599999</v>
      </c>
      <c r="G26" s="81">
        <v>17458262.403499998</v>
      </c>
      <c r="H26" s="81">
        <v>17271469.272599999</v>
      </c>
      <c r="I26" s="81">
        <v>16187438.2788</v>
      </c>
      <c r="J26" s="81">
        <v>20663851.056200001</v>
      </c>
      <c r="K26" s="81">
        <v>23696086.9221</v>
      </c>
      <c r="L26" s="81">
        <v>24972625</v>
      </c>
      <c r="M26" s="32"/>
      <c r="N26" s="30">
        <f>(L26/G26)^(1/7) - 1</f>
        <v>5.2468304009395617E-2</v>
      </c>
    </row>
    <row r="27" spans="2:14">
      <c r="B27" s="32" t="s">
        <v>263</v>
      </c>
      <c r="C27" s="125" t="s">
        <v>258</v>
      </c>
      <c r="D27" s="81">
        <v>3438371.4426000002</v>
      </c>
      <c r="E27" s="81">
        <v>3425939.5638000001</v>
      </c>
      <c r="F27" s="81">
        <v>3576243.1365999999</v>
      </c>
      <c r="G27" s="81">
        <v>3819995.9479</v>
      </c>
      <c r="H27" s="81">
        <v>3873743.8226000001</v>
      </c>
      <c r="I27" s="81">
        <v>3588348.3868999998</v>
      </c>
      <c r="J27" s="81">
        <v>4387770.9264000002</v>
      </c>
      <c r="K27" s="81">
        <v>4958096.9022000004</v>
      </c>
      <c r="L27" s="81">
        <v>5225195.8333000001</v>
      </c>
      <c r="M27" s="32"/>
      <c r="N27" s="30">
        <f>(L27/G27)^(1/7) - 1</f>
        <v>4.5765327216810592E-2</v>
      </c>
    </row>
    <row r="28" spans="2:14">
      <c r="B28" s="32" t="s">
        <v>263</v>
      </c>
      <c r="C28" s="125" t="s">
        <v>259</v>
      </c>
      <c r="D28" s="81">
        <v>552921.27650000004</v>
      </c>
      <c r="E28" s="81">
        <v>556342.54720000003</v>
      </c>
      <c r="F28" s="81">
        <v>591619.9094</v>
      </c>
      <c r="G28" s="81">
        <v>626818.29969999997</v>
      </c>
      <c r="H28" s="81">
        <v>649509.60320000001</v>
      </c>
      <c r="I28" s="81">
        <v>600482.12210000004</v>
      </c>
      <c r="J28" s="81">
        <v>698743.02960000001</v>
      </c>
      <c r="K28" s="81">
        <v>776534.05610000005</v>
      </c>
      <c r="L28" s="81">
        <v>821274</v>
      </c>
      <c r="M28" s="32"/>
      <c r="N28" s="30">
        <f>(L28/G28)^(1/7) - 1</f>
        <v>3.9354671637484406E-2</v>
      </c>
    </row>
    <row r="30" spans="2:14">
      <c r="B30" s="29" t="s">
        <v>264</v>
      </c>
    </row>
    <row r="31" spans="2:14">
      <c r="B31" s="29" t="s">
        <v>265</v>
      </c>
    </row>
    <row r="32" spans="2:14">
      <c r="B32" s="29" t="s">
        <v>266</v>
      </c>
    </row>
  </sheetData>
  <mergeCells count="1">
    <mergeCell ref="D2:L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README</vt:lpstr>
      <vt:lpstr>FRA</vt:lpstr>
      <vt:lpstr>USA</vt:lpstr>
      <vt:lpstr>NDL</vt:lpstr>
      <vt:lpstr>BRA</vt:lpstr>
      <vt:lpstr>ITA</vt:lpstr>
      <vt:lpstr>Bozio et al. (2020)</vt:lpstr>
      <vt:lpstr>Bach et al. (2025)</vt:lpstr>
      <vt:lpstr>Saez &amp; Zucman (2019)</vt:lpstr>
      <vt:lpstr>Balkir et al. (2025)</vt:lpstr>
      <vt:lpstr>Palomo et al. (2025)</vt:lpstr>
      <vt:lpstr>Bruil et al. (2025)</vt:lpstr>
      <vt:lpstr>Billionnaires List</vt:lpstr>
      <vt:lpstr>Guzzardi et al. (2024)</vt:lpstr>
      <vt:lpstr>Income to wealth ratios</vt:lpstr>
      <vt:lpstr>WID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Léonard Mouillet</dc:creator>
  <cp:lastModifiedBy>Léonard Mouillet</cp:lastModifiedBy>
  <dcterms:created xsi:type="dcterms:W3CDTF">2026-01-08T13:27:51Z</dcterms:created>
  <dcterms:modified xsi:type="dcterms:W3CDTF">2026-01-27T15:00:56Z</dcterms:modified>
</cp:coreProperties>
</file>
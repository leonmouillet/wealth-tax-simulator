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4.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5.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6.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defaultThemeVersion="166925"/>
  <mc:AlternateContent xmlns:mc="http://schemas.openxmlformats.org/markup-compatibility/2006">
    <mc:Choice Requires="x15">
      <x15ac:absPath xmlns:x15ac="http://schemas.microsoft.com/office/spreadsheetml/2010/11/ac" url="C:\Users\l.mouillet\wealth-tax-simulator\simulations\"/>
    </mc:Choice>
  </mc:AlternateContent>
  <xr:revisionPtr revIDLastSave="0" documentId="13_ncr:1_{FDB33959-6DF2-4A9A-A615-57CBC6FA9993}" xr6:coauthVersionLast="47" xr6:coauthVersionMax="47" xr10:uidLastSave="{00000000-0000-0000-0000-000000000000}"/>
  <bookViews>
    <workbookView xWindow="28665" yWindow="-1425" windowWidth="29070" windowHeight="15750" activeTab="3" xr2:uid="{A69BB1AE-355D-4D40-8FE7-BE3B860A349E}"/>
  </bookViews>
  <sheets>
    <sheet name="README" sheetId="14" r:id="rId1"/>
    <sheet name="FRA" sheetId="7" r:id="rId2"/>
    <sheet name="NDL" sheetId="13" r:id="rId3"/>
    <sheet name="USA" sheetId="11" r:id="rId4"/>
    <sheet name="BRA" sheetId="3" r:id="rId5"/>
    <sheet name="ITA" sheetId="17" r:id="rId6"/>
    <sheet name="Summary" sheetId="24" r:id="rId7"/>
    <sheet name="Data Sources" sheetId="26" r:id="rId8"/>
    <sheet name="Income to wealth ratios" sheetId="20" r:id="rId9"/>
    <sheet name="Insee (2024)" sheetId="27" r:id="rId10"/>
    <sheet name="Bach et al. (2025)" sheetId="6" r:id="rId11"/>
    <sheet name="Bozio et al. (2020)" sheetId="28" r:id="rId12"/>
    <sheet name="Piketty, Saez, Zucman (2018)" sheetId="22" r:id="rId13"/>
    <sheet name="Balkir et al. (2025)" sheetId="10" r:id="rId14"/>
    <sheet name="Bruil et al. (2025)" sheetId="4" r:id="rId15"/>
    <sheet name="Palomo et al. (2025)" sheetId="12" r:id="rId16"/>
    <sheet name="Guzzardi et al. (2024)" sheetId="16" r:id="rId17"/>
    <sheet name="WID" sheetId="21" r:id="rId18"/>
  </sheets>
  <calcPr calcId="191029"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F13" i="7" l="1"/>
  <c r="W12" i="6"/>
  <c r="AQ10" i="27"/>
  <c r="AQ11" i="27"/>
  <c r="AQ12" i="27"/>
  <c r="AQ13" i="27"/>
  <c r="AQ14" i="27"/>
  <c r="Y10" i="27"/>
  <c r="Z10" i="27"/>
  <c r="AA10" i="27"/>
  <c r="AB10" i="27"/>
  <c r="AC10" i="27"/>
  <c r="AD10" i="27"/>
  <c r="AE10" i="27"/>
  <c r="AF10" i="27"/>
  <c r="AG10" i="27"/>
  <c r="AH10" i="27"/>
  <c r="AI10" i="27"/>
  <c r="AJ10" i="27"/>
  <c r="AK10" i="27"/>
  <c r="AL10" i="27"/>
  <c r="AM10" i="27"/>
  <c r="AN10" i="27"/>
  <c r="AO10" i="27"/>
  <c r="AP10" i="27"/>
  <c r="Y11" i="27"/>
  <c r="Z11" i="27"/>
  <c r="AA11" i="27"/>
  <c r="AB11" i="27"/>
  <c r="AC11" i="27"/>
  <c r="AD11" i="27"/>
  <c r="AE11" i="27"/>
  <c r="AF11" i="27"/>
  <c r="AG11" i="27"/>
  <c r="AH11" i="27"/>
  <c r="AI11" i="27"/>
  <c r="AJ11" i="27"/>
  <c r="AK11" i="27"/>
  <c r="AL11" i="27"/>
  <c r="AM11" i="27"/>
  <c r="AN11" i="27"/>
  <c r="AO11" i="27"/>
  <c r="AP11" i="27"/>
  <c r="Y12" i="27"/>
  <c r="Z12" i="27"/>
  <c r="AA12" i="27"/>
  <c r="AB12" i="27"/>
  <c r="AC12" i="27"/>
  <c r="AD12" i="27"/>
  <c r="AE12" i="27"/>
  <c r="AF12" i="27"/>
  <c r="AG12" i="27"/>
  <c r="AH12" i="27"/>
  <c r="AI12" i="27"/>
  <c r="AJ12" i="27"/>
  <c r="AK12" i="27"/>
  <c r="AL12" i="27"/>
  <c r="AM12" i="27"/>
  <c r="AN12" i="27"/>
  <c r="AO12" i="27"/>
  <c r="AP12" i="27"/>
  <c r="Y13" i="27"/>
  <c r="Z13" i="27"/>
  <c r="AA13" i="27"/>
  <c r="AB13" i="27"/>
  <c r="AC13" i="27"/>
  <c r="AD13" i="27"/>
  <c r="AE13" i="27"/>
  <c r="AF13" i="27"/>
  <c r="AG13" i="27"/>
  <c r="AH13" i="27"/>
  <c r="AI13" i="27"/>
  <c r="AJ13" i="27"/>
  <c r="AK13" i="27"/>
  <c r="AL13" i="27"/>
  <c r="AM13" i="27"/>
  <c r="AN13" i="27"/>
  <c r="AO13" i="27"/>
  <c r="AP13" i="27"/>
  <c r="Y14" i="27"/>
  <c r="Z14" i="27"/>
  <c r="AA14" i="27"/>
  <c r="AB14" i="27"/>
  <c r="AC14" i="27"/>
  <c r="AD14" i="27"/>
  <c r="AE14" i="27"/>
  <c r="AF14" i="27"/>
  <c r="AG14" i="27"/>
  <c r="AH14" i="27"/>
  <c r="AI14" i="27"/>
  <c r="AJ14" i="27"/>
  <c r="AK14" i="27"/>
  <c r="AL14" i="27"/>
  <c r="AM14" i="27"/>
  <c r="AN14" i="27"/>
  <c r="AO14" i="27"/>
  <c r="AP14" i="27"/>
  <c r="X11" i="27"/>
  <c r="X12" i="27"/>
  <c r="X13" i="27"/>
  <c r="X14" i="27"/>
  <c r="X10" i="27"/>
  <c r="AA32" i="20"/>
  <c r="AA23" i="20"/>
  <c r="AA14" i="20"/>
  <c r="AA5" i="20"/>
  <c r="V32" i="20"/>
  <c r="G17" i="11"/>
  <c r="T10" i="6"/>
  <c r="T11" i="6"/>
  <c r="T12" i="6"/>
  <c r="T13" i="6"/>
  <c r="T14" i="6"/>
  <c r="T15" i="6"/>
  <c r="T16" i="6"/>
  <c r="T17" i="6"/>
  <c r="T18" i="6"/>
  <c r="T19" i="6"/>
  <c r="T20" i="6"/>
  <c r="T21" i="6"/>
  <c r="T22" i="6"/>
  <c r="T23" i="6"/>
  <c r="T24" i="6"/>
  <c r="T25" i="6"/>
  <c r="T26" i="6"/>
  <c r="T27" i="6"/>
  <c r="T28" i="6"/>
  <c r="T29" i="6"/>
  <c r="T30" i="6"/>
  <c r="T31" i="6"/>
  <c r="T32" i="6"/>
  <c r="T33" i="6"/>
  <c r="T34" i="6"/>
  <c r="T35" i="6"/>
  <c r="T36" i="6"/>
  <c r="T37" i="6"/>
  <c r="T38" i="6"/>
  <c r="T39" i="6"/>
  <c r="T40" i="6"/>
  <c r="T41" i="6"/>
  <c r="T42" i="6"/>
  <c r="T43" i="6"/>
  <c r="T44" i="6"/>
  <c r="T45" i="6"/>
  <c r="T9" i="6"/>
  <c r="T4" i="6"/>
  <c r="T5" i="6"/>
  <c r="T6" i="6"/>
  <c r="T7" i="6"/>
  <c r="T8" i="6"/>
  <c r="AN9" i="6"/>
  <c r="AM9" i="6"/>
  <c r="B46" i="27"/>
  <c r="B41" i="27"/>
  <c r="C41" i="27"/>
  <c r="V46" i="27"/>
  <c r="C46" i="27"/>
  <c r="D46" i="27"/>
  <c r="E46" i="27"/>
  <c r="F46" i="27"/>
  <c r="G46" i="27"/>
  <c r="H46" i="27"/>
  <c r="I46" i="27"/>
  <c r="J46" i="27"/>
  <c r="K46" i="27"/>
  <c r="L46" i="27"/>
  <c r="M46" i="27"/>
  <c r="N46" i="27"/>
  <c r="O46" i="27"/>
  <c r="P46" i="27"/>
  <c r="Q46" i="27"/>
  <c r="R46" i="27"/>
  <c r="S46" i="27"/>
  <c r="T46" i="27"/>
  <c r="U46" i="27"/>
  <c r="B43" i="27"/>
  <c r="B45" i="27"/>
  <c r="B44" i="27"/>
  <c r="U43" i="27"/>
  <c r="X43" i="27" s="1"/>
  <c r="V43" i="27"/>
  <c r="V61" i="27" s="1"/>
  <c r="AM19" i="6"/>
  <c r="V44" i="27"/>
  <c r="D45" i="27"/>
  <c r="E45" i="27"/>
  <c r="F45" i="27"/>
  <c r="G45" i="27"/>
  <c r="H45" i="27"/>
  <c r="I45" i="27"/>
  <c r="J45" i="27"/>
  <c r="K45" i="27"/>
  <c r="L45" i="27"/>
  <c r="M45" i="27"/>
  <c r="N45" i="27"/>
  <c r="O45" i="27"/>
  <c r="P45" i="27"/>
  <c r="Q45" i="27"/>
  <c r="R45" i="27"/>
  <c r="S45" i="27"/>
  <c r="T45" i="27"/>
  <c r="U45" i="27"/>
  <c r="V45" i="27"/>
  <c r="C45" i="27"/>
  <c r="C44" i="27"/>
  <c r="D44" i="27"/>
  <c r="E44" i="27"/>
  <c r="F44" i="27"/>
  <c r="G44" i="27"/>
  <c r="H44" i="27"/>
  <c r="I44" i="27"/>
  <c r="J44" i="27"/>
  <c r="K44" i="27"/>
  <c r="L44" i="27"/>
  <c r="M44" i="27"/>
  <c r="N44" i="27"/>
  <c r="O44" i="27"/>
  <c r="P44" i="27"/>
  <c r="Q44" i="27"/>
  <c r="R44" i="27"/>
  <c r="S44" i="27"/>
  <c r="T44" i="27"/>
  <c r="U44" i="27"/>
  <c r="C42" i="27"/>
  <c r="B42" i="27"/>
  <c r="AN5" i="6"/>
  <c r="AM5" i="6"/>
  <c r="AN12" i="6"/>
  <c r="AM12" i="6"/>
  <c r="V31" i="6"/>
  <c r="V32" i="6"/>
  <c r="V33" i="6"/>
  <c r="V34" i="6"/>
  <c r="V35" i="6"/>
  <c r="V36" i="6"/>
  <c r="V37" i="6"/>
  <c r="V38" i="6"/>
  <c r="V39" i="6"/>
  <c r="V40" i="6"/>
  <c r="V41" i="6"/>
  <c r="V42" i="6"/>
  <c r="V43" i="6"/>
  <c r="V44" i="6"/>
  <c r="V45" i="6"/>
  <c r="S32" i="6"/>
  <c r="S33" i="6"/>
  <c r="S34" i="6"/>
  <c r="S35" i="6"/>
  <c r="S36" i="6"/>
  <c r="S37" i="6"/>
  <c r="S38" i="6"/>
  <c r="S39" i="6"/>
  <c r="S40" i="6"/>
  <c r="S41" i="6"/>
  <c r="S42" i="6"/>
  <c r="S43" i="6"/>
  <c r="S44" i="6"/>
  <c r="S45" i="6"/>
  <c r="S31" i="6"/>
  <c r="W31" i="6" s="1"/>
  <c r="L11" i="28"/>
  <c r="K11" i="28"/>
  <c r="L5" i="28"/>
  <c r="K5" i="28"/>
  <c r="AN19" i="6"/>
  <c r="AE17" i="6"/>
  <c r="AD17" i="6"/>
  <c r="U31" i="6" s="1"/>
  <c r="AC17" i="6"/>
  <c r="AB17" i="6"/>
  <c r="AA17" i="6"/>
  <c r="K8" i="28"/>
  <c r="K6" i="28"/>
  <c r="K9" i="28"/>
  <c r="L9" i="28"/>
  <c r="L8" i="28"/>
  <c r="L7" i="28"/>
  <c r="K7" i="28"/>
  <c r="L6" i="28"/>
  <c r="X44" i="27" l="1"/>
  <c r="Y45" i="27"/>
  <c r="X45" i="27"/>
  <c r="Y44" i="27"/>
  <c r="X46" i="27"/>
  <c r="AN8" i="6"/>
  <c r="Y46" i="27"/>
  <c r="Y43" i="27"/>
  <c r="V76" i="27"/>
  <c r="U76" i="27"/>
  <c r="V62" i="27"/>
  <c r="AN15" i="6" s="1"/>
  <c r="U62" i="27"/>
  <c r="AM15" i="6" s="1"/>
  <c r="U23" i="6" l="1"/>
  <c r="U24" i="6"/>
  <c r="U25" i="6"/>
  <c r="U26" i="6"/>
  <c r="U27" i="6"/>
  <c r="U28" i="6"/>
  <c r="U29" i="6"/>
  <c r="U30" i="6"/>
  <c r="U32" i="6"/>
  <c r="W32" i="6" s="1"/>
  <c r="U33" i="6"/>
  <c r="W33" i="6" s="1"/>
  <c r="U34" i="6"/>
  <c r="W34" i="6" s="1"/>
  <c r="U35" i="6"/>
  <c r="W35" i="6" s="1"/>
  <c r="U36" i="6"/>
  <c r="W36" i="6" s="1"/>
  <c r="U37" i="6"/>
  <c r="W37" i="6" s="1"/>
  <c r="U38" i="6"/>
  <c r="W38" i="6" s="1"/>
  <c r="U39" i="6"/>
  <c r="W39" i="6" s="1"/>
  <c r="U40" i="6"/>
  <c r="W40" i="6" s="1"/>
  <c r="U41" i="6"/>
  <c r="W41" i="6" s="1"/>
  <c r="U42" i="6"/>
  <c r="W42" i="6" s="1"/>
  <c r="U43" i="6"/>
  <c r="W43" i="6" s="1"/>
  <c r="U44" i="6"/>
  <c r="W44" i="6" s="1"/>
  <c r="U45" i="6"/>
  <c r="U22" i="6"/>
  <c r="U14" i="6"/>
  <c r="U15" i="6"/>
  <c r="U16" i="6"/>
  <c r="U17" i="6"/>
  <c r="U18" i="6"/>
  <c r="U19" i="6"/>
  <c r="U20" i="6"/>
  <c r="U21" i="6"/>
  <c r="U13" i="6"/>
  <c r="U10" i="6"/>
  <c r="U11" i="6"/>
  <c r="U12" i="6"/>
  <c r="U9" i="6"/>
  <c r="AN20" i="6" s="1"/>
  <c r="U5" i="6"/>
  <c r="U6" i="6"/>
  <c r="U7" i="6"/>
  <c r="U8" i="6"/>
  <c r="U4" i="6"/>
  <c r="S23" i="6"/>
  <c r="W23" i="6" s="1"/>
  <c r="S24" i="6"/>
  <c r="W24" i="6" s="1"/>
  <c r="S25" i="6"/>
  <c r="W25" i="6" s="1"/>
  <c r="S26" i="6"/>
  <c r="W26" i="6" s="1"/>
  <c r="S27" i="6"/>
  <c r="W27" i="6" s="1"/>
  <c r="S28" i="6"/>
  <c r="W28" i="6" s="1"/>
  <c r="S29" i="6"/>
  <c r="W29" i="6" s="1"/>
  <c r="S30" i="6"/>
  <c r="W30" i="6" s="1"/>
  <c r="S22" i="6"/>
  <c r="W22" i="6" s="1"/>
  <c r="S4" i="6"/>
  <c r="W4" i="6" s="1"/>
  <c r="S5" i="6"/>
  <c r="S6" i="6"/>
  <c r="S7" i="6"/>
  <c r="S8" i="6"/>
  <c r="S9" i="6"/>
  <c r="S14" i="6"/>
  <c r="V23" i="6"/>
  <c r="V24" i="6"/>
  <c r="V25" i="6"/>
  <c r="V26" i="6"/>
  <c r="V27" i="6"/>
  <c r="V28" i="6"/>
  <c r="V29" i="6"/>
  <c r="V30" i="6"/>
  <c r="V22" i="6"/>
  <c r="V4" i="6"/>
  <c r="S15" i="6"/>
  <c r="S16" i="6"/>
  <c r="S17" i="6"/>
  <c r="S18" i="6"/>
  <c r="S19" i="6"/>
  <c r="S20" i="6"/>
  <c r="S21" i="6"/>
  <c r="S13" i="6"/>
  <c r="S10" i="6"/>
  <c r="S11" i="6"/>
  <c r="S12" i="6"/>
  <c r="V21" i="6"/>
  <c r="D43" i="27"/>
  <c r="E43" i="27"/>
  <c r="F43" i="27"/>
  <c r="G43" i="27"/>
  <c r="H43" i="27"/>
  <c r="I43" i="27"/>
  <c r="J43" i="27"/>
  <c r="K43" i="27"/>
  <c r="L43" i="27"/>
  <c r="M43" i="27"/>
  <c r="N43" i="27"/>
  <c r="O43" i="27"/>
  <c r="P43" i="27"/>
  <c r="Q43" i="27"/>
  <c r="R43" i="27"/>
  <c r="S43" i="27"/>
  <c r="T43" i="27"/>
  <c r="C43" i="27"/>
  <c r="W21" i="6" l="1"/>
  <c r="W19" i="6"/>
  <c r="G18" i="7"/>
  <c r="W45" i="6"/>
  <c r="W13" i="6"/>
  <c r="W14" i="6"/>
  <c r="AB14" i="6"/>
  <c r="G16" i="7"/>
  <c r="AM21" i="6"/>
  <c r="AM20" i="6"/>
  <c r="B78" i="27"/>
  <c r="N62" i="27"/>
  <c r="N76" i="27"/>
  <c r="L62" i="27"/>
  <c r="L76" i="27"/>
  <c r="H62" i="27"/>
  <c r="H76" i="27"/>
  <c r="J62" i="27"/>
  <c r="J76" i="27"/>
  <c r="F62" i="27"/>
  <c r="F76" i="27"/>
  <c r="E62" i="27"/>
  <c r="E76" i="27"/>
  <c r="D62" i="27"/>
  <c r="D76" i="27"/>
  <c r="O62" i="27"/>
  <c r="O76" i="27"/>
  <c r="M62" i="27"/>
  <c r="M76" i="27"/>
  <c r="K62" i="27"/>
  <c r="K76" i="27"/>
  <c r="C62" i="27"/>
  <c r="C76" i="27"/>
  <c r="I62" i="27"/>
  <c r="I76" i="27"/>
  <c r="G62" i="27"/>
  <c r="G76" i="27"/>
  <c r="B62" i="27"/>
  <c r="B69" i="27" s="1"/>
  <c r="B79" i="27"/>
  <c r="B76" i="27"/>
  <c r="T62" i="27"/>
  <c r="T76" i="27"/>
  <c r="S62" i="27"/>
  <c r="S76" i="27"/>
  <c r="R62" i="27"/>
  <c r="R76" i="27"/>
  <c r="Q62" i="27"/>
  <c r="Q76" i="27"/>
  <c r="P62" i="27"/>
  <c r="P76" i="27"/>
  <c r="AM8" i="6"/>
  <c r="J78" i="27"/>
  <c r="J79" i="27"/>
  <c r="G78" i="27"/>
  <c r="G79" i="27"/>
  <c r="B77" i="27"/>
  <c r="F77" i="27"/>
  <c r="F79" i="27"/>
  <c r="K78" i="27"/>
  <c r="K79" i="27"/>
  <c r="I78" i="27"/>
  <c r="I79" i="27"/>
  <c r="H78" i="27"/>
  <c r="H79" i="27"/>
  <c r="E78" i="27"/>
  <c r="E79" i="27"/>
  <c r="S78" i="27"/>
  <c r="S79" i="27"/>
  <c r="R78" i="27"/>
  <c r="R79" i="27"/>
  <c r="Q77" i="27"/>
  <c r="Q79" i="27"/>
  <c r="M78" i="27"/>
  <c r="M79" i="27"/>
  <c r="L78" i="27"/>
  <c r="L79" i="27"/>
  <c r="V78" i="27"/>
  <c r="AN23" i="6" s="1"/>
  <c r="AN24" i="6" s="1"/>
  <c r="V79" i="27"/>
  <c r="AB7" i="6" s="1"/>
  <c r="U79" i="27"/>
  <c r="AA7" i="6" s="1"/>
  <c r="T77" i="27"/>
  <c r="T79" i="27"/>
  <c r="P77" i="27"/>
  <c r="P79" i="27"/>
  <c r="C61" i="27"/>
  <c r="C79" i="27"/>
  <c r="D78" i="27"/>
  <c r="D79" i="27"/>
  <c r="O77" i="27"/>
  <c r="O79" i="27"/>
  <c r="N77" i="27"/>
  <c r="N79" i="27"/>
  <c r="M77" i="27"/>
  <c r="L77" i="27"/>
  <c r="K77" i="27"/>
  <c r="J77" i="27"/>
  <c r="I77" i="27"/>
  <c r="H77" i="27"/>
  <c r="G77" i="27"/>
  <c r="AN21" i="6"/>
  <c r="G15" i="7"/>
  <c r="G17" i="7"/>
  <c r="G14" i="7"/>
  <c r="AA14" i="6"/>
  <c r="AB10" i="6"/>
  <c r="AA10" i="6"/>
  <c r="Q78" i="27"/>
  <c r="F78" i="27"/>
  <c r="U78" i="27"/>
  <c r="AM23" i="6" s="1"/>
  <c r="AM24" i="6" s="1"/>
  <c r="C78" i="27"/>
  <c r="T78" i="27"/>
  <c r="E77" i="27"/>
  <c r="V77" i="27"/>
  <c r="D77" i="27"/>
  <c r="C77" i="27"/>
  <c r="P78" i="27"/>
  <c r="O78" i="27"/>
  <c r="S77" i="27"/>
  <c r="R77" i="27"/>
  <c r="U77" i="27"/>
  <c r="N78" i="27"/>
  <c r="V13" i="6"/>
  <c r="V20" i="6"/>
  <c r="W20" i="6" s="1"/>
  <c r="V19" i="6"/>
  <c r="V18" i="6"/>
  <c r="W18" i="6" s="1"/>
  <c r="V17" i="6"/>
  <c r="W17" i="6" s="1"/>
  <c r="V16" i="6"/>
  <c r="W16" i="6" s="1"/>
  <c r="V15" i="6"/>
  <c r="W15" i="6" s="1"/>
  <c r="V14" i="6"/>
  <c r="AB15" i="6" l="1"/>
  <c r="AA15" i="6"/>
  <c r="AA11" i="6"/>
  <c r="D14" i="7"/>
  <c r="V60" i="27"/>
  <c r="V41" i="27"/>
  <c r="R60" i="27"/>
  <c r="C60" i="27"/>
  <c r="D60" i="27"/>
  <c r="E60" i="27"/>
  <c r="F60" i="27"/>
  <c r="G60" i="27"/>
  <c r="H60" i="27"/>
  <c r="I60" i="27"/>
  <c r="J60" i="27"/>
  <c r="K60" i="27"/>
  <c r="L60" i="27"/>
  <c r="M60" i="27"/>
  <c r="N60" i="27"/>
  <c r="O60" i="27"/>
  <c r="P60" i="27"/>
  <c r="Q60" i="27"/>
  <c r="R61" i="27"/>
  <c r="S60" i="27"/>
  <c r="T60" i="27"/>
  <c r="U60" i="27"/>
  <c r="U42" i="27"/>
  <c r="X42" i="27" s="1"/>
  <c r="F42" i="27"/>
  <c r="F59" i="27" s="1"/>
  <c r="G42" i="27"/>
  <c r="H42" i="27"/>
  <c r="I42" i="27"/>
  <c r="J42" i="27"/>
  <c r="K42" i="27"/>
  <c r="L42" i="27"/>
  <c r="M42" i="27"/>
  <c r="N42" i="27"/>
  <c r="O42" i="27"/>
  <c r="P42" i="27"/>
  <c r="P59" i="27" s="1"/>
  <c r="Q42" i="27"/>
  <c r="R42" i="27"/>
  <c r="R59" i="27" s="1"/>
  <c r="S42" i="27"/>
  <c r="T42" i="27"/>
  <c r="E42" i="27"/>
  <c r="D42" i="27"/>
  <c r="C69" i="27" s="1"/>
  <c r="B58" i="27"/>
  <c r="B65" i="27" s="1"/>
  <c r="C58" i="27"/>
  <c r="D41" i="27"/>
  <c r="E41" i="27"/>
  <c r="F41" i="27"/>
  <c r="G41" i="27"/>
  <c r="H41" i="27"/>
  <c r="I41" i="27"/>
  <c r="J41" i="27"/>
  <c r="K41" i="27"/>
  <c r="L41" i="27"/>
  <c r="M41" i="27"/>
  <c r="N41" i="27"/>
  <c r="O41" i="27"/>
  <c r="P41" i="27"/>
  <c r="Q41" i="27"/>
  <c r="R41" i="27"/>
  <c r="S41" i="27"/>
  <c r="T41" i="27"/>
  <c r="U41" i="27"/>
  <c r="V42" i="27"/>
  <c r="Y42" i="27" s="1"/>
  <c r="L18" i="7"/>
  <c r="L17" i="7"/>
  <c r="L16" i="7"/>
  <c r="L15" i="7"/>
  <c r="L14" i="7"/>
  <c r="F5" i="17"/>
  <c r="T5" i="17" s="1"/>
  <c r="U5" i="17" s="1"/>
  <c r="H8" i="20"/>
  <c r="H9" i="20"/>
  <c r="H7" i="20"/>
  <c r="H6" i="20"/>
  <c r="I9" i="20"/>
  <c r="I7" i="20"/>
  <c r="I8" i="20"/>
  <c r="G18" i="13"/>
  <c r="O14" i="17"/>
  <c r="N15" i="17"/>
  <c r="N16" i="17"/>
  <c r="N17" i="17"/>
  <c r="N18" i="17"/>
  <c r="N14" i="17"/>
  <c r="M15" i="17"/>
  <c r="M16" i="17"/>
  <c r="M17" i="17"/>
  <c r="M18" i="17"/>
  <c r="M14" i="17"/>
  <c r="O18" i="17"/>
  <c r="P18" i="17"/>
  <c r="L18" i="17"/>
  <c r="T17" i="17"/>
  <c r="O17" i="17"/>
  <c r="L17" i="17"/>
  <c r="T16" i="17"/>
  <c r="O16" i="17"/>
  <c r="P16" i="17"/>
  <c r="L16" i="17"/>
  <c r="T15" i="17"/>
  <c r="O15" i="17"/>
  <c r="P15" i="17"/>
  <c r="Q15" i="17" s="1"/>
  <c r="L15" i="17"/>
  <c r="T14" i="17"/>
  <c r="L14" i="17"/>
  <c r="U13" i="17"/>
  <c r="T13" i="17"/>
  <c r="T12" i="17"/>
  <c r="U12" i="17" s="1"/>
  <c r="T11" i="17"/>
  <c r="U11" i="17" s="1"/>
  <c r="T10" i="17"/>
  <c r="U10" i="17" s="1"/>
  <c r="T9" i="17"/>
  <c r="U9" i="17" s="1"/>
  <c r="T8" i="17"/>
  <c r="U8" i="17" s="1"/>
  <c r="T7" i="17"/>
  <c r="U7" i="17" s="1"/>
  <c r="T6" i="17"/>
  <c r="U6" i="17" s="1"/>
  <c r="K15" i="17"/>
  <c r="K16" i="17"/>
  <c r="K17" i="17"/>
  <c r="K18" i="17"/>
  <c r="K14" i="17"/>
  <c r="J18" i="17"/>
  <c r="J15" i="17"/>
  <c r="J16" i="17"/>
  <c r="J17" i="17"/>
  <c r="J14" i="17"/>
  <c r="I18" i="17"/>
  <c r="I15" i="17"/>
  <c r="I16" i="17"/>
  <c r="I17" i="17"/>
  <c r="I14" i="17"/>
  <c r="N18" i="3"/>
  <c r="O18" i="3" s="1"/>
  <c r="M18" i="3"/>
  <c r="P18" i="3" s="1"/>
  <c r="L18" i="3"/>
  <c r="T17" i="3"/>
  <c r="N17" i="3"/>
  <c r="P17" i="3" s="1"/>
  <c r="Q17" i="3" s="1"/>
  <c r="M17" i="3"/>
  <c r="L17" i="3"/>
  <c r="T16" i="3"/>
  <c r="N16" i="3"/>
  <c r="O16" i="3" s="1"/>
  <c r="M16" i="3"/>
  <c r="P16" i="3" s="1"/>
  <c r="Q16" i="3" s="1"/>
  <c r="L16" i="3"/>
  <c r="T15" i="3"/>
  <c r="N15" i="3"/>
  <c r="O15" i="3" s="1"/>
  <c r="M15" i="3"/>
  <c r="P15" i="3" s="1"/>
  <c r="Q15" i="3" s="1"/>
  <c r="L15" i="3"/>
  <c r="T14" i="3"/>
  <c r="N14" i="3"/>
  <c r="O14" i="3" s="1"/>
  <c r="M14" i="3"/>
  <c r="P14" i="3" s="1"/>
  <c r="Q14" i="3" s="1"/>
  <c r="L14" i="3"/>
  <c r="T12" i="3"/>
  <c r="U12" i="3" s="1"/>
  <c r="T11" i="3"/>
  <c r="U11" i="3" s="1"/>
  <c r="T10" i="3"/>
  <c r="U10" i="3" s="1"/>
  <c r="T9" i="3"/>
  <c r="U9" i="3" s="1"/>
  <c r="T8" i="3"/>
  <c r="U8" i="3" s="1"/>
  <c r="T7" i="3"/>
  <c r="U7" i="3" s="1"/>
  <c r="T6" i="3"/>
  <c r="U6" i="3" s="1"/>
  <c r="T5" i="3"/>
  <c r="U5" i="3" s="1"/>
  <c r="K18" i="3"/>
  <c r="K15" i="3"/>
  <c r="K16" i="3"/>
  <c r="K17" i="3"/>
  <c r="K14" i="3"/>
  <c r="J18" i="3"/>
  <c r="J15" i="3"/>
  <c r="J16" i="3"/>
  <c r="J17" i="3"/>
  <c r="J14" i="3"/>
  <c r="I18" i="3"/>
  <c r="I15" i="3"/>
  <c r="I16" i="3"/>
  <c r="I17" i="3"/>
  <c r="I14" i="3"/>
  <c r="Q17" i="13"/>
  <c r="Q16" i="13"/>
  <c r="Q15" i="13"/>
  <c r="Q14" i="13"/>
  <c r="P14" i="13"/>
  <c r="O14" i="13"/>
  <c r="N15" i="13"/>
  <c r="N16" i="13"/>
  <c r="P16" i="13" s="1"/>
  <c r="N17" i="13"/>
  <c r="N18" i="13"/>
  <c r="N14" i="13"/>
  <c r="M15" i="13"/>
  <c r="M16" i="13"/>
  <c r="M17" i="13"/>
  <c r="M18" i="13"/>
  <c r="M14" i="13"/>
  <c r="O18" i="13"/>
  <c r="S18" i="13" s="1"/>
  <c r="P18" i="13"/>
  <c r="L18" i="13"/>
  <c r="P17" i="13"/>
  <c r="O16" i="13"/>
  <c r="S15" i="13" s="1"/>
  <c r="O15" i="13"/>
  <c r="R14" i="13" s="1"/>
  <c r="P15" i="13"/>
  <c r="I18" i="13"/>
  <c r="I15" i="13"/>
  <c r="I16" i="13"/>
  <c r="I17" i="13"/>
  <c r="I14" i="13"/>
  <c r="J18" i="13"/>
  <c r="J15" i="13"/>
  <c r="J16" i="13"/>
  <c r="J17" i="13"/>
  <c r="J14" i="13"/>
  <c r="K15" i="13"/>
  <c r="K16" i="13"/>
  <c r="K17" i="13"/>
  <c r="K18" i="13"/>
  <c r="K14" i="13"/>
  <c r="S16" i="11"/>
  <c r="Q14" i="11"/>
  <c r="P14" i="11"/>
  <c r="O14" i="11"/>
  <c r="N15" i="11"/>
  <c r="N16" i="11"/>
  <c r="N17" i="11"/>
  <c r="N14" i="11"/>
  <c r="M15" i="11"/>
  <c r="M16" i="11"/>
  <c r="M17" i="11"/>
  <c r="M14" i="11"/>
  <c r="T17" i="11"/>
  <c r="O17" i="11"/>
  <c r="L17" i="11"/>
  <c r="T16" i="11"/>
  <c r="O16" i="11"/>
  <c r="P16" i="11"/>
  <c r="L16" i="11"/>
  <c r="T15" i="11"/>
  <c r="O15" i="11"/>
  <c r="S15" i="11" s="1"/>
  <c r="P15" i="11"/>
  <c r="Q15" i="11" s="1"/>
  <c r="L15" i="11"/>
  <c r="T14" i="11"/>
  <c r="L14" i="11"/>
  <c r="U13" i="11"/>
  <c r="T13" i="11"/>
  <c r="T12" i="11"/>
  <c r="U12" i="11" s="1"/>
  <c r="T11" i="11"/>
  <c r="U11" i="11" s="1"/>
  <c r="T10" i="11"/>
  <c r="U10" i="11" s="1"/>
  <c r="T9" i="11"/>
  <c r="U9" i="11" s="1"/>
  <c r="T8" i="11"/>
  <c r="U8" i="11" s="1"/>
  <c r="T7" i="11"/>
  <c r="U7" i="11" s="1"/>
  <c r="T6" i="11"/>
  <c r="U6" i="11" s="1"/>
  <c r="T5" i="11"/>
  <c r="U5" i="11" s="1"/>
  <c r="K15" i="11"/>
  <c r="K16" i="11"/>
  <c r="K17" i="11"/>
  <c r="K18" i="11"/>
  <c r="K14" i="11"/>
  <c r="J18" i="11"/>
  <c r="J15" i="11"/>
  <c r="J16" i="11"/>
  <c r="J17" i="11"/>
  <c r="J14" i="11"/>
  <c r="I18" i="11"/>
  <c r="I15" i="11"/>
  <c r="I16" i="11"/>
  <c r="I17" i="11"/>
  <c r="I14" i="11"/>
  <c r="K15" i="7"/>
  <c r="K16" i="7"/>
  <c r="K17" i="7"/>
  <c r="K18" i="7"/>
  <c r="K14" i="7"/>
  <c r="O70" i="21"/>
  <c r="O69" i="21"/>
  <c r="O68" i="21"/>
  <c r="O66" i="21"/>
  <c r="O67" i="21"/>
  <c r="S14" i="11" l="1"/>
  <c r="S14" i="13"/>
  <c r="J58" i="27"/>
  <c r="I58" i="27"/>
  <c r="E58" i="27"/>
  <c r="R58" i="27"/>
  <c r="K58" i="27"/>
  <c r="F58" i="27"/>
  <c r="E65" i="27" s="1"/>
  <c r="P58" i="27"/>
  <c r="O58" i="27"/>
  <c r="C65" i="27"/>
  <c r="T58" i="27"/>
  <c r="M58" i="27"/>
  <c r="H58" i="27"/>
  <c r="G58" i="27"/>
  <c r="G65" i="27" s="1"/>
  <c r="D58" i="27"/>
  <c r="S58" i="27"/>
  <c r="Q58" i="27"/>
  <c r="Q65" i="27" s="1"/>
  <c r="N58" i="27"/>
  <c r="L58" i="27"/>
  <c r="K65" i="27" s="1"/>
  <c r="U58" i="27"/>
  <c r="X41" i="27"/>
  <c r="V58" i="27"/>
  <c r="Y41" i="27"/>
  <c r="U69" i="27"/>
  <c r="U65" i="27"/>
  <c r="I65" i="27"/>
  <c r="E69" i="27"/>
  <c r="O65" i="27"/>
  <c r="M59" i="27"/>
  <c r="M69" i="27"/>
  <c r="Q69" i="27"/>
  <c r="S65" i="27"/>
  <c r="S59" i="27"/>
  <c r="S69" i="27"/>
  <c r="K59" i="27"/>
  <c r="K69" i="27"/>
  <c r="I59" i="27"/>
  <c r="I69" i="27"/>
  <c r="O59" i="27"/>
  <c r="O66" i="27" s="1"/>
  <c r="O69" i="27"/>
  <c r="G59" i="27"/>
  <c r="G69" i="27"/>
  <c r="F14" i="7"/>
  <c r="V59" i="27"/>
  <c r="B59" i="27"/>
  <c r="B66" i="27" s="1"/>
  <c r="AB11" i="6"/>
  <c r="U61" i="27"/>
  <c r="O61" i="27"/>
  <c r="N61" i="27"/>
  <c r="L61" i="27"/>
  <c r="Q61" i="27"/>
  <c r="Q68" i="27" s="1"/>
  <c r="F11" i="7" s="1"/>
  <c r="P61" i="27"/>
  <c r="M61" i="27"/>
  <c r="K61" i="27"/>
  <c r="D61" i="27"/>
  <c r="T61" i="27"/>
  <c r="E67" i="27"/>
  <c r="J61" i="27"/>
  <c r="I61" i="27"/>
  <c r="H61" i="27"/>
  <c r="G61" i="27"/>
  <c r="F61" i="27"/>
  <c r="E61" i="27"/>
  <c r="B61" i="27"/>
  <c r="B68" i="27" s="1"/>
  <c r="S61" i="27"/>
  <c r="B60" i="27"/>
  <c r="B67" i="27" s="1"/>
  <c r="G67" i="27"/>
  <c r="U67" i="27"/>
  <c r="S67" i="27"/>
  <c r="Q67" i="27"/>
  <c r="M67" i="27"/>
  <c r="K67" i="27"/>
  <c r="I67" i="27"/>
  <c r="O67" i="27"/>
  <c r="C67" i="27"/>
  <c r="E59" i="27"/>
  <c r="E66" i="27" s="1"/>
  <c r="Q59" i="27"/>
  <c r="Q66" i="27" s="1"/>
  <c r="N59" i="27"/>
  <c r="L59" i="27"/>
  <c r="H59" i="27"/>
  <c r="G66" i="27" s="1"/>
  <c r="D59" i="27"/>
  <c r="J59" i="27"/>
  <c r="C59" i="27"/>
  <c r="T59" i="27"/>
  <c r="U59" i="27"/>
  <c r="R18" i="13"/>
  <c r="U18" i="13" s="1"/>
  <c r="V18" i="13" s="1"/>
  <c r="Q16" i="17"/>
  <c r="P14" i="17"/>
  <c r="Q14" i="17" s="1"/>
  <c r="S14" i="17" s="1"/>
  <c r="R15" i="17"/>
  <c r="U15" i="17" s="1"/>
  <c r="V15" i="17" s="1"/>
  <c r="S15" i="17"/>
  <c r="S16" i="17"/>
  <c r="R16" i="17"/>
  <c r="U16" i="17" s="1"/>
  <c r="V16" i="17" s="1"/>
  <c r="R18" i="17"/>
  <c r="U18" i="17" s="1"/>
  <c r="V18" i="17" s="1"/>
  <c r="S18" i="17"/>
  <c r="P17" i="17"/>
  <c r="Q17" i="17" s="1"/>
  <c r="S14" i="3"/>
  <c r="R14" i="3"/>
  <c r="U14" i="3" s="1"/>
  <c r="V14" i="3" s="1"/>
  <c r="S15" i="3"/>
  <c r="R15" i="3"/>
  <c r="U15" i="3" s="1"/>
  <c r="V15" i="3" s="1"/>
  <c r="R18" i="3"/>
  <c r="U18" i="3" s="1"/>
  <c r="V18" i="3" s="1"/>
  <c r="S18" i="3"/>
  <c r="O17" i="3"/>
  <c r="S16" i="3" s="1"/>
  <c r="R15" i="13"/>
  <c r="O17" i="13"/>
  <c r="S16" i="13" s="1"/>
  <c r="Q16" i="11"/>
  <c r="R14" i="11"/>
  <c r="U14" i="11" s="1"/>
  <c r="V14" i="11" s="1"/>
  <c r="R15" i="11"/>
  <c r="U15" i="11" s="1"/>
  <c r="V15" i="11" s="1"/>
  <c r="R16" i="11"/>
  <c r="U16" i="11" s="1"/>
  <c r="V16" i="11" s="1"/>
  <c r="P17" i="11"/>
  <c r="J18" i="7"/>
  <c r="J15" i="7"/>
  <c r="J16" i="7"/>
  <c r="J17" i="7"/>
  <c r="J14" i="7"/>
  <c r="I18" i="7"/>
  <c r="I15" i="7"/>
  <c r="I16" i="7"/>
  <c r="I17" i="7"/>
  <c r="I14" i="7"/>
  <c r="O59" i="21"/>
  <c r="O58" i="21"/>
  <c r="O57" i="21"/>
  <c r="O56" i="21"/>
  <c r="O54" i="21"/>
  <c r="O53" i="21"/>
  <c r="O52" i="21"/>
  <c r="O51" i="21"/>
  <c r="O49" i="21"/>
  <c r="O48" i="21"/>
  <c r="O47" i="21"/>
  <c r="O46" i="21"/>
  <c r="O44" i="21"/>
  <c r="O43" i="21"/>
  <c r="O42" i="21"/>
  <c r="O41" i="21"/>
  <c r="O39" i="21"/>
  <c r="O38" i="21"/>
  <c r="O37" i="21"/>
  <c r="O36" i="21"/>
  <c r="O26" i="21"/>
  <c r="O27" i="21"/>
  <c r="O28" i="21"/>
  <c r="O25" i="21"/>
  <c r="O16" i="21"/>
  <c r="O17" i="21"/>
  <c r="O18" i="21"/>
  <c r="O15" i="21"/>
  <c r="O20" i="21"/>
  <c r="O21" i="21"/>
  <c r="O22" i="21"/>
  <c r="O23" i="21"/>
  <c r="O10" i="21"/>
  <c r="O6" i="21"/>
  <c r="O7" i="21"/>
  <c r="O8" i="21"/>
  <c r="O5" i="21"/>
  <c r="O11" i="21"/>
  <c r="O12" i="21"/>
  <c r="O13" i="21"/>
  <c r="R16" i="13" l="1"/>
  <c r="R17" i="13"/>
  <c r="S17" i="13"/>
  <c r="M65" i="27"/>
  <c r="I66" i="27"/>
  <c r="K66" i="27"/>
  <c r="M66" i="27"/>
  <c r="S66" i="27"/>
  <c r="O68" i="27"/>
  <c r="F10" i="7" s="1"/>
  <c r="V8" i="6"/>
  <c r="W8" i="6" s="1"/>
  <c r="I68" i="27"/>
  <c r="F7" i="7" s="1"/>
  <c r="V9" i="6"/>
  <c r="W9" i="6" s="1"/>
  <c r="V11" i="6"/>
  <c r="W11" i="6" s="1"/>
  <c r="V12" i="6"/>
  <c r="V10" i="6"/>
  <c r="W10" i="6" s="1"/>
  <c r="U66" i="27"/>
  <c r="V5" i="6"/>
  <c r="W5" i="6" s="1"/>
  <c r="V6" i="6"/>
  <c r="W6" i="6" s="1"/>
  <c r="V7" i="6"/>
  <c r="W7" i="6" s="1"/>
  <c r="K68" i="27"/>
  <c r="F8" i="7" s="1"/>
  <c r="M68" i="27"/>
  <c r="F9" i="7" s="1"/>
  <c r="F17" i="7"/>
  <c r="F18" i="7"/>
  <c r="F16" i="7"/>
  <c r="F15" i="7"/>
  <c r="U68" i="27"/>
  <c r="S68" i="27"/>
  <c r="F12" i="7" s="1"/>
  <c r="C68" i="27"/>
  <c r="F4" i="7" s="1"/>
  <c r="E68" i="27"/>
  <c r="F5" i="7" s="1"/>
  <c r="G68" i="27"/>
  <c r="F6" i="7" s="1"/>
  <c r="C66" i="27"/>
  <c r="R14" i="17"/>
  <c r="U14" i="17" s="1"/>
  <c r="V14" i="17" s="1"/>
  <c r="S17" i="17"/>
  <c r="R17" i="17"/>
  <c r="U17" i="17" s="1"/>
  <c r="V17" i="17" s="1"/>
  <c r="R17" i="3"/>
  <c r="U17" i="3" s="1"/>
  <c r="V17" i="3" s="1"/>
  <c r="S17" i="3"/>
  <c r="R16" i="3"/>
  <c r="U16" i="3" s="1"/>
  <c r="V16" i="3" s="1"/>
  <c r="G30" i="16"/>
  <c r="D14" i="17"/>
  <c r="E14" i="17"/>
  <c r="C14" i="17"/>
  <c r="C13" i="17"/>
  <c r="C12" i="17"/>
  <c r="C10" i="17"/>
  <c r="C11" i="17"/>
  <c r="C9" i="17"/>
  <c r="C8" i="17"/>
  <c r="C7" i="17"/>
  <c r="C6" i="17"/>
  <c r="C5" i="17"/>
  <c r="C4" i="17"/>
  <c r="B18" i="17"/>
  <c r="B17" i="17"/>
  <c r="B16" i="17"/>
  <c r="B15" i="17"/>
  <c r="B14" i="17"/>
  <c r="B13" i="17"/>
  <c r="B12" i="17"/>
  <c r="B11" i="17"/>
  <c r="B10" i="17"/>
  <c r="B9" i="17"/>
  <c r="B8" i="17"/>
  <c r="B7" i="17"/>
  <c r="B6" i="17"/>
  <c r="B5" i="17"/>
  <c r="B4" i="17"/>
  <c r="AM13" i="6" l="1"/>
  <c r="AM17" i="6" s="1"/>
  <c r="AN13" i="6"/>
  <c r="AN17" i="6" s="1"/>
  <c r="AB6" i="6"/>
  <c r="AA6" i="6"/>
  <c r="D18" i="17"/>
  <c r="E18" i="17" s="1"/>
  <c r="D17" i="17" l="1"/>
  <c r="C18" i="17"/>
  <c r="J9" i="20"/>
  <c r="G5" i="20"/>
  <c r="F6" i="20"/>
  <c r="F7" i="20"/>
  <c r="F8" i="20"/>
  <c r="F9" i="20"/>
  <c r="F5" i="20"/>
  <c r="AF5" i="20"/>
  <c r="V23" i="20"/>
  <c r="V14" i="20"/>
  <c r="V5" i="20"/>
  <c r="AF32" i="20"/>
  <c r="AF23" i="20"/>
  <c r="F13" i="24"/>
  <c r="E13" i="24"/>
  <c r="D13" i="24"/>
  <c r="C13" i="24"/>
  <c r="F11" i="24"/>
  <c r="E11" i="24"/>
  <c r="D11" i="24"/>
  <c r="C11" i="24"/>
  <c r="F9" i="24"/>
  <c r="E9" i="24"/>
  <c r="D9" i="24"/>
  <c r="C9" i="24"/>
  <c r="F7" i="24"/>
  <c r="E7" i="24"/>
  <c r="D7" i="24"/>
  <c r="C7" i="24"/>
  <c r="F5" i="24"/>
  <c r="E5" i="24"/>
  <c r="D5" i="24"/>
  <c r="C5" i="24"/>
  <c r="F17" i="11"/>
  <c r="F16" i="11"/>
  <c r="G16" i="11"/>
  <c r="D16" i="11"/>
  <c r="D17" i="11"/>
  <c r="E17" i="17" l="1"/>
  <c r="C17" i="17"/>
  <c r="D16" i="17"/>
  <c r="T15" i="7"/>
  <c r="E16" i="17" l="1"/>
  <c r="C16" i="17"/>
  <c r="D15" i="17"/>
  <c r="F17" i="17"/>
  <c r="F16" i="17"/>
  <c r="G16" i="17" s="1"/>
  <c r="F12" i="17"/>
  <c r="F10" i="17"/>
  <c r="F11" i="17"/>
  <c r="F9" i="17"/>
  <c r="F8" i="17"/>
  <c r="F7" i="17"/>
  <c r="B4" i="3"/>
  <c r="G17" i="3"/>
  <c r="Q5" i="12"/>
  <c r="Q6" i="12" s="1"/>
  <c r="Q7" i="12" s="1"/>
  <c r="Q8" i="12" s="1"/>
  <c r="Q9" i="12" s="1"/>
  <c r="Q10" i="12" s="1"/>
  <c r="Q11" i="12" s="1"/>
  <c r="B17" i="3"/>
  <c r="B16" i="3"/>
  <c r="B10" i="3"/>
  <c r="B11" i="3"/>
  <c r="B12" i="3"/>
  <c r="B13" i="3"/>
  <c r="F17" i="3"/>
  <c r="F10" i="3"/>
  <c r="F11" i="3"/>
  <c r="F12" i="3"/>
  <c r="F9" i="3"/>
  <c r="F8" i="3"/>
  <c r="F7" i="3"/>
  <c r="F6" i="3"/>
  <c r="F5" i="3"/>
  <c r="N7" i="12"/>
  <c r="P7" i="12" s="1"/>
  <c r="P8" i="12"/>
  <c r="L10" i="12"/>
  <c r="L9" i="12"/>
  <c r="B9" i="3" s="1"/>
  <c r="L5" i="12"/>
  <c r="L6" i="12"/>
  <c r="B5" i="3" s="1"/>
  <c r="L7" i="12"/>
  <c r="B8" i="3" s="1"/>
  <c r="B6" i="13"/>
  <c r="B5" i="13"/>
  <c r="B4" i="13"/>
  <c r="B7" i="13"/>
  <c r="B8" i="13"/>
  <c r="B9" i="13"/>
  <c r="B10" i="13"/>
  <c r="B11" i="13"/>
  <c r="B12" i="13"/>
  <c r="B13" i="13"/>
  <c r="C14" i="13"/>
  <c r="C15" i="13"/>
  <c r="C16" i="13"/>
  <c r="C17" i="13"/>
  <c r="C13" i="13"/>
  <c r="C4" i="13"/>
  <c r="C5" i="13"/>
  <c r="C6" i="13"/>
  <c r="C7" i="13"/>
  <c r="C8" i="13"/>
  <c r="C9" i="13"/>
  <c r="C10" i="13"/>
  <c r="C11" i="13"/>
  <c r="C12" i="13"/>
  <c r="C18" i="13"/>
  <c r="G17" i="13"/>
  <c r="G16" i="13"/>
  <c r="B17" i="13"/>
  <c r="B16" i="13"/>
  <c r="D17" i="13"/>
  <c r="D16" i="13"/>
  <c r="F17" i="13"/>
  <c r="T17" i="13" s="1"/>
  <c r="F16" i="13"/>
  <c r="T16" i="13" s="1"/>
  <c r="E17" i="13"/>
  <c r="F10" i="13"/>
  <c r="T10" i="13" s="1"/>
  <c r="U10" i="13" s="1"/>
  <c r="F11" i="13"/>
  <c r="T11" i="13" s="1"/>
  <c r="U11" i="13" s="1"/>
  <c r="F12" i="13"/>
  <c r="T12" i="13" s="1"/>
  <c r="U12" i="13" s="1"/>
  <c r="F9" i="13"/>
  <c r="T9" i="13" s="1"/>
  <c r="U9" i="13" s="1"/>
  <c r="F8" i="13"/>
  <c r="T8" i="13" s="1"/>
  <c r="U8" i="13" s="1"/>
  <c r="F6" i="13"/>
  <c r="T6" i="13" s="1"/>
  <c r="U6" i="13" s="1"/>
  <c r="F7" i="13"/>
  <c r="T7" i="13" s="1"/>
  <c r="U7" i="13" s="1"/>
  <c r="F5" i="13"/>
  <c r="T5" i="13" s="1"/>
  <c r="U5" i="13" s="1"/>
  <c r="AF14" i="20"/>
  <c r="E7" i="20"/>
  <c r="E8" i="20"/>
  <c r="G8" i="20" s="1"/>
  <c r="E9" i="20"/>
  <c r="G9" i="20" s="1"/>
  <c r="E6" i="20"/>
  <c r="G6" i="20" s="1"/>
  <c r="B18" i="11"/>
  <c r="B17" i="11"/>
  <c r="D14" i="11"/>
  <c r="E17" i="11"/>
  <c r="E16" i="11"/>
  <c r="E15" i="11"/>
  <c r="E14" i="11"/>
  <c r="D15" i="11"/>
  <c r="B4" i="11"/>
  <c r="B5" i="11"/>
  <c r="B6" i="11"/>
  <c r="B7" i="11"/>
  <c r="B8" i="11"/>
  <c r="B9" i="11"/>
  <c r="B10" i="11"/>
  <c r="B11" i="11"/>
  <c r="B12" i="11"/>
  <c r="B13" i="11"/>
  <c r="B14" i="11"/>
  <c r="B15" i="11"/>
  <c r="B16" i="11"/>
  <c r="C17" i="11"/>
  <c r="C16" i="11"/>
  <c r="C15" i="11"/>
  <c r="C14" i="11"/>
  <c r="C12" i="11"/>
  <c r="C13" i="11"/>
  <c r="C11" i="11"/>
  <c r="C10" i="11"/>
  <c r="C9" i="11"/>
  <c r="C8" i="11"/>
  <c r="C7" i="11"/>
  <c r="C6" i="11"/>
  <c r="B13" i="7"/>
  <c r="B5" i="7"/>
  <c r="B6" i="7"/>
  <c r="B7" i="7"/>
  <c r="B8" i="7"/>
  <c r="B9" i="7"/>
  <c r="B10" i="7"/>
  <c r="B11" i="7"/>
  <c r="B12" i="7"/>
  <c r="B4" i="7"/>
  <c r="C18" i="7"/>
  <c r="C15" i="7"/>
  <c r="C16" i="7"/>
  <c r="C17" i="7"/>
  <c r="C14" i="7"/>
  <c r="C13" i="7"/>
  <c r="C5" i="7"/>
  <c r="C6" i="7"/>
  <c r="C7" i="7"/>
  <c r="C8" i="7"/>
  <c r="C9" i="7"/>
  <c r="C10" i="7"/>
  <c r="C11" i="7"/>
  <c r="C12" i="7"/>
  <c r="C4" i="7"/>
  <c r="C5" i="11"/>
  <c r="C4" i="11"/>
  <c r="F16" i="10"/>
  <c r="D10" i="10" s="1"/>
  <c r="J10" i="10" s="1"/>
  <c r="G14" i="11"/>
  <c r="G15" i="11"/>
  <c r="F15" i="11"/>
  <c r="F14" i="11"/>
  <c r="F13" i="11"/>
  <c r="F12" i="11"/>
  <c r="F11" i="11"/>
  <c r="F10" i="11"/>
  <c r="F9" i="11"/>
  <c r="F8" i="11"/>
  <c r="F7" i="11"/>
  <c r="F6" i="11"/>
  <c r="F5" i="11"/>
  <c r="F4" i="11"/>
  <c r="L16" i="13" l="1"/>
  <c r="U16" i="13"/>
  <c r="V16" i="13" s="1"/>
  <c r="L17" i="13"/>
  <c r="U17" i="13"/>
  <c r="V17" i="13" s="1"/>
  <c r="E10" i="10"/>
  <c r="D18" i="11"/>
  <c r="M18" i="11" s="1"/>
  <c r="F10" i="10"/>
  <c r="F18" i="11" s="1"/>
  <c r="I10" i="10"/>
  <c r="G10" i="10"/>
  <c r="G18" i="11" s="1"/>
  <c r="L18" i="11" s="1"/>
  <c r="H10" i="10"/>
  <c r="I6" i="20"/>
  <c r="E15" i="17"/>
  <c r="C15" i="17"/>
  <c r="G17" i="17"/>
  <c r="G7" i="20"/>
  <c r="C6" i="3"/>
  <c r="C11" i="3"/>
  <c r="C5" i="3"/>
  <c r="C7" i="3"/>
  <c r="Q12" i="12"/>
  <c r="C12" i="3" s="1"/>
  <c r="C8" i="3"/>
  <c r="C9" i="3"/>
  <c r="C10" i="3"/>
  <c r="C4" i="3"/>
  <c r="N6" i="12"/>
  <c r="N9" i="12"/>
  <c r="B7" i="3"/>
  <c r="B6" i="3"/>
  <c r="C18" i="11"/>
  <c r="Q13" i="12" l="1"/>
  <c r="Q14" i="12" s="1"/>
  <c r="P9" i="12"/>
  <c r="N10" i="12"/>
  <c r="P10" i="12" s="1"/>
  <c r="P6" i="12"/>
  <c r="N5" i="12"/>
  <c r="P5" i="12" s="1"/>
  <c r="T17" i="7"/>
  <c r="B17" i="7"/>
  <c r="D17" i="7"/>
  <c r="M17" i="7" s="1"/>
  <c r="E17" i="7"/>
  <c r="N17" i="7" s="1"/>
  <c r="O17" i="7" s="1"/>
  <c r="D16" i="7"/>
  <c r="M16" i="7" s="1"/>
  <c r="B16" i="7"/>
  <c r="T10" i="7"/>
  <c r="U10" i="7" s="1"/>
  <c r="T11" i="7"/>
  <c r="U11" i="7" s="1"/>
  <c r="T12" i="7"/>
  <c r="U12" i="7" s="1"/>
  <c r="T6" i="7"/>
  <c r="U6" i="7" s="1"/>
  <c r="T7" i="7"/>
  <c r="U7" i="7" s="1"/>
  <c r="T8" i="7"/>
  <c r="U8" i="7" s="1"/>
  <c r="T9" i="7"/>
  <c r="T5" i="7"/>
  <c r="U5" i="7" s="1"/>
  <c r="E18" i="11"/>
  <c r="B14" i="7"/>
  <c r="O11" i="12"/>
  <c r="P11" i="12"/>
  <c r="O12" i="12"/>
  <c r="P12" i="12"/>
  <c r="O13" i="12"/>
  <c r="P13" i="12"/>
  <c r="O14" i="12"/>
  <c r="E14" i="3" s="1"/>
  <c r="P14" i="12"/>
  <c r="O15" i="12"/>
  <c r="E15" i="3" s="1"/>
  <c r="P15" i="12"/>
  <c r="O16" i="12"/>
  <c r="E16" i="3" s="1"/>
  <c r="P16" i="12"/>
  <c r="D16" i="3" s="1"/>
  <c r="O17" i="12"/>
  <c r="E17" i="3" s="1"/>
  <c r="P17" i="12"/>
  <c r="D17" i="3" s="1"/>
  <c r="O18" i="12"/>
  <c r="E18" i="3" s="1"/>
  <c r="P18" i="12"/>
  <c r="D18" i="3" s="1"/>
  <c r="O8" i="12"/>
  <c r="B18" i="3"/>
  <c r="P17" i="7" l="1"/>
  <c r="J6" i="20"/>
  <c r="K6" i="20" s="1"/>
  <c r="L6" i="20" s="1"/>
  <c r="N18" i="11"/>
  <c r="J8" i="20"/>
  <c r="F13" i="3"/>
  <c r="T13" i="3" s="1"/>
  <c r="U13" i="3" s="1"/>
  <c r="Q15" i="12"/>
  <c r="C14" i="3" s="1"/>
  <c r="C13" i="3"/>
  <c r="D15" i="3"/>
  <c r="D14" i="3"/>
  <c r="G14" i="17"/>
  <c r="G14" i="3"/>
  <c r="O18" i="11" l="1"/>
  <c r="Q17" i="11"/>
  <c r="P18" i="11"/>
  <c r="K8" i="20"/>
  <c r="L8" i="20" s="1"/>
  <c r="Q16" i="12"/>
  <c r="C15" i="3" s="1"/>
  <c r="B15" i="3"/>
  <c r="B14" i="3"/>
  <c r="G14" i="13"/>
  <c r="E18" i="13"/>
  <c r="E15" i="13"/>
  <c r="E16" i="13"/>
  <c r="E14" i="13"/>
  <c r="D18" i="13"/>
  <c r="D15" i="13"/>
  <c r="D14" i="13"/>
  <c r="B18" i="13"/>
  <c r="B15" i="13"/>
  <c r="B14" i="13"/>
  <c r="M14" i="7"/>
  <c r="D15" i="7"/>
  <c r="M15" i="7" s="1"/>
  <c r="D18" i="7"/>
  <c r="M18" i="7" s="1"/>
  <c r="T14" i="7"/>
  <c r="E14" i="7"/>
  <c r="N14" i="7" s="1"/>
  <c r="O14" i="7" s="1"/>
  <c r="E15" i="7"/>
  <c r="N15" i="7" s="1"/>
  <c r="O15" i="7" s="1"/>
  <c r="B15" i="7"/>
  <c r="B18" i="7"/>
  <c r="H5" i="20" s="1"/>
  <c r="E16" i="7"/>
  <c r="N16" i="7" s="1"/>
  <c r="E18" i="7"/>
  <c r="N18" i="7" s="1"/>
  <c r="I5" i="20" l="1"/>
  <c r="P18" i="7"/>
  <c r="L14" i="13"/>
  <c r="S17" i="11"/>
  <c r="R17" i="11"/>
  <c r="U17" i="11" s="1"/>
  <c r="V17" i="11" s="1"/>
  <c r="S18" i="11"/>
  <c r="R18" i="11"/>
  <c r="U18" i="11" s="1"/>
  <c r="V18" i="11" s="1"/>
  <c r="O16" i="7"/>
  <c r="P16" i="7"/>
  <c r="Q16" i="7" s="1"/>
  <c r="O18" i="7"/>
  <c r="Q17" i="7"/>
  <c r="S17" i="7" s="1"/>
  <c r="P15" i="7"/>
  <c r="Q15" i="7" s="1"/>
  <c r="P14" i="7"/>
  <c r="Q14" i="7" s="1"/>
  <c r="S14" i="7" s="1"/>
  <c r="J7" i="20"/>
  <c r="J5" i="20"/>
  <c r="Q17" i="12"/>
  <c r="C16" i="3" s="1"/>
  <c r="K9" i="20"/>
  <c r="L9" i="20" s="1"/>
  <c r="S19" i="3"/>
  <c r="S15" i="7" l="1"/>
  <c r="S18" i="7"/>
  <c r="R18" i="7"/>
  <c r="V19" i="11"/>
  <c r="T22" i="11" s="1"/>
  <c r="S19" i="11"/>
  <c r="R14" i="7"/>
  <c r="U14" i="7" s="1"/>
  <c r="V14" i="7" s="1"/>
  <c r="R16" i="7"/>
  <c r="U16" i="7" s="1"/>
  <c r="S16" i="7"/>
  <c r="K7" i="20"/>
  <c r="L7" i="20" s="1"/>
  <c r="K5" i="20"/>
  <c r="L5" i="20" s="1"/>
  <c r="S19" i="13"/>
  <c r="Q18" i="12"/>
  <c r="C18" i="3" s="1"/>
  <c r="R15" i="7"/>
  <c r="U15" i="7" s="1"/>
  <c r="V15" i="7" s="1"/>
  <c r="R17" i="7"/>
  <c r="U17" i="7" s="1"/>
  <c r="V17" i="7" s="1"/>
  <c r="G15" i="17"/>
  <c r="F18" i="17"/>
  <c r="F14" i="17"/>
  <c r="F15" i="17"/>
  <c r="F13" i="17"/>
  <c r="F6" i="17"/>
  <c r="G18" i="17" l="1"/>
  <c r="C17" i="3"/>
  <c r="S19" i="7"/>
  <c r="G15" i="3"/>
  <c r="G15" i="13"/>
  <c r="G18" i="3"/>
  <c r="G16" i="3"/>
  <c r="F18" i="3"/>
  <c r="F16" i="3"/>
  <c r="F15" i="3"/>
  <c r="F14" i="3"/>
  <c r="F18" i="13"/>
  <c r="F13" i="13"/>
  <c r="T13" i="13" s="1"/>
  <c r="U13" i="13" s="1"/>
  <c r="F15" i="13"/>
  <c r="T15" i="13" s="1"/>
  <c r="F14" i="13"/>
  <c r="T14" i="13" l="1"/>
  <c r="U14" i="13"/>
  <c r="V14" i="13" s="1"/>
  <c r="L15" i="13"/>
  <c r="U15" i="13"/>
  <c r="V15" i="13" s="1"/>
  <c r="U18" i="7"/>
  <c r="V18" i="7" s="1"/>
  <c r="S19" i="17"/>
  <c r="T16" i="7"/>
  <c r="V16" i="7" s="1"/>
  <c r="T13" i="7"/>
  <c r="U13" i="7" s="1"/>
  <c r="U9" i="7"/>
  <c r="V19" i="3" l="1"/>
  <c r="T22" i="3" s="1"/>
  <c r="V19" i="13"/>
  <c r="T22" i="13" s="1"/>
  <c r="V19" i="17"/>
  <c r="T22" i="17" s="1"/>
  <c r="V19" i="7" l="1"/>
  <c r="T22" i="7" s="1"/>
</calcChain>
</file>

<file path=xl/sharedStrings.xml><?xml version="1.0" encoding="utf-8"?>
<sst xmlns="http://schemas.openxmlformats.org/spreadsheetml/2006/main" count="919" uniqueCount="481">
  <si>
    <t>P50-60</t>
  </si>
  <si>
    <t>P60-70</t>
  </si>
  <si>
    <t>P70-80</t>
  </si>
  <si>
    <t>P80-90</t>
  </si>
  <si>
    <t>P99-99.9</t>
  </si>
  <si>
    <t>p</t>
  </si>
  <si>
    <t>Total tax rates by pre-tax income groups (% of pre-tax income)</t>
  </si>
  <si>
    <t>Group</t>
  </si>
  <si>
    <t>P99.99-P99.999</t>
  </si>
  <si>
    <t>P99.999-P99.9999</t>
  </si>
  <si>
    <t>Percentile</t>
  </si>
  <si>
    <t>Payroll Taxes</t>
  </si>
  <si>
    <t>Consumption Taxes</t>
  </si>
  <si>
    <t>Corporate Income Tax</t>
  </si>
  <si>
    <t>Total Tax Rate</t>
  </si>
  <si>
    <t>Taxes on Personal Income &amp; Wealth</t>
  </si>
  <si>
    <t>Income threshold</t>
  </si>
  <si>
    <t>Average income</t>
  </si>
  <si>
    <t>P0-P10</t>
  </si>
  <si>
    <t>P10-P20</t>
  </si>
  <si>
    <t>P20-P30</t>
  </si>
  <si>
    <t>P30-P40</t>
  </si>
  <si>
    <t>P40-P50</t>
  </si>
  <si>
    <t>P50-P60</t>
  </si>
  <si>
    <t>P60-P70</t>
  </si>
  <si>
    <t>P70-P80</t>
  </si>
  <si>
    <t>P80-P90</t>
  </si>
  <si>
    <t>P90-P99</t>
  </si>
  <si>
    <t>P99-P99.9</t>
  </si>
  <si>
    <t>P99.9-P99.99</t>
  </si>
  <si>
    <t>P99.9999-P100</t>
  </si>
  <si>
    <t>Number of adults</t>
  </si>
  <si>
    <t>Income share (%)</t>
  </si>
  <si>
    <t>Full population</t>
  </si>
  <si>
    <t>Bottom 50%</t>
  </si>
  <si>
    <t>Middle 40%</t>
  </si>
  <si>
    <t>Top 10%</t>
  </si>
  <si>
    <t>Top 1%</t>
  </si>
  <si>
    <t>Top 0.1%</t>
  </si>
  <si>
    <t>Top 0.01%</t>
  </si>
  <si>
    <t>Top 0.001%</t>
  </si>
  <si>
    <t>Top 0.0001%</t>
  </si>
  <si>
    <t>Distribution of pre-tax national income</t>
  </si>
  <si>
    <t>Tax rates by pre-tax income groups (% of pre-tax income)</t>
  </si>
  <si>
    <t>Personal Income Tax</t>
  </si>
  <si>
    <t>Wealth Tax</t>
  </si>
  <si>
    <t>SSCs</t>
  </si>
  <si>
    <t>Flat-rate withholding tax</t>
  </si>
  <si>
    <t>CIT</t>
  </si>
  <si>
    <t>CIT (foreing)</t>
  </si>
  <si>
    <t>CIT (domestic)</t>
  </si>
  <si>
    <t>Total</t>
  </si>
  <si>
    <t>Indirect taxes</t>
  </si>
  <si>
    <t>Personal Income Taxes</t>
  </si>
  <si>
    <t>P99</t>
  </si>
  <si>
    <t>Total tax rate</t>
  </si>
  <si>
    <t>Individual tax rate</t>
  </si>
  <si>
    <t>N</t>
  </si>
  <si>
    <t>Threshold</t>
  </si>
  <si>
    <t>Rate</t>
  </si>
  <si>
    <t>Income / Wealth Ratio</t>
  </si>
  <si>
    <t>Reform Parameters</t>
  </si>
  <si>
    <t>Estate tax</t>
  </si>
  <si>
    <t>Top 0,0002% (top 400)</t>
  </si>
  <si>
    <t xml:space="preserve">Number of tax units </t>
  </si>
  <si>
    <t>Average Income</t>
  </si>
  <si>
    <t>Individual income and payroll taxes</t>
  </si>
  <si>
    <t>Corporate income taxes</t>
  </si>
  <si>
    <t>Other taxes (property, sales</t>
  </si>
  <si>
    <t>P10-P30</t>
  </si>
  <si>
    <t>P90-P95</t>
  </si>
  <si>
    <t>P95-P99</t>
  </si>
  <si>
    <t>SSC</t>
  </si>
  <si>
    <t>Business Income Taxes</t>
  </si>
  <si>
    <t>Property Taxes</t>
  </si>
  <si>
    <t>Other</t>
  </si>
  <si>
    <t>DATA SOURCES</t>
  </si>
  <si>
    <t>P0</t>
  </si>
  <si>
    <t>P10</t>
  </si>
  <si>
    <t>P20</t>
  </si>
  <si>
    <t>P30</t>
  </si>
  <si>
    <t>P40</t>
  </si>
  <si>
    <t>P50</t>
  </si>
  <si>
    <t>P60</t>
  </si>
  <si>
    <t>P70</t>
  </si>
  <si>
    <t>P80</t>
  </si>
  <si>
    <t>P90</t>
  </si>
  <si>
    <t>P95</t>
  </si>
  <si>
    <t>P99.9</t>
  </si>
  <si>
    <t>P99.99</t>
  </si>
  <si>
    <t>P99.999</t>
  </si>
  <si>
    <t>P99.9998</t>
  </si>
  <si>
    <t>Number of households above</t>
  </si>
  <si>
    <t>Mean income above</t>
  </si>
  <si>
    <t>Income share</t>
  </si>
  <si>
    <t>Distribution of pre-tax income</t>
  </si>
  <si>
    <t>Fractile</t>
  </si>
  <si>
    <t>P99.9999</t>
  </si>
  <si>
    <t>Source: Palomo et al. (2025), Figure 10: Effective Tax Rate by Income Groups, All Taxes. The unit of analysis is the individual adult and income is split equally among the adult members of a household. Adults are ranked by their pre-tax national income. Estimates are for year 2019. Values were eyeballed.</t>
  </si>
  <si>
    <t>Source: Bach et al. (2025), Table 1: Income distribution. Data is for year 2016.</t>
  </si>
  <si>
    <t xml:space="preserve">Source: Palomo et al. (2025). See formulas. </t>
  </si>
  <si>
    <t xml:space="preserve">Source: Bruil et al (2025). See formulas. </t>
  </si>
  <si>
    <t xml:space="preserve">METHOD AND ASSUMPTIONS </t>
  </si>
  <si>
    <t xml:space="preserve">The simulations of tax rates and tax revenues rely on: </t>
  </si>
  <si>
    <t xml:space="preserve">See the country-specific sheets for details of the simulation method applied from these data and assumptions. The method is the same for all the countries. </t>
  </si>
  <si>
    <t xml:space="preserve">See Data sources. All the articles follow the same methodology and provide country-specific results in a standardized way. </t>
  </si>
  <si>
    <t>P99.9-100</t>
  </si>
  <si>
    <t>Laurent Bach, Antoine Bozio, Arthur Guillouzouic, Clément Malgouyres (2025). Do Billionaires Pay Taxes?</t>
  </si>
  <si>
    <t>Theo Palomo, Davi Bhering, Thiago Scot, Pierre Bachas, Luciana Barcarolo, Celso Campos, Javier Feinmann, Leonardo Moreira, Gabriel Zucman (2025). Tax Progressivity and Inequality in Brazil: Evidence from Integrated Administrative Data.</t>
  </si>
  <si>
    <t>Arjan Bruil, Céline van Essen, Wouter Leenders, Arjan Lejour, Jan Möhlmann, Simon Rabaté (2025). Inequality and Redistribution in the Netherlands</t>
  </si>
  <si>
    <t>Income group</t>
  </si>
  <si>
    <t>Population</t>
  </si>
  <si>
    <t>P 0–25</t>
  </si>
  <si>
    <t>P 25–50</t>
  </si>
  <si>
    <t>P 50–60</t>
  </si>
  <si>
    <t>P 60–70</t>
  </si>
  <si>
    <t>P 70–80</t>
  </si>
  <si>
    <t>P 80–90</t>
  </si>
  <si>
    <t>Top 5%</t>
  </si>
  <si>
    <t>Source: Guzzardi et al. (2024), Table 4, Pre-tax National Income thresholds, averages, and shares in 2015, 18 years or older.</t>
  </si>
  <si>
    <t>P25-50</t>
  </si>
  <si>
    <t>P90-99</t>
  </si>
  <si>
    <t>Personal taxes</t>
  </si>
  <si>
    <t>Total taxes</t>
  </si>
  <si>
    <t xml:space="preserve">Source: Guzzardi et al. (2024) Figure 11, Tax rate by income percentiles, 2015 and Figure 12, Tax rate by top income percentiles, 2015. Values were eyeballed. </t>
  </si>
  <si>
    <t>Berlusconi</t>
  </si>
  <si>
    <t>The estimate for Berlusconi's tax rate is for year 2020.</t>
  </si>
  <si>
    <t>Assumptions</t>
  </si>
  <si>
    <t>Tax rate under reform</t>
  </si>
  <si>
    <t>Current tax rate</t>
  </si>
  <si>
    <t xml:space="preserve">Source: Palomo et al. (2025), Table A1: Descriptive Statistics of Fiscal and Economic Income. Data is for year 2019. </t>
  </si>
  <si>
    <r>
      <t xml:space="preserve">Data </t>
    </r>
    <r>
      <rPr>
        <sz val="11"/>
        <color theme="1"/>
        <rFont val="Calibri"/>
        <family val="2"/>
        <scheme val="minor"/>
      </rPr>
      <t>(2019)</t>
    </r>
  </si>
  <si>
    <r>
      <t>Simulations</t>
    </r>
    <r>
      <rPr>
        <sz val="11"/>
        <color theme="1"/>
        <rFont val="Calibri"/>
        <family val="2"/>
        <scheme val="minor"/>
      </rPr>
      <t xml:space="preserve"> (2025)</t>
    </r>
  </si>
  <si>
    <r>
      <t xml:space="preserve">Simulations </t>
    </r>
    <r>
      <rPr>
        <sz val="11"/>
        <color theme="1"/>
        <rFont val="Calibri"/>
        <family val="2"/>
        <scheme val="minor"/>
      </rPr>
      <t>(2025)</t>
    </r>
  </si>
  <si>
    <r>
      <t xml:space="preserve">Data </t>
    </r>
    <r>
      <rPr>
        <sz val="11"/>
        <color theme="1"/>
        <rFont val="Calibri"/>
        <family val="2"/>
        <scheme val="minor"/>
      </rPr>
      <t>(2016)</t>
    </r>
  </si>
  <si>
    <r>
      <t>Data</t>
    </r>
    <r>
      <rPr>
        <sz val="11"/>
        <color theme="1"/>
        <rFont val="Calibri"/>
        <family val="2"/>
        <scheme val="minor"/>
      </rPr>
      <t xml:space="preserve"> (2016)</t>
    </r>
  </si>
  <si>
    <r>
      <t xml:space="preserve">Data </t>
    </r>
    <r>
      <rPr>
        <sz val="11"/>
        <color theme="1"/>
        <rFont val="Calibri"/>
        <family val="2"/>
        <scheme val="minor"/>
      </rPr>
      <t>(2015)</t>
    </r>
  </si>
  <si>
    <t>Notes: The tax rate estimate for billionaires comes from one single observation (Silvio Berlusconi in 2020)</t>
  </si>
  <si>
    <t>Share of wealth exposed</t>
  </si>
  <si>
    <t xml:space="preserve">See SaezZucman2020JEPData.xlsx, sheet DataF1(Forbes). </t>
  </si>
  <si>
    <t>Demetrio Guzzardi, Elisa Palagi, Andrea Roventini, Alessandro Santoro (2024). Reconstructing Income Inequality in Italy: New Evidence and Tax System Implications from Distributional National Accounts.</t>
  </si>
  <si>
    <t>This assumption allows a flexible choice of wealth threshold for the simulated wealth tax.</t>
  </si>
  <si>
    <t>Italy</t>
  </si>
  <si>
    <t>Brazil</t>
  </si>
  <si>
    <t>France</t>
  </si>
  <si>
    <t>Netherlands</t>
  </si>
  <si>
    <t>Country</t>
  </si>
  <si>
    <t>US</t>
  </si>
  <si>
    <t>Income to wealth ratio</t>
  </si>
  <si>
    <t>Income threshold (R$)</t>
  </si>
  <si>
    <t>Mean income above (R$)</t>
  </si>
  <si>
    <t>Gperc</t>
  </si>
  <si>
    <t xml:space="preserve">This assumption is necessary for computing the wealth tax liabilities from the income data. </t>
  </si>
  <si>
    <t xml:space="preserve">For the purpose of the simulations, we extrapolate these ratios to the other countries. </t>
  </si>
  <si>
    <r>
      <rPr>
        <b/>
        <sz val="11"/>
        <color theme="1"/>
        <rFont val="Calibri"/>
        <family val="2"/>
        <scheme val="minor"/>
      </rPr>
      <t>(a)</t>
    </r>
    <r>
      <rPr>
        <sz val="11"/>
        <color theme="1"/>
        <rFont val="Calibri"/>
        <family val="2"/>
        <scheme val="minor"/>
      </rPr>
      <t xml:space="preserve"> The income to wealth ratio within each group. </t>
    </r>
  </si>
  <si>
    <r>
      <rPr>
        <b/>
        <sz val="11"/>
        <color theme="1"/>
        <rFont val="Calibri"/>
        <family val="2"/>
        <scheme val="minor"/>
      </rPr>
      <t xml:space="preserve">(b) </t>
    </r>
    <r>
      <rPr>
        <sz val="11"/>
        <color theme="1"/>
        <rFont val="Calibri"/>
        <family val="2"/>
        <scheme val="minor"/>
      </rPr>
      <t>The distribution of wealth/income within each income group.</t>
    </r>
  </si>
  <si>
    <t xml:space="preserve">The only country for which there exist reliable estimates of income to wealth ratios at the very top of the income distribution is the US. </t>
  </si>
  <si>
    <t>ONLINE SIMULATIONS</t>
  </si>
  <si>
    <t xml:space="preserve">For each country and each income group, the 'Data' and 'Assumptions' values are provided as input to the simulations. </t>
  </si>
  <si>
    <t xml:space="preserve">The online simulator exactly replicates the simulation method implemented in this Excel file. </t>
  </si>
  <si>
    <t xml:space="preserve">The website then replicates the calculations implemented in the 'Simulations' columns, depending on the reform parameters chosen by the user. </t>
  </si>
  <si>
    <t>For any comment or suggestion, please contact Léonard Mouillet (EU Tax Observatory) : leonard.mouillet@psemail.eu</t>
  </si>
  <si>
    <t>CONTACT INFORMATION</t>
  </si>
  <si>
    <t xml:space="preserve">The present Excel file implements simulations of the effect of a minimum wealth tax on the progressivity of the tax system and on fiscal revenues, for different countries. </t>
  </si>
  <si>
    <r>
      <rPr>
        <b/>
        <sz val="11"/>
        <color theme="1"/>
        <rFont val="Calibri"/>
        <family val="2"/>
        <scheme val="minor"/>
      </rPr>
      <t xml:space="preserve">(i) </t>
    </r>
    <r>
      <rPr>
        <sz val="11"/>
        <color theme="1"/>
        <rFont val="Calibri"/>
        <family val="2"/>
        <scheme val="minor"/>
      </rPr>
      <t>Some data tabulations describing the distribution of pre-tax income and tax rate by pre-tax income group.</t>
    </r>
  </si>
  <si>
    <r>
      <rPr>
        <b/>
        <sz val="11"/>
        <color theme="1"/>
        <rFont val="Calibri"/>
        <family val="2"/>
        <scheme val="minor"/>
      </rPr>
      <t xml:space="preserve">(ii) </t>
    </r>
    <r>
      <rPr>
        <sz val="11"/>
        <color theme="1"/>
        <rFont val="Calibri"/>
        <family val="2"/>
        <scheme val="minor"/>
      </rPr>
      <t>Some assumptions regarding the link between wealth distribution and income distribution. Specifically, we make assumptions about:</t>
    </r>
  </si>
  <si>
    <t>p99.999p100</t>
  </si>
  <si>
    <t>p99.99p99.999</t>
  </si>
  <si>
    <t>p99.9p99.99</t>
  </si>
  <si>
    <t>p99p99.9</t>
  </si>
  <si>
    <t xml:space="preserve"> France</t>
  </si>
  <si>
    <t>Average pre-tax income within percentile group</t>
  </si>
  <si>
    <t xml:space="preserve">This assumption is necessary for ageing the values of income by group from the year they are based on to 2025, in order to compute fiscal revenues for year 2025. </t>
  </si>
  <si>
    <t xml:space="preserve">See 'WID' sheet and wid.world. </t>
  </si>
  <si>
    <r>
      <rPr>
        <b/>
        <sz val="11"/>
        <color theme="1"/>
        <rFont val="Calibri"/>
        <family val="2"/>
        <scheme val="minor"/>
      </rPr>
      <t xml:space="preserve">(iii) </t>
    </r>
    <r>
      <rPr>
        <sz val="11"/>
        <color theme="1"/>
        <rFont val="Calibri"/>
        <family val="2"/>
        <scheme val="minor"/>
      </rPr>
      <t xml:space="preserve">Some assumptions on the nominal income growth rate by income group. </t>
    </r>
  </si>
  <si>
    <t>We use nominal income growth rates by income group and by country from the World Inequality Database.</t>
  </si>
  <si>
    <t>Number of units exposed</t>
  </si>
  <si>
    <t>Number of units</t>
  </si>
  <si>
    <t>Patero coefficient alpha</t>
  </si>
  <si>
    <t>Corrected  alpha</t>
  </si>
  <si>
    <t>Wealth threshold</t>
  </si>
  <si>
    <t>Extra fiscal revenues</t>
  </si>
  <si>
    <t>gperc</t>
  </si>
  <si>
    <t>nb</t>
  </si>
  <si>
    <t>thres</t>
  </si>
  <si>
    <t>sh</t>
  </si>
  <si>
    <t>avg</t>
  </si>
  <si>
    <t>tax</t>
  </si>
  <si>
    <t>effrate</t>
  </si>
  <si>
    <t>salestax</t>
  </si>
  <si>
    <t>proptax</t>
  </si>
  <si>
    <t>govcontrib</t>
  </si>
  <si>
    <t>ditax</t>
  </si>
  <si>
    <t>corptax</t>
  </si>
  <si>
    <t>estatetax</t>
  </si>
  <si>
    <t>P99.999-Billionaires</t>
  </si>
  <si>
    <t xml:space="preserve">Akcan S. Balkir, Emmanuel Saez, Danny Yagan, Gabriel Zucman (2025). How Much Tax Do US Billionaires Pay? Evidence From Administrative Data. </t>
  </si>
  <si>
    <t>Billionaires</t>
  </si>
  <si>
    <t>Top 0,00005% (top 100)</t>
  </si>
  <si>
    <t>Next 0,00015% (next 300)</t>
  </si>
  <si>
    <t>Including pure capital gains</t>
  </si>
  <si>
    <t>Total realized capital gains included in economic income of the top 0,0002%</t>
  </si>
  <si>
    <t>Excluding pure capital gains</t>
  </si>
  <si>
    <t xml:space="preserve">Sources: US DINA files for 2021 (PSZ, 2018) and Balkir et al. (2025). See formulas. </t>
  </si>
  <si>
    <t>Source: Piketty, Saez, Zucman (2018). US DINA files for year 2019. See https://gabriel-zucman.eu/usdina/</t>
  </si>
  <si>
    <t xml:space="preserve">Note: Unit of observation is tax unit. Income variable is 'peinc' (no capital gain included). </t>
  </si>
  <si>
    <t xml:space="preserve">Data reported in the paper was completed with additional data provided by the authors (values in light grey). </t>
  </si>
  <si>
    <t>Notes: R$ values are converted to USD values using the end-of-year market exchange rate of USD 1 = R$ 4.03 for 2019</t>
  </si>
  <si>
    <t xml:space="preserve">Tax rate estimates for P99.99-P99.999 and for P99.999-Billionnaires are linearly interpolated. </t>
  </si>
  <si>
    <t xml:space="preserve">Individual tax rates for the top three income groups are calculated by extrapolating the individual tax rate to total tax rate ratio observed for P99.99-P100. </t>
  </si>
  <si>
    <t xml:space="preserve">Income shares are from WID.world (ptinc992j, 2016). They are included for more precise tax rates aggregation. </t>
  </si>
  <si>
    <t>Summary of revenu estimates</t>
  </si>
  <si>
    <t>2% rate</t>
  </si>
  <si>
    <t>3% rate</t>
  </si>
  <si>
    <t>Centi-millionaires</t>
  </si>
  <si>
    <t>United States</t>
  </si>
  <si>
    <t xml:space="preserve">Thomas Piketty, Emmanuel Saez, Gabriel Zucman (2018). Distributional National Accounts: Methods and Estimates for the United States. </t>
  </si>
  <si>
    <t xml:space="preserve">The file contains one sheet per data sources, containing the data which is used as input to the simulations. Specifically, we use the following studies on income distribution and tax prgressivity in different countries: </t>
  </si>
  <si>
    <t>Average wealth</t>
  </si>
  <si>
    <t>LIST OF DATA SOURCES</t>
  </si>
  <si>
    <t>P99.999-P100</t>
  </si>
  <si>
    <t>Billionaires List</t>
  </si>
  <si>
    <t>Total wealth (€B)</t>
  </si>
  <si>
    <t>Total wealth ($B)</t>
  </si>
  <si>
    <t>Pareto coefficient b</t>
  </si>
  <si>
    <t>Top income group</t>
  </si>
  <si>
    <t>Number of units (N)</t>
  </si>
  <si>
    <t>Average income of N top units</t>
  </si>
  <si>
    <t>Estimated ratio</t>
  </si>
  <si>
    <t>Average wealth ($B)</t>
  </si>
  <si>
    <r>
      <t>Average wealth (</t>
    </r>
    <r>
      <rPr>
        <sz val="11"/>
        <color rgb="FF000000"/>
        <rFont val="Calibri"/>
        <family val="2"/>
      </rPr>
      <t>€</t>
    </r>
    <r>
      <rPr>
        <sz val="11"/>
        <color rgb="FF000000"/>
        <rFont val="Calibri"/>
        <family val="2"/>
        <scheme val="minor"/>
      </rPr>
      <t>B)</t>
    </r>
  </si>
  <si>
    <t>p99p99.1</t>
  </si>
  <si>
    <t>p99.9p99.91</t>
  </si>
  <si>
    <t>p99.99p99.991</t>
  </si>
  <si>
    <t>Sources: Guzzardi et al. (2024). See formulas.</t>
  </si>
  <si>
    <t xml:space="preserve">For dissagregating income shares within the bottom 50%, we apply the incomes shares observed in France (Bach et al., 2025). </t>
  </si>
  <si>
    <t xml:space="preserve">For dissagregating income values within the top 0.1%, we assume a Pareto distribution. </t>
  </si>
  <si>
    <t>(Pareto coefficient used in the simulations for dissagregating the top 0,1%)</t>
  </si>
  <si>
    <t xml:space="preserve">Notes: Since the number of units differ between Forbes lists and the top income group from the studies, we cannot immediately divide average income by average income from both sides. </t>
  </si>
  <si>
    <t>Sources:  Real-Time Billionaire data from Forbes, retrieved on December 1, 2025. Billionnaire data for France comes from the 2024 ranking by Challenges.</t>
  </si>
  <si>
    <t xml:space="preserve">Income data comes from the country specific studies (see formulas). </t>
  </si>
  <si>
    <t xml:space="preserve">We therefore use a calibrated Pareto coefficient in order to correct the average income of the top group and to make it coincide with the average income of the top N units, </t>
  </si>
  <si>
    <t xml:space="preserve">where N is the number of units in the Forbes list. </t>
  </si>
  <si>
    <t>We assume that units in the Forbes list are equivalent to households, in the sense of either couples or single individuals. This is already the unit of observation used for France and the US.</t>
  </si>
  <si>
    <t>Household multiplier</t>
  </si>
  <si>
    <t xml:space="preserve">We apply a household multiplier to Netherlands, Brazil and Italy income data, so as to make the unit of observation somehow coincide with the Forbes list. </t>
  </si>
  <si>
    <t xml:space="preserve">This method closely reproduces the reference estimate of 4,9% for the US. </t>
  </si>
  <si>
    <t xml:space="preserve">Based on this table and on the initial benchmark of 4,9% (US estimate), we retain the following assumptions for the simulations : </t>
  </si>
  <si>
    <t xml:space="preserve">Income and wealth are assumed to follow a (bounded) Pareto-distribution within each income group, where the Pareto coefficient is estimated from income threshold and average income in the group. </t>
  </si>
  <si>
    <t>We choose not to directly use the income distribution from the WID because the income distribution provided in each country-specific study is more granular (up to the top 0,0001% income group)</t>
  </si>
  <si>
    <t>See 'Income to wealth ratios' sheet.</t>
  </si>
  <si>
    <t xml:space="preserve">Income to wealth ratio is assumed uniform over each income group. </t>
  </si>
  <si>
    <t xml:space="preserve">For billionaires, we use country specific assumptions based on the US benchmark (4,9%), that we adjust according to average wealth reported in Bilionnaires lists. </t>
  </si>
  <si>
    <t xml:space="preserve">Notes:  Amounts are €B for France, Netherlands, Italy, and $B for US and Brazil. </t>
  </si>
  <si>
    <t xml:space="preserve">Previous estimates use Real-Time Billionaire data from Forbes (retrieved on March 3, 2025). </t>
  </si>
  <si>
    <t>They assume a current effective tax rate of billionaires equal to 0.2% (0,6% for the US) of their wealth,</t>
  </si>
  <si>
    <t xml:space="preserve">Current estimates start from country specific estimates of income distribution and tax progressivity for year 2025. </t>
  </si>
  <si>
    <t xml:space="preserve">They apply decreasing income to wealth ratio at the top of the distribution. </t>
  </si>
  <si>
    <r>
      <t>Revenue estimates (</t>
    </r>
    <r>
      <rPr>
        <b/>
        <sz val="11"/>
        <color theme="1"/>
        <rFont val="Calibri"/>
        <family val="2"/>
        <scheme val="minor"/>
      </rPr>
      <t>above</t>
    </r>
    <r>
      <rPr>
        <sz val="11"/>
        <color theme="1"/>
        <rFont val="Calibri"/>
        <family val="2"/>
        <scheme val="minor"/>
      </rPr>
      <t>) for different wealth tax scenarios, and comparison with previous estimates (</t>
    </r>
    <r>
      <rPr>
        <i/>
        <sz val="11"/>
        <color theme="1"/>
        <rFont val="Calibri"/>
        <family val="2"/>
        <scheme val="minor"/>
      </rPr>
      <t>below</t>
    </r>
    <r>
      <rPr>
        <sz val="11"/>
        <color theme="1"/>
        <rFont val="Calibri"/>
        <family val="2"/>
        <scheme val="minor"/>
      </rPr>
      <t>)</t>
    </r>
  </si>
  <si>
    <t>Comments</t>
  </si>
  <si>
    <t xml:space="preserve"> USA</t>
  </si>
  <si>
    <t xml:space="preserve"> Netherlands</t>
  </si>
  <si>
    <t xml:space="preserve"> Italy</t>
  </si>
  <si>
    <t xml:space="preserve"> Brazil</t>
  </si>
  <si>
    <t xml:space="preserve">Percentile </t>
  </si>
  <si>
    <t xml:space="preserve">Country </t>
  </si>
  <si>
    <t xml:space="preserve">Source: Downloaded from wid.world on 05-02-2026 at 11:06:23. </t>
  </si>
  <si>
    <t>Annual nominal growth rate</t>
  </si>
  <si>
    <t>Source: Downloaded from wid.world on 05-02-2026 at 11:39:59</t>
  </si>
  <si>
    <t>Income thresholds for entering pre-tax income percentile groups</t>
  </si>
  <si>
    <t>Source: Downloaded from wid.world on 05-02-2026 at 12:05:44</t>
  </si>
  <si>
    <t>Notes: Variable tptinc_992_j. Amounts are expressed in current local currency. The population is comprised of individuals over age 20. The base unit is the individual and resources are split equally within couples.</t>
  </si>
  <si>
    <t>Notes: Variable aptinc_992_j. Amounts are expressed in current local currency. The population is comprised of individuals over age 20. The base unit is the individual and resources are split equally within couples.</t>
  </si>
  <si>
    <t xml:space="preserve">Notes: Variable npopul_992_i. The population is comprised of individuals over age 20. </t>
  </si>
  <si>
    <t>Adult population</t>
  </si>
  <si>
    <t>Population growth</t>
  </si>
  <si>
    <t>Nominal growth rate (average)</t>
  </si>
  <si>
    <t>Nominal growth rate (threshold)</t>
  </si>
  <si>
    <t>Current wealth tax rate</t>
  </si>
  <si>
    <t>than the WID data (which only goes up to the top 0,001% income group). We however apply distinct growth rates to the average income and to the income threshold of each group, based on the observed</t>
  </si>
  <si>
    <t xml:space="preserve">growth rates of these two variables in WID data, for each group and each country. This allows to account for changes in the income distribution that are captured by WID data. </t>
  </si>
  <si>
    <t xml:space="preserve">and use a simple multiplicative factors of 1.55 (for 2% rate) and 1.79 (for 3% rate) when moving from revenue for billionaires to revenue for centi-millionaires. </t>
  </si>
  <si>
    <t xml:space="preserve">When the chosen income to wealth ratio is closed to the Forbes calibrated one, billionnaires estimates are very close to previous estimates. </t>
  </si>
  <si>
    <t xml:space="preserve">When the chosen income to wealth ratio is larger (smaller) than the Forbes calibrated one, billionnaires estimates are lower (higher) than previous estimates. </t>
  </si>
  <si>
    <t xml:space="preserve">The 1,55 multiplication rule from previous estimates is contradicted by simulations based on country-specific income distributions. This explains the estimation discrepancies for centi-millionaires scenarios. </t>
  </si>
  <si>
    <t>There is therefore a trade-off between the confidence we can place in the Forbes data (timely and based on observed wealth, but uncertain coverage and limited granularity)</t>
  </si>
  <si>
    <t xml:space="preserve">and the information conveyed by income distributions (no direct wealth data, but broad coverage, well-defined granularity, and direct connection to tax rate estimates). </t>
  </si>
  <si>
    <t xml:space="preserve">Non-billionaires already face effective personal wealth tax rate larger than 2%, so they are only taxed in the 3% scenario and generate few revenues. </t>
  </si>
  <si>
    <t xml:space="preserve">Low billionaire wealth in Forbes compared to income concentration in income data. Reconcilied with lower income to wealth ratio assumption than Forbes calibration. </t>
  </si>
  <si>
    <t xml:space="preserve">High billionaire wealth in Forbes compared to income concentration in income data. Reconcilied with higher income to wealth ratio assumption than Forbes calibration. </t>
  </si>
  <si>
    <t xml:space="preserve">Current wealth tax rate (0,03% for the top income group) lower than the 0,2% hypothesis used in previous estimates. Significant centimilionnaires estimate discrepancy because current simulation capture numerous centimillionaires with low effective tax rates. </t>
  </si>
  <si>
    <t xml:space="preserve">Billionaires estimates coincide very well. </t>
  </si>
  <si>
    <t xml:space="preserve">Source: Balkir et al. (2025), Table A6. </t>
  </si>
  <si>
    <t xml:space="preserve">Source : Balkir et al. (2025), Tables 1 and 2. </t>
  </si>
  <si>
    <t xml:space="preserve">Notes:  Estimates are for years 2018-2020. Observations are tax units. </t>
  </si>
  <si>
    <t xml:space="preserve">Income concept in the paper includes "pure capital gains". We use the total amount of pure capital gains provided in the paper in order to remove them from income and to align with the income concept used for the other countries. </t>
  </si>
  <si>
    <t xml:space="preserve">Tax rates for groups P10-P20 and P20-P30 are taken equal to the tax rate estimate for P25-P50. </t>
  </si>
  <si>
    <t>Source: Bruil et al. (2025), Figure 6: The effective tax rate by tax type. The unit of analysis is the individual adult and income is split equally among the adult members of a household. Adults are ranked by their pre-tax national income. Estimates are for year 2016.</t>
  </si>
  <si>
    <t xml:space="preserve">Source: Bruil et al. (2025), Table 2: The distribution of pre and post-tax income in 2016. The unit of analysis is the adult (20+ years old) and income is split among all adult members of a household equally. Income groups are defined in terms of all adults in the population, with adults ranked according to pre-tax national income. </t>
  </si>
  <si>
    <t>Nature des revenus et transferts</t>
  </si>
  <si>
    <t>V1</t>
  </si>
  <si>
    <t>V2</t>
  </si>
  <si>
    <t>V3</t>
  </si>
  <si>
    <t>V4</t>
  </si>
  <si>
    <t>V5</t>
  </si>
  <si>
    <t>V6</t>
  </si>
  <si>
    <t>V7</t>
  </si>
  <si>
    <t>V8</t>
  </si>
  <si>
    <t>V9</t>
  </si>
  <si>
    <t>V10</t>
  </si>
  <si>
    <t>V11</t>
  </si>
  <si>
    <t>V12</t>
  </si>
  <si>
    <t>V13</t>
  </si>
  <si>
    <t>V14</t>
  </si>
  <si>
    <t>V15</t>
  </si>
  <si>
    <t>V16</t>
  </si>
  <si>
    <t>V17</t>
  </si>
  <si>
    <t>V18</t>
  </si>
  <si>
    <t>V19</t>
  </si>
  <si>
    <t>V20</t>
  </si>
  <si>
    <t>RNN avant transferts : Revenus primaires élargis</t>
  </si>
  <si>
    <t>Prélèvements</t>
  </si>
  <si>
    <t>Prestations sociales monétaires</t>
  </si>
  <si>
    <t>Transferts non monétaires</t>
  </si>
  <si>
    <t>Épargne nette des APU</t>
  </si>
  <si>
    <t>Autres transferts et soldes des ISBLSM et avec le reste du monde</t>
  </si>
  <si>
    <t>RNN après transferts : niveau de vie élargi</t>
  </si>
  <si>
    <t>Revenu disponible des ménages (RDN)</t>
  </si>
  <si>
    <t>Revenu disponible ajusté des ménages (RDNA)</t>
  </si>
  <si>
    <t>Nombre d'individus (en millions)</t>
  </si>
  <si>
    <t>Nombre d'unités de consommation (en millions)</t>
  </si>
  <si>
    <t xml:space="preserve">   Revenus des facteurs</t>
  </si>
  <si>
    <t xml:space="preserve">      dont Revenus salariaux bruts</t>
  </si>
  <si>
    <t xml:space="preserve">      dont Revenus mixtes des indépendants</t>
  </si>
  <si>
    <t xml:space="preserve">      dont Revenus du patrimoine</t>
  </si>
  <si>
    <t xml:space="preserve">   Profits non distribués</t>
  </si>
  <si>
    <t xml:space="preserve">      dont Taxes et subventions sur les produits (TVA, TICPE, accises, etc.)</t>
  </si>
  <si>
    <t xml:space="preserve">      dont Taxes et subventions sur la production (taxes patronales, TF, etc.)</t>
  </si>
  <si>
    <t xml:space="preserve">      dont Impôts sur les revenus et le patrimoine (IR, CSG, IS, TH, ISF/IFI, CRDS, etc.)</t>
  </si>
  <si>
    <t xml:space="preserve">      dont Cotisations sociales retraite</t>
  </si>
  <si>
    <t xml:space="preserve">      dont Autres cotisations sociales et régimes particuliers de protection sociale (contrats collectifs)</t>
  </si>
  <si>
    <t xml:space="preserve">   Revenus primaires des APU et des ISBLSM</t>
  </si>
  <si>
    <t xml:space="preserve">      dont Retraites</t>
  </si>
  <si>
    <t xml:space="preserve">      dont Famille et pauvreté</t>
  </si>
  <si>
    <t xml:space="preserve">      dont Chômage et autres revenus de remplacement</t>
  </si>
  <si>
    <t xml:space="preserve">      dont Autres prestations sociales et remboursements complémentaires santé</t>
  </si>
  <si>
    <t xml:space="preserve">      dont Santé</t>
  </si>
  <si>
    <t xml:space="preserve">      dont Enseignement</t>
  </si>
  <si>
    <t xml:space="preserve">      dont Aides au logement</t>
  </si>
  <si>
    <t xml:space="preserve">      dont Autres transferts sociaux en nature individualisables</t>
  </si>
  <si>
    <t xml:space="preserve">      dont Dépenses collectives</t>
  </si>
  <si>
    <t>Alternative tax rate definitions</t>
  </si>
  <si>
    <t>D1</t>
  </si>
  <si>
    <t>D2</t>
  </si>
  <si>
    <t>D3</t>
  </si>
  <si>
    <t>D4</t>
  </si>
  <si>
    <t>D5</t>
  </si>
  <si>
    <t>D6</t>
  </si>
  <si>
    <t>D7</t>
  </si>
  <si>
    <t>D8</t>
  </si>
  <si>
    <t>D9</t>
  </si>
  <si>
    <t>D10</t>
  </si>
  <si>
    <t>All taxes / pretax income (broad)</t>
  </si>
  <si>
    <t>All taxes / pretax income (narrow)</t>
  </si>
  <si>
    <t>All taxes / narrow pretax income</t>
  </si>
  <si>
    <t>All taxes / broad pretax income</t>
  </si>
  <si>
    <t>(All taxes  -  share of indirect taxes paid out of transfer income) / broad pretax income</t>
  </si>
  <si>
    <t xml:space="preserve">Notes: Indirect taxes paid out of transfer income are computed by multiplying total indirect taxes by the share of monetary transfers in disposable income within each group. </t>
  </si>
  <si>
    <r>
      <t xml:space="preserve">Notes: Amounts are in </t>
    </r>
    <r>
      <rPr>
        <sz val="11"/>
        <color theme="1"/>
        <rFont val="Calibri"/>
        <family val="2"/>
      </rPr>
      <t>€ billion.</t>
    </r>
    <r>
      <rPr>
        <sz val="11"/>
        <color theme="1"/>
        <rFont val="Calibri"/>
        <family val="2"/>
        <scheme val="minor"/>
      </rPr>
      <t xml:space="preserve"> </t>
    </r>
  </si>
  <si>
    <t xml:space="preserve">Individuals are ranked by their "niveau de vie usuel", which is equal to usual disposable income by consumption unit within the household. In our simulations, and in standard tax progressivity analysis, individuals are ranked by their pretax income. </t>
  </si>
  <si>
    <t xml:space="preserve">We ignore this inconsistency and we take these tax rate estimate by disposable income group as an approximation of tax rates for the corresponding pretax income groups. </t>
  </si>
  <si>
    <r>
      <t xml:space="preserve">See Appendix 4 in Saez &amp; Zucman (2023), </t>
    </r>
    <r>
      <rPr>
        <i/>
        <sz val="11"/>
        <color theme="1"/>
        <rFont val="Calibri"/>
        <family val="2"/>
        <scheme val="minor"/>
      </rPr>
      <t>Distributional Tax Analysis in Theory and Practice: Harberger Meets Diamond-Mirrlees.</t>
    </r>
    <r>
      <rPr>
        <sz val="11"/>
        <color theme="1"/>
        <rFont val="Calibri"/>
        <family val="2"/>
        <scheme val="minor"/>
      </rPr>
      <t xml:space="preserve"> </t>
    </r>
  </si>
  <si>
    <t>Notes: We apply the WIL DINA guidelines to reconstitute the distribution of pretax income. See https://wid.world/document/distributional-national-accounts-guidelines-2020-concepts-and-methods-used-in-the-world-inequality-database/</t>
  </si>
  <si>
    <t>Non contributive SSCs</t>
  </si>
  <si>
    <t xml:space="preserve">Sources: INSEE (2024) and Bach et al. (2025). See formulas. </t>
  </si>
  <si>
    <t>Contributive SSCs</t>
  </si>
  <si>
    <t>Corrected Total</t>
  </si>
  <si>
    <t>Note: Tax rates from Bach et al. (2025) are corrected for incorporating indirect taxes and contributive SSCs.</t>
  </si>
  <si>
    <t xml:space="preserve">For computing broad pretax income (pretax income after the operation of pension and unemployment insurance systems), we first need to approximate the share of non pension SSCs that corresponds to "Unemployment benefits  and other replacement incomes". </t>
  </si>
  <si>
    <t xml:space="preserve">We then allocate the deficit of this broad notion of social insurance systems in proportion to the distribution of pretax income, as a level shifter. </t>
  </si>
  <si>
    <t xml:space="preserve">For computing narrow pretax income (pretax income after the operation of the pension system), we add pensions and subtract pension SSCs to factor income. We then allocate the deficit of the pension system in proportion to the distribution of pretax income, as a level shifter. </t>
  </si>
  <si>
    <t xml:space="preserve">Note: For dissagregating income shares within the bottom 50% and the middle 40%, we use the shares observed in France. </t>
  </si>
  <si>
    <t>Note: For computing income threshold for the billionnaires group, we apply the Pareto coefficient b = 3,44 from Saez &amp; Zucman (2020).</t>
  </si>
  <si>
    <t>See 'Bach et al. (2025)' sheet.</t>
  </si>
  <si>
    <t xml:space="preserve">Bach et al. (2025) estimates exclude "contributive" SSCs, where all pension and unemployment insurance SSCs are considered as contributive. </t>
  </si>
  <si>
    <t>Correction parameters</t>
  </si>
  <si>
    <t>Corrected tax rates</t>
  </si>
  <si>
    <t>Insee (2024). Comptes nationaux distribués 2022, base 2020. CND.101 - Comptes nationaux distribués selon les vingtièmes de niveau de vie usuel</t>
  </si>
  <si>
    <t>Source : Insee (2024), Comptes nationaux distribués 2022, base 2020. CND.101 - Comptes nationaux distribués selon les vingtièmes de niveau de vie usuel. See https://www.insee.fr/fr/statistiques/8194104</t>
  </si>
  <si>
    <t xml:space="preserve">Bach et al. (2025) estimates exclude taxes on production included in Insee (2024) under the cateogry "Taxes et subventions sur la production". </t>
  </si>
  <si>
    <t>Gift and inheritance taxes</t>
  </si>
  <si>
    <t>CSG</t>
  </si>
  <si>
    <t>Wealth tax</t>
  </si>
  <si>
    <t xml:space="preserve">Anchor variables </t>
  </si>
  <si>
    <t>Capital taxes</t>
  </si>
  <si>
    <t>incl.
Corporate taxes</t>
  </si>
  <si>
    <t>incl.
Others capital taxes</t>
  </si>
  <si>
    <t>incl.
Property taxes</t>
  </si>
  <si>
    <t>incl. Inheritance tax</t>
  </si>
  <si>
    <t>incl. Wealth taxes</t>
  </si>
  <si>
    <t>Top 10-1%</t>
  </si>
  <si>
    <t>Top 1-0.1%</t>
  </si>
  <si>
    <t>Top 0,1-0,01%</t>
  </si>
  <si>
    <t>Source: Bozio et al (2020), exportresults_tax.xlsx file, 'pretax_tax_det' sheet</t>
  </si>
  <si>
    <t>Ratio of property taxes to wealth taxes</t>
  </si>
  <si>
    <t>Ratio of inheritance tax to wealth taxes</t>
  </si>
  <si>
    <t xml:space="preserve">Notes: Estimates for year 2016 (before the change from ISF to IFI, as in Bach et al 2025). </t>
  </si>
  <si>
    <t xml:space="preserve">Taxes are expressed in % of pre-tax income, by income groups of equal-split adults. </t>
  </si>
  <si>
    <t>Inheritance tax' include both inheritance and gift taxes</t>
  </si>
  <si>
    <t>P99.99-P100</t>
  </si>
  <si>
    <t xml:space="preserve">Notes: We apply some corrections to Bach et al. (2025) tax rate estimates, in order to include some missing taxes. </t>
  </si>
  <si>
    <t xml:space="preserve">(i) For each missing tax, we choose an anchor tax from Bach et al (2025) and distribute the missing tax in proportion to this anchor. </t>
  </si>
  <si>
    <t xml:space="preserve">(ii) When we have good reasons to think that the missing tax is distributed more progressively (regressively) than the anchor, we use decreasing (increasing) multiplier along the income distribution. </t>
  </si>
  <si>
    <t>(iii) We calibrate the set of multipliers in such a way that the aggregate tax rates for group P90-P95 and P95-P100 matches the corresponding tax rates in Insee (2024).</t>
  </si>
  <si>
    <t xml:space="preserve">For contributive SSCs, indirect taxes and production taxes, our corrections are based on the following strategy: </t>
  </si>
  <si>
    <t>Details of the correction strategy:</t>
  </si>
  <si>
    <t>For inheritance and gift taxes, we use the ratio of inheritance and gift taxes to wealth tax observed in Bozio et al. (2020). See 'Bozio et al. (2020)' sheet.</t>
  </si>
  <si>
    <t xml:space="preserve">Bach et al. (2025) estimates exclude all indirect taxes. </t>
  </si>
  <si>
    <t xml:space="preserve">For computing rates on contributive SSCs, we usethe rate of non-contributive SSCs provided in Bach et al. (2025) as an anchor in order to capture the decreasing share of wage in pre-tax income. </t>
  </si>
  <si>
    <t xml:space="preserve">For computing indirect taxes rates, we use the flat-rate witholding tax (CSG) rate as an anchor in order to capture the decreasing share of cash disposable income (fiscal income) in pretax income. </t>
  </si>
  <si>
    <t xml:space="preserve">Contributive SSCs are more frequently capped than non contributive SSCs, and therefore much more regressive, so we apply drecreasing multipliers along the income distribution. </t>
  </si>
  <si>
    <t>In order to account for decreasing saving rates on fiscal income, we apply drecreasing multipliers along the income distribution.</t>
  </si>
  <si>
    <t>…</t>
  </si>
  <si>
    <t xml:space="preserve">Bach et al. (2025) estimates of wealth tax rate exclude inheritance and gift taxes. </t>
  </si>
  <si>
    <t xml:space="preserve">While the wealth tax (ISF) rates given in Bach et al (2025) provide a good anchor for distributing inheritance and gift taxes, the latter are less progressive than the former because of lower exemption threshold. </t>
  </si>
  <si>
    <t xml:space="preserve">This reflects in decreasing ratio of inheritance and gift tax to wealth tax along the income distribution in Bozio et al (2020). </t>
  </si>
  <si>
    <t xml:space="preserve">We impute inheritance and gift tax by applying these income-group-specific ratios to the wealth tax rates provided in Bach et al (2025). </t>
  </si>
  <si>
    <t>Source: Bach et al. (2025), Figure 6, Effective tax rates as a share of comprehensive income.</t>
  </si>
  <si>
    <t>Notes:  Tax household level. Data is for year 2016.</t>
  </si>
  <si>
    <t xml:space="preserve">Contributive SSCs multiplier  </t>
  </si>
  <si>
    <t xml:space="preserve">Induced SSCs tax rate  </t>
  </si>
  <si>
    <t xml:space="preserve">Insee target  </t>
  </si>
  <si>
    <t xml:space="preserve">Indirect taxes multiplier  </t>
  </si>
  <si>
    <t xml:space="preserve">Induced indirect tax rate  </t>
  </si>
  <si>
    <t xml:space="preserve">Production taxes multiplier  </t>
  </si>
  <si>
    <t xml:space="preserve">Induced production tax rate  </t>
  </si>
  <si>
    <t xml:space="preserve">Inheritance tax multiplier  </t>
  </si>
  <si>
    <t>P95-P100</t>
  </si>
  <si>
    <t>- foreign CIT</t>
  </si>
  <si>
    <t>+ imputed inheritance and gift taxes</t>
  </si>
  <si>
    <t>Bach et al (2025) total taxes</t>
  </si>
  <si>
    <t>+ all imputations</t>
  </si>
  <si>
    <t>Insee (2024) total taxes</t>
  </si>
  <si>
    <t>Billionaires income to wealth ratio estimations from income distributions and wealth recorded in Billionaire Lists</t>
  </si>
  <si>
    <t>Taxes on income and wealth</t>
  </si>
  <si>
    <t>Production taxes</t>
  </si>
  <si>
    <t>Breakdown by type of taxes</t>
  </si>
  <si>
    <t>Bach et al (2025) 'taxes on personal income and wealth'</t>
  </si>
  <si>
    <t>Insee (2024) 'taxes on personal income and wealth'</t>
  </si>
  <si>
    <t>Dividend imputed income share in Bach et al (2025)</t>
  </si>
  <si>
    <t>Table A2 in Bach et al. (2025)</t>
  </si>
  <si>
    <t>Bach et al. (2025) / Insee (2024) comparison</t>
  </si>
  <si>
    <t>Attributed deficit</t>
  </si>
  <si>
    <t>Benefits - Contributions</t>
  </si>
  <si>
    <t>All taxes / factor income</t>
  </si>
  <si>
    <t>(All taxes  -  share of indirect taxes paid out of transfer income including debt-financed pensions and unemployment benefits) / broad pretax income</t>
  </si>
  <si>
    <t xml:space="preserve">Debt financed pensions and unemployment benefits are computed as a fixed share of pensions and UB across income groups, where the share is equal to the aggregate ratio of deficit to total benefits. </t>
  </si>
  <si>
    <t>Indirect taxes (exluding those paid out of transfer income)</t>
  </si>
  <si>
    <t>Income concepts</t>
  </si>
  <si>
    <t>DINA Pretax income (narrow)</t>
  </si>
  <si>
    <t>DINA Pretax income (broad)</t>
  </si>
  <si>
    <t>IPP Economic income</t>
  </si>
  <si>
    <t>DINA Pretax factor income</t>
  </si>
  <si>
    <t xml:space="preserve">In 2022, total SSCs to the UI system were equal to 27,7 € billion. See: https://www.data.gouv.fr/datasets/depenses-et-recettes-de-lassurance-chomage. This represents 27,7 / 211,3 = 13,1% of total non pension SSCs and 27,7 / 307,4 = 9,0% of total pension SSCs.  </t>
  </si>
  <si>
    <t xml:space="preserve">In 2022, total SSCs to the AT-MP branch of Social Security were equal to 16,3 billion euros. See PLACSS - 2022 - Edition 2023 - REPSS - Financement. This represents 16,3 / 211,3 = 7,7% of total non pension SSCs or 16,3 / 307,4 = 5,3% of total pension SSCs. </t>
  </si>
  <si>
    <t>For computing broad pretax income, we add "Pensions" and "UB and other replacement income" and then subtract "Pensions SSCs" and 20,8% of "Other SSCs" to factor income within each group.</t>
  </si>
  <si>
    <t xml:space="preserve">This reconstruction method of the DINA concept of broad pretax income is slighly biased toward less concentration since SSCs to the UI system are capped and therefore more regressive than non pension SSCs in general. By allocating them in proportion to non pension SSCs, we underestimate the average pretax income of top income groups. </t>
  </si>
  <si>
    <t>Income share in Insee (2024) (IPP economic income)</t>
  </si>
  <si>
    <t>Income share in Insee (2024) (DINA pretax income)</t>
  </si>
  <si>
    <t>Economic income share in Bach et al (2025)</t>
  </si>
  <si>
    <t>Income shares</t>
  </si>
  <si>
    <t>Tax rates</t>
  </si>
  <si>
    <t>Difference:</t>
  </si>
  <si>
    <t>Taxes on production</t>
  </si>
  <si>
    <t>Observed ratios in US joint distribution of income and wealth</t>
  </si>
  <si>
    <t xml:space="preserve">Notes: Unit of observation is taxunit. Income variable is 'peinc'. </t>
  </si>
  <si>
    <t>Sources: Joint distribution of income and wealth is from US DINA files (PSZ 2018, https://gabriel-zucman.eu/usdina/)</t>
  </si>
  <si>
    <t>US DINA files (PSZ 2018) for year 2024 show a ratio of 13,0% for P99-P99.9, 10,8% for for P99.9-P99.99, 8,3% for for P99.99-P99.999, and 7,4% for P99.999-P99.9998. See 'Income to wealth ratios' sheet.</t>
  </si>
  <si>
    <t>In all countries, it is taken equal to 13.0% for P99-P99.9, 10.8% for for P99.9-P99.99, 8.3% for for P99.99-P99.999, and 7.4% for P99.999-Billionaires.</t>
  </si>
  <si>
    <t xml:space="preserve">Balkir et al (2025) find an income to wealth ratio of 4.9% for the top 400 billionnaires (after excluding pure realized capital gains) for years 2018-2020. </t>
  </si>
  <si>
    <t xml:space="preserve">For other countries, we adjust this benchmark based on some calibrations made from the average wealth per billionaire recorded in the Forbes list.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</si>
</sst>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6">
    <numFmt numFmtId="43" formatCode="_-* #,##0.00_-;\-* #,##0.00_-;_-* &quot;-&quot;??_-;_-@_-"/>
    <numFmt numFmtId="164" formatCode="_ * #,##0.00_)\ _$_U_S_ ;_ * \(#,##0.00\)\ _$_U_S_ ;_ * &quot;-&quot;??_)\ _$_U_S_ ;_ @_ "/>
    <numFmt numFmtId="165" formatCode="&quot;$&quot;#,##0_);\(&quot;$&quot;#,##0\)"/>
    <numFmt numFmtId="166" formatCode="General_)"/>
    <numFmt numFmtId="167" formatCode="_-* #,##0.00\ _€_-;\-* #,##0.00\ _€_-;_-* &quot;-&quot;??\ _€_-;_-@_-"/>
    <numFmt numFmtId="168" formatCode="#,##0.000"/>
    <numFmt numFmtId="169" formatCode="#,##0.0"/>
    <numFmt numFmtId="170" formatCode="#,##0.00__;\-#,##0.00__;#,##0.00__;@__"/>
    <numFmt numFmtId="171" formatCode="_ * #,##0.00_ ;_ * \-#,##0.00_ ;_ * &quot;-&quot;??_ ;_ @_ "/>
    <numFmt numFmtId="172" formatCode="_ * #,##0.00_)\ _€_ ;_ * \(#,##0.00\)\ _€_ ;_ * &quot;-&quot;??_)\ _€_ ;_ @_ "/>
    <numFmt numFmtId="173" formatCode="\$#,##0\ ;\(\$#,##0\)"/>
    <numFmt numFmtId="174" formatCode="0.0%"/>
    <numFmt numFmtId="175" formatCode="_-* #,##0.00\ _z_ł_-;\-* #,##0.00\ _z_ł_-;_-* &quot;-&quot;??\ _z_ł_-;_-@_-"/>
    <numFmt numFmtId="176" formatCode="#,##0;[Red]#,##0"/>
    <numFmt numFmtId="177" formatCode="0.0"/>
    <numFmt numFmtId="178" formatCode="_-* #,##0.00\ _k_r_._-;\-* #,##0.00\ _k_r_._-;_-* &quot;-&quot;??\ _k_r_._-;_-@_-"/>
    <numFmt numFmtId="179" formatCode="_(&quot;$&quot;* #,##0.00_);_(&quot;$&quot;* \(#,##0.00\);_(&quot;$&quot;* &quot;-&quot;??_);_(@_)"/>
    <numFmt numFmtId="180" formatCode="0.000%"/>
    <numFmt numFmtId="181" formatCode="_-* #,##0_-;\-* #,##0_-;_-* &quot;-&quot;??_-;_-@_-"/>
    <numFmt numFmtId="182" formatCode="_-* #,##0\ _€_-;\-* #,##0\ _€_-;_-* &quot;-&quot;?\ _€_-;_-@_-"/>
    <numFmt numFmtId="183" formatCode="0.000"/>
    <numFmt numFmtId="184" formatCode="0.0E+00"/>
    <numFmt numFmtId="185" formatCode="_-* #,##0\ _€_-;\-* #,##0\ _€_-;_-* &quot;-&quot;??\ _€_-;_-@_-"/>
    <numFmt numFmtId="186" formatCode="_-* #,##0.000_-;\-* #,##0.000_-;_-* &quot;-&quot;??_-;_-@_-"/>
    <numFmt numFmtId="187" formatCode="#,##0.0000"/>
    <numFmt numFmtId="188" formatCode="0.0000"/>
  </numFmts>
  <fonts count="105">
    <font>
      <sz val="11"/>
      <color theme="1"/>
      <name val="Calibri"/>
      <family val="2"/>
      <scheme val="minor"/>
    </font>
    <font>
      <sz val="11"/>
      <color theme="1"/>
      <name val="Calibri"/>
      <family val="2"/>
      <scheme val="minor"/>
    </font>
    <font>
      <b/>
      <sz val="11"/>
      <color theme="1"/>
      <name val="Calibri"/>
      <family val="2"/>
      <scheme val="minor"/>
    </font>
    <font>
      <sz val="12"/>
      <color theme="1"/>
      <name val="Arial"/>
      <family val="2"/>
    </font>
    <font>
      <sz val="12"/>
      <color theme="1"/>
      <name val="Calibri"/>
      <family val="2"/>
      <charset val="129"/>
      <scheme val="minor"/>
    </font>
    <font>
      <sz val="11"/>
      <color indexed="8"/>
      <name val="Calibri"/>
      <family val="2"/>
    </font>
    <font>
      <sz val="11"/>
      <color indexed="9"/>
      <name val="Calibri"/>
      <family val="2"/>
    </font>
    <font>
      <sz val="11"/>
      <color indexed="20"/>
      <name val="Calibri"/>
      <family val="2"/>
    </font>
    <font>
      <sz val="9"/>
      <color indexed="9"/>
      <name val="Times"/>
      <family val="1"/>
    </font>
    <font>
      <b/>
      <sz val="11"/>
      <color indexed="52"/>
      <name val="Calibri"/>
      <family val="2"/>
    </font>
    <font>
      <b/>
      <sz val="11"/>
      <color indexed="9"/>
      <name val="Calibri"/>
      <family val="2"/>
    </font>
    <font>
      <sz val="9"/>
      <color indexed="8"/>
      <name val="Times"/>
      <family val="1"/>
    </font>
    <font>
      <sz val="10"/>
      <name val="Arial"/>
      <family val="2"/>
    </font>
    <font>
      <sz val="12"/>
      <color indexed="24"/>
      <name val="Arial"/>
      <family val="2"/>
    </font>
    <font>
      <sz val="8"/>
      <name val="Helvetica"/>
    </font>
    <font>
      <b/>
      <sz val="8"/>
      <color indexed="24"/>
      <name val="Times New Roman"/>
      <family val="1"/>
    </font>
    <font>
      <sz val="8"/>
      <color indexed="24"/>
      <name val="Times New Roman"/>
      <family val="1"/>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sz val="11"/>
      <color indexed="62"/>
      <name val="Calibri"/>
      <family val="2"/>
    </font>
    <font>
      <u/>
      <sz val="12"/>
      <color indexed="12"/>
      <name val="Calibri"/>
      <family val="2"/>
    </font>
    <font>
      <sz val="11"/>
      <color indexed="52"/>
      <name val="Calibri"/>
      <family val="2"/>
    </font>
    <font>
      <sz val="11"/>
      <color indexed="60"/>
      <name val="Calibri"/>
      <family val="2"/>
    </font>
    <font>
      <sz val="12"/>
      <color theme="1"/>
      <name val="Calibri"/>
      <family val="2"/>
      <scheme val="minor"/>
    </font>
    <font>
      <sz val="11"/>
      <name val="Calibri"/>
      <family val="2"/>
    </font>
    <font>
      <sz val="12"/>
      <color indexed="8"/>
      <name val="Calibri"/>
      <family val="2"/>
    </font>
    <font>
      <sz val="10"/>
      <name val="Verdana"/>
      <family val="2"/>
    </font>
    <font>
      <sz val="9"/>
      <name val="Times New Roman"/>
      <family val="1"/>
    </font>
    <font>
      <sz val="10"/>
      <color indexed="8"/>
      <name val="Times"/>
      <family val="1"/>
    </font>
    <font>
      <sz val="9"/>
      <name val="Times"/>
    </font>
    <font>
      <sz val="12"/>
      <name val="Arial CE"/>
    </font>
    <font>
      <b/>
      <sz val="11"/>
      <color indexed="63"/>
      <name val="Calibri"/>
      <family val="2"/>
    </font>
    <font>
      <sz val="7"/>
      <name val="Helvetica"/>
    </font>
    <font>
      <b/>
      <sz val="18"/>
      <color indexed="56"/>
      <name val="Cambria"/>
      <family val="2"/>
    </font>
    <font>
      <sz val="11"/>
      <color indexed="10"/>
      <name val="Calibri"/>
      <family val="2"/>
    </font>
    <font>
      <sz val="10"/>
      <name val="Times"/>
      <family val="1"/>
    </font>
    <font>
      <sz val="11"/>
      <name val="Arial"/>
      <family val="2"/>
    </font>
    <font>
      <u/>
      <sz val="12"/>
      <color theme="10"/>
      <name val="Arial"/>
      <family val="2"/>
    </font>
    <font>
      <b/>
      <sz val="15"/>
      <color theme="3"/>
      <name val="Arial"/>
      <family val="2"/>
    </font>
    <font>
      <b/>
      <sz val="13"/>
      <color theme="3"/>
      <name val="Arial"/>
      <family val="2"/>
    </font>
    <font>
      <b/>
      <sz val="11"/>
      <color theme="3"/>
      <name val="Arial"/>
      <family val="2"/>
    </font>
    <font>
      <sz val="10"/>
      <color theme="1"/>
      <name val="Arial"/>
      <family val="2"/>
    </font>
    <font>
      <sz val="10"/>
      <color theme="0"/>
      <name val="Arial"/>
      <family val="2"/>
    </font>
    <font>
      <sz val="10"/>
      <color rgb="FF9C0006"/>
      <name val="Arial"/>
      <family val="2"/>
    </font>
    <font>
      <b/>
      <sz val="10"/>
      <color rgb="FFFA7D00"/>
      <name val="Arial"/>
      <family val="2"/>
    </font>
    <font>
      <b/>
      <sz val="10"/>
      <color theme="0"/>
      <name val="Arial"/>
      <family val="2"/>
    </font>
    <font>
      <i/>
      <sz val="10"/>
      <color rgb="FF7F7F7F"/>
      <name val="Arial"/>
      <family val="2"/>
    </font>
    <font>
      <sz val="10"/>
      <color rgb="FF006100"/>
      <name val="Arial"/>
      <family val="2"/>
    </font>
    <font>
      <u/>
      <sz val="10"/>
      <color indexed="12"/>
      <name val="Verdana"/>
      <family val="2"/>
    </font>
    <font>
      <sz val="10"/>
      <color rgb="FF3F3F76"/>
      <name val="Arial"/>
      <family val="2"/>
    </font>
    <font>
      <sz val="10"/>
      <color rgb="FFFA7D00"/>
      <name val="Arial"/>
      <family val="2"/>
    </font>
    <font>
      <sz val="10"/>
      <color rgb="FF9C6500"/>
      <name val="Arial"/>
      <family val="2"/>
    </font>
    <font>
      <sz val="12"/>
      <color theme="1"/>
      <name val="Garamond"/>
      <family val="2"/>
    </font>
    <font>
      <b/>
      <sz val="10"/>
      <color rgb="FF3F3F3F"/>
      <name val="Arial"/>
      <family val="2"/>
    </font>
    <font>
      <b/>
      <sz val="10"/>
      <color theme="1"/>
      <name val="Arial"/>
      <family val="2"/>
    </font>
    <font>
      <sz val="10"/>
      <color rgb="FFFF0000"/>
      <name val="Arial"/>
      <family val="2"/>
    </font>
    <font>
      <sz val="11"/>
      <color indexed="8"/>
      <name val="Calibri"/>
      <family val="2"/>
      <scheme val="minor"/>
    </font>
    <font>
      <sz val="11"/>
      <name val="Calibri"/>
      <family val="2"/>
      <scheme val="minor"/>
    </font>
    <font>
      <b/>
      <sz val="12"/>
      <color theme="1"/>
      <name val="Calibri"/>
      <family val="2"/>
      <scheme val="minor"/>
    </font>
    <font>
      <sz val="11"/>
      <color rgb="FF000000"/>
      <name val="Calibri"/>
      <family val="2"/>
      <scheme val="minor"/>
    </font>
    <font>
      <b/>
      <sz val="11"/>
      <name val="Calibri"/>
      <family val="2"/>
      <scheme val="minor"/>
    </font>
    <font>
      <i/>
      <sz val="11"/>
      <color theme="1"/>
      <name val="Calibri"/>
      <family val="2"/>
      <scheme val="minor"/>
    </font>
    <font>
      <sz val="11"/>
      <name val="Arial"/>
      <family val="2"/>
    </font>
    <font>
      <sz val="10"/>
      <color theme="1"/>
      <name val="Calibri"/>
      <family val="2"/>
      <scheme val="minor"/>
    </font>
    <font>
      <sz val="10"/>
      <name val="Arial"/>
      <family val="2"/>
    </font>
    <font>
      <sz val="12"/>
      <color indexed="24"/>
      <name val="Arial"/>
      <family val="2"/>
    </font>
    <font>
      <b/>
      <sz val="8"/>
      <color indexed="24"/>
      <name val="Times New Roman"/>
      <family val="1"/>
    </font>
    <font>
      <sz val="8"/>
      <color indexed="24"/>
      <name val="Times New Roman"/>
      <family val="1"/>
    </font>
    <font>
      <sz val="11"/>
      <name val="Calibri"/>
      <family val="2"/>
    </font>
    <font>
      <sz val="10"/>
      <name val="Verdana"/>
      <family val="2"/>
    </font>
    <font>
      <b/>
      <sz val="11"/>
      <color theme="4" tint="-0.499984740745262"/>
      <name val="Calibri"/>
      <family val="2"/>
      <scheme val="minor"/>
    </font>
    <font>
      <b/>
      <sz val="11"/>
      <color theme="4" tint="0.39997558519241921"/>
      <name val="Calibri"/>
      <family val="2"/>
      <scheme val="minor"/>
    </font>
    <font>
      <b/>
      <sz val="11"/>
      <color rgb="FFC00000"/>
      <name val="Calibri"/>
      <family val="2"/>
      <scheme val="minor"/>
    </font>
    <font>
      <b/>
      <sz val="11"/>
      <color theme="5"/>
      <name val="Calibri"/>
      <family val="2"/>
      <scheme val="minor"/>
    </font>
    <font>
      <b/>
      <sz val="11"/>
      <color rgb="FFFF6565"/>
      <name val="Calibri"/>
      <family val="2"/>
      <scheme val="minor"/>
    </font>
    <font>
      <b/>
      <sz val="11"/>
      <color theme="9" tint="0.59999389629810485"/>
      <name val="Calibri"/>
      <family val="2"/>
      <scheme val="minor"/>
    </font>
    <font>
      <b/>
      <sz val="11"/>
      <color theme="9" tint="-0.249977111117893"/>
      <name val="Calibri"/>
      <family val="2"/>
      <scheme val="minor"/>
    </font>
    <font>
      <b/>
      <sz val="16"/>
      <color theme="1"/>
      <name val="Calibri"/>
      <family val="2"/>
      <scheme val="minor"/>
    </font>
    <font>
      <i/>
      <sz val="11"/>
      <name val="Calibri"/>
      <family val="2"/>
      <scheme val="minor"/>
    </font>
    <font>
      <b/>
      <sz val="11"/>
      <color rgb="FF800080"/>
      <name val="Calibri"/>
      <family val="2"/>
      <scheme val="minor"/>
    </font>
    <font>
      <b/>
      <sz val="11"/>
      <color rgb="FFCC3399"/>
      <name val="Calibri"/>
      <family val="2"/>
      <scheme val="minor"/>
    </font>
    <font>
      <sz val="9"/>
      <color theme="1"/>
      <name val="Calibri"/>
      <family val="2"/>
      <scheme val="minor"/>
    </font>
    <font>
      <sz val="10"/>
      <name val="Calibri"/>
      <family val="2"/>
      <scheme val="minor"/>
    </font>
    <font>
      <sz val="11"/>
      <color theme="2" tint="-0.249977111117893"/>
      <name val="Calibri"/>
      <family val="2"/>
      <scheme val="minor"/>
    </font>
    <font>
      <b/>
      <sz val="11"/>
      <color theme="5" tint="0.39997558519241921"/>
      <name val="Calibri"/>
      <family val="2"/>
      <scheme val="minor"/>
    </font>
    <font>
      <sz val="11"/>
      <color theme="0" tint="-0.249977111117893"/>
      <name val="Calibri"/>
      <family val="2"/>
      <scheme val="minor"/>
    </font>
    <font>
      <sz val="9"/>
      <name val="Calibri"/>
      <family val="2"/>
      <scheme val="minor"/>
    </font>
    <font>
      <sz val="11"/>
      <color theme="0"/>
      <name val="Calibri"/>
      <family val="2"/>
      <scheme val="minor"/>
    </font>
    <font>
      <i/>
      <sz val="10"/>
      <color theme="1"/>
      <name val="Calibri"/>
      <family val="2"/>
      <scheme val="minor"/>
    </font>
    <font>
      <b/>
      <sz val="11"/>
      <color theme="8" tint="-0.499984740745262"/>
      <name val="Calibri"/>
      <family val="2"/>
      <scheme val="minor"/>
    </font>
    <font>
      <b/>
      <sz val="18"/>
      <color theme="1"/>
      <name val="Calibri"/>
      <family val="2"/>
      <scheme val="minor"/>
    </font>
    <font>
      <sz val="11"/>
      <color rgb="FF000000"/>
      <name val="Calibri"/>
      <family val="2"/>
    </font>
    <font>
      <i/>
      <sz val="11"/>
      <color rgb="FF000000"/>
      <name val="Calibri"/>
      <family val="2"/>
      <scheme val="minor"/>
    </font>
    <font>
      <sz val="11"/>
      <color theme="1"/>
      <name val="Calibri"/>
      <family val="2"/>
    </font>
    <font>
      <sz val="10"/>
      <name val="Arial"/>
    </font>
    <font>
      <sz val="11"/>
      <color theme="1"/>
      <name val="Calibri"/>
      <family val="2"/>
      <charset val="1"/>
    </font>
    <font>
      <u/>
      <sz val="10"/>
      <color theme="10"/>
      <name val="Arial"/>
      <family val="2"/>
    </font>
    <font>
      <sz val="8"/>
      <name val="Calibri"/>
      <family val="2"/>
      <scheme val="minor"/>
    </font>
    <font>
      <b/>
      <i/>
      <sz val="11"/>
      <name val="Calibri"/>
      <family val="2"/>
      <scheme val="minor"/>
    </font>
    <font>
      <b/>
      <sz val="10"/>
      <name val="Calibri"/>
      <family val="2"/>
      <scheme val="minor"/>
    </font>
    <font>
      <i/>
      <sz val="10"/>
      <name val="Calibri"/>
      <family val="2"/>
      <scheme val="minor"/>
    </font>
    <font>
      <b/>
      <i/>
      <sz val="10"/>
      <name val="Calibri"/>
      <family val="2"/>
      <scheme val="minor"/>
    </font>
  </fonts>
  <fills count="5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22"/>
      </patternFill>
    </fill>
    <fill>
      <patternFill patternType="solid">
        <fgColor indexed="55"/>
      </patternFill>
    </fill>
    <fill>
      <patternFill patternType="solid">
        <fgColor indexed="26"/>
      </patternFill>
    </fill>
    <fill>
      <patternFill patternType="solid">
        <fgColor indexed="43"/>
      </patternFill>
    </fill>
    <fill>
      <patternFill patternType="solid">
        <fgColor theme="2" tint="-9.9978637043366805E-2"/>
        <bgColor indexed="64"/>
      </patternFill>
    </fill>
    <fill>
      <patternFill patternType="solid">
        <fgColor theme="2"/>
        <bgColor indexed="64"/>
      </patternFill>
    </fill>
    <fill>
      <patternFill patternType="solid">
        <fgColor theme="2" tint="-0.249977111117893"/>
        <bgColor indexed="64"/>
      </patternFill>
    </fill>
  </fills>
  <borders count="3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style="thin">
        <color indexed="22"/>
      </left>
      <right style="thin">
        <color indexed="22"/>
      </right>
      <top style="thin">
        <color indexed="22"/>
      </top>
      <bottom style="thin">
        <color indexed="2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auto="1"/>
      </left>
      <right style="thin">
        <color auto="1"/>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auto="1"/>
      </left>
      <right/>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thin">
        <color indexed="22"/>
      </left>
      <right style="thin">
        <color indexed="22"/>
      </right>
      <top style="thin">
        <color indexed="22"/>
      </top>
      <bottom style="thin">
        <color indexed="22"/>
      </bottom>
      <diagonal/>
    </border>
    <border>
      <left style="thin">
        <color indexed="23"/>
      </left>
      <right style="thin">
        <color indexed="23"/>
      </right>
      <top style="thin">
        <color indexed="23"/>
      </top>
      <bottom style="thin">
        <color indexed="23"/>
      </bottom>
      <diagonal/>
    </border>
    <border>
      <left style="thin">
        <color indexed="63"/>
      </left>
      <right style="thin">
        <color indexed="63"/>
      </right>
      <top style="thin">
        <color indexed="63"/>
      </top>
      <bottom style="thin">
        <color indexed="63"/>
      </bottom>
      <diagonal/>
    </border>
    <border>
      <left/>
      <right/>
      <top/>
      <bottom style="dashed">
        <color auto="1"/>
      </bottom>
      <diagonal/>
    </border>
  </borders>
  <cellStyleXfs count="470">
    <xf numFmtId="0" fontId="0" fillId="0" borderId="0"/>
    <xf numFmtId="43" fontId="1" fillId="0" borderId="0" applyFont="0" applyFill="0" applyBorder="0" applyAlignment="0" applyProtection="0"/>
    <xf numFmtId="9" fontId="1" fillId="0" borderId="0" applyFont="0" applyFill="0" applyBorder="0" applyAlignment="0" applyProtection="0"/>
    <xf numFmtId="0" fontId="3" fillId="0" borderId="0"/>
    <xf numFmtId="9" fontId="3" fillId="0" borderId="0" applyFont="0" applyFill="0" applyBorder="0" applyAlignment="0" applyProtection="0"/>
    <xf numFmtId="0" fontId="5" fillId="33" borderId="0" applyNumberFormat="0" applyBorder="0" applyAlignment="0" applyProtection="0"/>
    <xf numFmtId="0" fontId="5" fillId="34" borderId="0" applyNumberFormat="0" applyBorder="0" applyAlignment="0" applyProtection="0"/>
    <xf numFmtId="0" fontId="5" fillId="35" borderId="0" applyNumberFormat="0" applyBorder="0" applyAlignment="0" applyProtection="0"/>
    <xf numFmtId="0" fontId="5" fillId="36" borderId="0" applyNumberFormat="0" applyBorder="0" applyAlignment="0" applyProtection="0"/>
    <xf numFmtId="0" fontId="5" fillId="37" borderId="0" applyNumberFormat="0" applyBorder="0" applyAlignment="0" applyProtection="0"/>
    <xf numFmtId="0" fontId="5" fillId="38" borderId="0" applyNumberFormat="0" applyBorder="0" applyAlignment="0" applyProtection="0"/>
    <xf numFmtId="0" fontId="5" fillId="39" borderId="0" applyNumberFormat="0" applyBorder="0" applyAlignment="0" applyProtection="0"/>
    <xf numFmtId="0" fontId="5" fillId="40" borderId="0" applyNumberFormat="0" applyBorder="0" applyAlignment="0" applyProtection="0"/>
    <xf numFmtId="0" fontId="5" fillId="41" borderId="0" applyNumberFormat="0" applyBorder="0" applyAlignment="0" applyProtection="0"/>
    <xf numFmtId="0" fontId="5" fillId="36" borderId="0" applyNumberFormat="0" applyBorder="0" applyAlignment="0" applyProtection="0"/>
    <xf numFmtId="0" fontId="5" fillId="39" borderId="0" applyNumberFormat="0" applyBorder="0" applyAlignment="0" applyProtection="0"/>
    <xf numFmtId="0" fontId="5" fillId="42" borderId="0" applyNumberFormat="0" applyBorder="0" applyAlignment="0" applyProtection="0"/>
    <xf numFmtId="0" fontId="6" fillId="43" borderId="0" applyNumberFormat="0" applyBorder="0" applyAlignment="0" applyProtection="0"/>
    <xf numFmtId="0" fontId="6" fillId="40" borderId="0" applyNumberFormat="0" applyBorder="0" applyAlignment="0" applyProtection="0"/>
    <xf numFmtId="0" fontId="6" fillId="41" borderId="0" applyNumberFormat="0" applyBorder="0" applyAlignment="0" applyProtection="0"/>
    <xf numFmtId="0" fontId="6" fillId="44" borderId="0" applyNumberFormat="0" applyBorder="0" applyAlignment="0" applyProtection="0"/>
    <xf numFmtId="0" fontId="6" fillId="45" borderId="0" applyNumberFormat="0" applyBorder="0" applyAlignment="0" applyProtection="0"/>
    <xf numFmtId="0" fontId="6" fillId="46" borderId="0" applyNumberFormat="0" applyBorder="0" applyAlignment="0" applyProtection="0"/>
    <xf numFmtId="0" fontId="7" fillId="34" borderId="0" applyNumberFormat="0" applyBorder="0" applyAlignment="0" applyProtection="0"/>
    <xf numFmtId="166" fontId="8" fillId="0" borderId="0">
      <alignment vertical="top"/>
    </xf>
    <xf numFmtId="0" fontId="9" fillId="47" borderId="10" applyNumberFormat="0" applyAlignment="0" applyProtection="0"/>
    <xf numFmtId="0" fontId="10" fillId="48" borderId="11" applyNumberFormat="0" applyAlignment="0" applyProtection="0"/>
    <xf numFmtId="167" fontId="1" fillId="0" borderId="0" applyFont="0" applyFill="0" applyBorder="0" applyAlignment="0" applyProtection="0"/>
    <xf numFmtId="167" fontId="1" fillId="0" borderId="0" applyFont="0" applyFill="0" applyBorder="0" applyAlignment="0" applyProtection="0"/>
    <xf numFmtId="167" fontId="1" fillId="0" borderId="0" applyFont="0" applyFill="0" applyBorder="0" applyAlignment="0" applyProtection="0"/>
    <xf numFmtId="3" fontId="11" fillId="0" borderId="0" applyFill="0" applyBorder="0">
      <alignment horizontal="right" vertical="top"/>
    </xf>
    <xf numFmtId="168" fontId="11" fillId="0" borderId="0" applyFill="0" applyBorder="0">
      <alignment horizontal="right" vertical="top"/>
    </xf>
    <xf numFmtId="3" fontId="11" fillId="0" borderId="0" applyFill="0" applyBorder="0">
      <alignment horizontal="right" vertical="top"/>
    </xf>
    <xf numFmtId="169" fontId="8" fillId="0" borderId="0" applyFont="0" applyFill="0" applyBorder="0">
      <alignment horizontal="right" vertical="top"/>
    </xf>
    <xf numFmtId="170" fontId="11" fillId="0" borderId="0" applyFont="0" applyFill="0" applyBorder="0" applyAlignment="0" applyProtection="0">
      <alignment horizontal="right" vertical="top"/>
    </xf>
    <xf numFmtId="168" fontId="11" fillId="0" borderId="0">
      <alignment horizontal="right" vertical="top"/>
    </xf>
    <xf numFmtId="3" fontId="12" fillId="0" borderId="0" applyFont="0" applyFill="0" applyBorder="0" applyAlignment="0" applyProtection="0"/>
    <xf numFmtId="0" fontId="5" fillId="49" borderId="12" applyNumberFormat="0" applyFont="0" applyAlignment="0" applyProtection="0"/>
    <xf numFmtId="165" fontId="12" fillId="0" borderId="0" applyFont="0" applyFill="0" applyBorder="0" applyAlignment="0" applyProtection="0"/>
    <xf numFmtId="0" fontId="13" fillId="0" borderId="0" applyFont="0" applyFill="0" applyBorder="0" applyAlignment="0" applyProtection="0"/>
    <xf numFmtId="171" fontId="14" fillId="0" borderId="0" applyFont="0" applyFill="0" applyBorder="0" applyAlignment="0" applyProtection="0"/>
    <xf numFmtId="0" fontId="15" fillId="0" borderId="0" applyNumberFormat="0" applyFill="0" applyBorder="0" applyAlignment="0" applyProtection="0"/>
    <xf numFmtId="0" fontId="16" fillId="0" borderId="0" applyNumberFormat="0" applyFill="0" applyBorder="0" applyAlignment="0" applyProtection="0"/>
    <xf numFmtId="0" fontId="17" fillId="0" borderId="0" applyNumberFormat="0" applyFill="0" applyBorder="0" applyAlignment="0" applyProtection="0"/>
    <xf numFmtId="3" fontId="13" fillId="0" borderId="0" applyFont="0" applyFill="0" applyBorder="0" applyAlignment="0" applyProtection="0"/>
    <xf numFmtId="2" fontId="12" fillId="0" borderId="0" applyFont="0" applyFill="0" applyBorder="0" applyAlignment="0" applyProtection="0"/>
    <xf numFmtId="0" fontId="18" fillId="35" borderId="0" applyNumberFormat="0" applyBorder="0" applyAlignment="0" applyProtection="0"/>
    <xf numFmtId="0" fontId="19" fillId="0" borderId="13" applyNumberFormat="0" applyFill="0" applyAlignment="0" applyProtection="0"/>
    <xf numFmtId="0" fontId="20" fillId="0" borderId="14" applyNumberFormat="0" applyFill="0" applyAlignment="0" applyProtection="0"/>
    <xf numFmtId="0" fontId="21" fillId="0" borderId="15" applyNumberFormat="0" applyFill="0" applyAlignment="0" applyProtection="0"/>
    <xf numFmtId="0" fontId="21" fillId="0" borderId="0" applyNumberFormat="0" applyFill="0" applyBorder="0" applyAlignment="0" applyProtection="0"/>
    <xf numFmtId="0" fontId="22" fillId="38" borderId="10" applyNumberFormat="0" applyAlignment="0" applyProtection="0"/>
    <xf numFmtId="0" fontId="23" fillId="0" borderId="0" applyNumberFormat="0" applyFill="0" applyBorder="0" applyAlignment="0" applyProtection="0"/>
    <xf numFmtId="0" fontId="24" fillId="0" borderId="16" applyNumberFormat="0" applyFill="0" applyAlignment="0" applyProtection="0"/>
    <xf numFmtId="172" fontId="3" fillId="0" borderId="0" applyFont="0" applyFill="0" applyBorder="0" applyAlignment="0" applyProtection="0"/>
    <xf numFmtId="173" fontId="13" fillId="0" borderId="0" applyFont="0" applyFill="0" applyBorder="0" applyAlignment="0" applyProtection="0"/>
    <xf numFmtId="0" fontId="12" fillId="0" borderId="0"/>
    <xf numFmtId="0" fontId="25" fillId="50" borderId="0" applyNumberFormat="0" applyBorder="0" applyAlignment="0" applyProtection="0"/>
    <xf numFmtId="0" fontId="12"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26" fillId="0" borderId="0"/>
    <xf numFmtId="0" fontId="26" fillId="0" borderId="0"/>
    <xf numFmtId="0" fontId="26" fillId="0" borderId="0"/>
    <xf numFmtId="0" fontId="26" fillId="0" borderId="0"/>
    <xf numFmtId="0" fontId="26" fillId="0" borderId="0"/>
    <xf numFmtId="0" fontId="3" fillId="0" borderId="0"/>
    <xf numFmtId="0" fontId="26" fillId="0" borderId="0"/>
    <xf numFmtId="0" fontId="1" fillId="0" borderId="0"/>
    <xf numFmtId="0" fontId="3" fillId="0" borderId="0"/>
    <xf numFmtId="0" fontId="13" fillId="0" borderId="0"/>
    <xf numFmtId="0" fontId="13" fillId="0" borderId="0"/>
    <xf numFmtId="0" fontId="12" fillId="0" borderId="0"/>
    <xf numFmtId="0" fontId="3" fillId="0" borderId="0"/>
    <xf numFmtId="0" fontId="3" fillId="0" borderId="0"/>
    <xf numFmtId="0" fontId="3" fillId="0" borderId="0"/>
    <xf numFmtId="0" fontId="27" fillId="0" borderId="0"/>
    <xf numFmtId="0" fontId="12" fillId="0" borderId="0"/>
    <xf numFmtId="0" fontId="28" fillId="0" borderId="0"/>
    <xf numFmtId="0" fontId="29" fillId="0" borderId="0"/>
    <xf numFmtId="0" fontId="12" fillId="0" borderId="0"/>
    <xf numFmtId="0" fontId="26" fillId="0" borderId="0"/>
    <xf numFmtId="0" fontId="26" fillId="0" borderId="0"/>
    <xf numFmtId="0" fontId="1" fillId="0" borderId="0"/>
    <xf numFmtId="0" fontId="12" fillId="0" borderId="0"/>
    <xf numFmtId="0" fontId="26" fillId="0" borderId="0"/>
    <xf numFmtId="0" fontId="3" fillId="0" borderId="0"/>
    <xf numFmtId="0" fontId="3" fillId="0" borderId="0"/>
    <xf numFmtId="0" fontId="3" fillId="0" borderId="0"/>
    <xf numFmtId="0" fontId="3" fillId="0" borderId="0"/>
    <xf numFmtId="0" fontId="30" fillId="0" borderId="17" applyNumberFormat="0" applyFill="0" applyAlignment="0" applyProtection="0"/>
    <xf numFmtId="1" fontId="8" fillId="0" borderId="0">
      <alignment vertical="top" wrapText="1"/>
    </xf>
    <xf numFmtId="1" fontId="31" fillId="0" borderId="0" applyFill="0" applyBorder="0" applyProtection="0"/>
    <xf numFmtId="1" fontId="30" fillId="0" borderId="0" applyFont="0" applyFill="0" applyBorder="0" applyProtection="0">
      <alignment vertical="center"/>
    </xf>
    <xf numFmtId="1" fontId="32" fillId="0" borderId="0">
      <alignment horizontal="right" vertical="top"/>
    </xf>
    <xf numFmtId="1" fontId="11" fillId="0" borderId="0" applyNumberFormat="0" applyFill="0" applyBorder="0">
      <alignment vertical="top"/>
    </xf>
    <xf numFmtId="0" fontId="33" fillId="0" borderId="0"/>
    <xf numFmtId="0" fontId="12" fillId="49" borderId="12" applyNumberFormat="0" applyFont="0" applyAlignment="0" applyProtection="0"/>
    <xf numFmtId="0" fontId="34" fillId="47" borderId="18" applyNumberFormat="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12" fillId="0" borderId="0" applyFont="0" applyFill="0" applyBorder="0" applyAlignment="0" applyProtection="0"/>
    <xf numFmtId="9" fontId="1" fillId="0" borderId="0" applyFont="0" applyFill="0" applyBorder="0" applyAlignment="0" applyProtection="0"/>
    <xf numFmtId="167" fontId="12"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3" fillId="0" borderId="0" applyFont="0" applyFill="0" applyBorder="0" applyAlignment="0" applyProtection="0"/>
    <xf numFmtId="9" fontId="12" fillId="0" borderId="0" applyFont="0" applyFill="0" applyBorder="0" applyAlignment="0" applyProtection="0"/>
    <xf numFmtId="9" fontId="28" fillId="0" borderId="0" applyFont="0" applyFill="0" applyBorder="0" applyAlignment="0" applyProtection="0"/>
    <xf numFmtId="9" fontId="3" fillId="0" borderId="0" applyFont="0" applyFill="0" applyBorder="0" applyAlignment="0" applyProtection="0"/>
    <xf numFmtId="9" fontId="12" fillId="0" borderId="0" applyFont="0" applyFill="0" applyBorder="0" applyAlignment="0" applyProtection="0"/>
    <xf numFmtId="9" fontId="26" fillId="0" borderId="0" applyFont="0" applyFill="0" applyBorder="0" applyAlignment="0" applyProtection="0"/>
    <xf numFmtId="9" fontId="28"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27"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0" fontId="18" fillId="35" borderId="0" applyNumberFormat="0" applyBorder="0" applyAlignment="0" applyProtection="0"/>
    <xf numFmtId="0" fontId="12" fillId="0" borderId="0"/>
    <xf numFmtId="0" fontId="12" fillId="0" borderId="0"/>
    <xf numFmtId="2" fontId="12" fillId="0" borderId="0" applyFont="0" applyFill="0" applyBorder="0" applyProtection="0">
      <alignment horizontal="right"/>
    </xf>
    <xf numFmtId="2" fontId="12" fillId="0" borderId="0" applyFont="0" applyFill="0" applyBorder="0" applyProtection="0">
      <alignment horizontal="right"/>
    </xf>
    <xf numFmtId="0" fontId="35" fillId="0" borderId="19">
      <alignment horizontal="center"/>
    </xf>
    <xf numFmtId="49" fontId="11" fillId="0" borderId="0" applyFill="0" applyBorder="0" applyAlignment="0" applyProtection="0">
      <alignment vertical="top"/>
    </xf>
    <xf numFmtId="0" fontId="36" fillId="0" borderId="0" applyNumberFormat="0" applyFill="0" applyBorder="0" applyAlignment="0" applyProtection="0"/>
    <xf numFmtId="0" fontId="36" fillId="0" borderId="0" applyNumberFormat="0" applyFill="0" applyBorder="0" applyAlignment="0" applyProtection="0"/>
    <xf numFmtId="0" fontId="19" fillId="0" borderId="13" applyNumberFormat="0" applyFill="0" applyAlignment="0" applyProtection="0"/>
    <xf numFmtId="0" fontId="20" fillId="0" borderId="14" applyNumberFormat="0" applyFill="0" applyAlignment="0" applyProtection="0"/>
    <xf numFmtId="0" fontId="21" fillId="0" borderId="15" applyNumberFormat="0" applyFill="0" applyAlignment="0" applyProtection="0"/>
    <xf numFmtId="0" fontId="21" fillId="0" borderId="0" applyNumberFormat="0" applyFill="0" applyBorder="0" applyAlignment="0" applyProtection="0"/>
    <xf numFmtId="0" fontId="10" fillId="48" borderId="11" applyNumberFormat="0" applyAlignment="0" applyProtection="0"/>
    <xf numFmtId="2" fontId="13" fillId="0" borderId="0" applyFont="0" applyFill="0" applyBorder="0" applyAlignment="0" applyProtection="0"/>
    <xf numFmtId="0" fontId="37" fillId="0" borderId="0" applyNumberFormat="0" applyFill="0" applyBorder="0" applyAlignment="0" applyProtection="0"/>
    <xf numFmtId="1" fontId="38" fillId="0" borderId="0">
      <alignment vertical="top" wrapText="1"/>
    </xf>
    <xf numFmtId="9" fontId="3" fillId="0" borderId="0" applyFont="0" applyFill="0" applyBorder="0" applyAlignment="0" applyProtection="0"/>
    <xf numFmtId="9" fontId="3" fillId="0" borderId="0" applyFont="0" applyFill="0" applyBorder="0" applyAlignment="0" applyProtection="0"/>
    <xf numFmtId="0" fontId="44" fillId="10" borderId="0" applyNumberFormat="0" applyBorder="0" applyAlignment="0" applyProtection="0"/>
    <xf numFmtId="0" fontId="44" fillId="14" borderId="0" applyNumberFormat="0" applyBorder="0" applyAlignment="0" applyProtection="0"/>
    <xf numFmtId="0" fontId="44" fillId="18" borderId="0" applyNumberFormat="0" applyBorder="0" applyAlignment="0" applyProtection="0"/>
    <xf numFmtId="0" fontId="44" fillId="22" borderId="0" applyNumberFormat="0" applyBorder="0" applyAlignment="0" applyProtection="0"/>
    <xf numFmtId="0" fontId="44" fillId="26" borderId="0" applyNumberFormat="0" applyBorder="0" applyAlignment="0" applyProtection="0"/>
    <xf numFmtId="0" fontId="44" fillId="30" borderId="0" applyNumberFormat="0" applyBorder="0" applyAlignment="0" applyProtection="0"/>
    <xf numFmtId="0" fontId="44" fillId="11" borderId="0" applyNumberFormat="0" applyBorder="0" applyAlignment="0" applyProtection="0"/>
    <xf numFmtId="0" fontId="44" fillId="15" borderId="0" applyNumberFormat="0" applyBorder="0" applyAlignment="0" applyProtection="0"/>
    <xf numFmtId="0" fontId="44" fillId="19" borderId="0" applyNumberFormat="0" applyBorder="0" applyAlignment="0" applyProtection="0"/>
    <xf numFmtId="0" fontId="44" fillId="23" borderId="0" applyNumberFormat="0" applyBorder="0" applyAlignment="0" applyProtection="0"/>
    <xf numFmtId="0" fontId="44" fillId="27" borderId="0" applyNumberFormat="0" applyBorder="0" applyAlignment="0" applyProtection="0"/>
    <xf numFmtId="0" fontId="44" fillId="31" borderId="0" applyNumberFormat="0" applyBorder="0" applyAlignment="0" applyProtection="0"/>
    <xf numFmtId="0" fontId="45" fillId="12" borderId="0" applyNumberFormat="0" applyBorder="0" applyAlignment="0" applyProtection="0"/>
    <xf numFmtId="0" fontId="45" fillId="16" borderId="0" applyNumberFormat="0" applyBorder="0" applyAlignment="0" applyProtection="0"/>
    <xf numFmtId="0" fontId="45" fillId="20" borderId="0" applyNumberFormat="0" applyBorder="0" applyAlignment="0" applyProtection="0"/>
    <xf numFmtId="0" fontId="45" fillId="24" borderId="0" applyNumberFormat="0" applyBorder="0" applyAlignment="0" applyProtection="0"/>
    <xf numFmtId="0" fontId="45" fillId="28" borderId="0" applyNumberFormat="0" applyBorder="0" applyAlignment="0" applyProtection="0"/>
    <xf numFmtId="0" fontId="45" fillId="32" borderId="0" applyNumberFormat="0" applyBorder="0" applyAlignment="0" applyProtection="0"/>
    <xf numFmtId="0" fontId="45" fillId="9" borderId="0" applyNumberFormat="0" applyBorder="0" applyAlignment="0" applyProtection="0"/>
    <xf numFmtId="0" fontId="45" fillId="13" borderId="0" applyNumberFormat="0" applyBorder="0" applyAlignment="0" applyProtection="0"/>
    <xf numFmtId="0" fontId="45" fillId="17" borderId="0" applyNumberFormat="0" applyBorder="0" applyAlignment="0" applyProtection="0"/>
    <xf numFmtId="0" fontId="45" fillId="21" borderId="0" applyNumberFormat="0" applyBorder="0" applyAlignment="0" applyProtection="0"/>
    <xf numFmtId="0" fontId="45" fillId="25" borderId="0" applyNumberFormat="0" applyBorder="0" applyAlignment="0" applyProtection="0"/>
    <xf numFmtId="0" fontId="45" fillId="29" borderId="0" applyNumberFormat="0" applyBorder="0" applyAlignment="0" applyProtection="0"/>
    <xf numFmtId="0" fontId="46" fillId="3" borderId="0" applyNumberFormat="0" applyBorder="0" applyAlignment="0" applyProtection="0"/>
    <xf numFmtId="0" fontId="47" fillId="6" borderId="4" applyNumberFormat="0" applyAlignment="0" applyProtection="0"/>
    <xf numFmtId="0" fontId="48" fillId="7" borderId="7" applyNumberFormat="0" applyAlignment="0" applyProtection="0"/>
    <xf numFmtId="171" fontId="1" fillId="0" borderId="0" applyFont="0" applyFill="0" applyBorder="0" applyAlignment="0" applyProtection="0"/>
    <xf numFmtId="171" fontId="1" fillId="0" borderId="0" applyFont="0" applyFill="0" applyBorder="0" applyAlignment="0" applyProtection="0"/>
    <xf numFmtId="171" fontId="1" fillId="0" borderId="0" applyFont="0" applyFill="0" applyBorder="0" applyAlignment="0" applyProtection="0"/>
    <xf numFmtId="171" fontId="1" fillId="0" borderId="0" applyFont="0" applyFill="0" applyBorder="0" applyAlignment="0" applyProtection="0"/>
    <xf numFmtId="171" fontId="1" fillId="0" borderId="0" applyFont="0" applyFill="0" applyBorder="0" applyAlignment="0" applyProtection="0"/>
    <xf numFmtId="171" fontId="1" fillId="0" borderId="0" applyFont="0" applyFill="0" applyBorder="0" applyAlignment="0" applyProtection="0"/>
    <xf numFmtId="171" fontId="1" fillId="0" borderId="0" applyFont="0" applyFill="0" applyBorder="0" applyAlignment="0" applyProtection="0"/>
    <xf numFmtId="43" fontId="1" fillId="0" borderId="0" applyFont="0" applyFill="0" applyBorder="0" applyAlignment="0" applyProtection="0"/>
    <xf numFmtId="171" fontId="26" fillId="0" borderId="0" applyFont="0" applyFill="0" applyBorder="0" applyAlignment="0" applyProtection="0"/>
    <xf numFmtId="171" fontId="26" fillId="0" borderId="0" applyFont="0" applyFill="0" applyBorder="0" applyAlignment="0" applyProtection="0"/>
    <xf numFmtId="171" fontId="1" fillId="0" borderId="0" applyFont="0" applyFill="0" applyBorder="0" applyAlignment="0" applyProtection="0"/>
    <xf numFmtId="171" fontId="1" fillId="0" borderId="0" applyFont="0" applyFill="0" applyBorder="0" applyAlignment="0" applyProtection="0"/>
    <xf numFmtId="171" fontId="1" fillId="0" borderId="0" applyFont="0" applyFill="0" applyBorder="0" applyAlignment="0" applyProtection="0"/>
    <xf numFmtId="171" fontId="1" fillId="0" borderId="0" applyFont="0" applyFill="0" applyBorder="0" applyAlignment="0" applyProtection="0"/>
    <xf numFmtId="175" fontId="39" fillId="0" borderId="0" applyFont="0" applyFill="0" applyBorder="0" applyAlignment="0" applyProtection="0"/>
    <xf numFmtId="171" fontId="1" fillId="0" borderId="0" applyFont="0" applyFill="0" applyBorder="0" applyAlignment="0" applyProtection="0"/>
    <xf numFmtId="0" fontId="13" fillId="0" borderId="0" applyFont="0" applyFill="0" applyBorder="0" applyAlignment="0" applyProtection="0"/>
    <xf numFmtId="0" fontId="15" fillId="0" borderId="0" applyNumberFormat="0" applyFill="0" applyBorder="0" applyAlignment="0" applyProtection="0"/>
    <xf numFmtId="0" fontId="16" fillId="0" borderId="0" applyNumberFormat="0" applyFill="0" applyBorder="0" applyAlignment="0" applyProtection="0"/>
    <xf numFmtId="0" fontId="49" fillId="0" borderId="0" applyNumberFormat="0" applyFill="0" applyBorder="0" applyAlignment="0" applyProtection="0"/>
    <xf numFmtId="3" fontId="13" fillId="0" borderId="0" applyFont="0" applyFill="0" applyBorder="0" applyAlignment="0" applyProtection="0"/>
    <xf numFmtId="0" fontId="50" fillId="2" borderId="0" applyNumberFormat="0" applyBorder="0" applyAlignment="0" applyProtection="0"/>
    <xf numFmtId="0" fontId="41" fillId="0" borderId="1" applyNumberFormat="0" applyFill="0" applyAlignment="0" applyProtection="0"/>
    <xf numFmtId="0" fontId="42" fillId="0" borderId="2" applyNumberFormat="0" applyFill="0" applyAlignment="0" applyProtection="0"/>
    <xf numFmtId="0" fontId="43" fillId="0" borderId="3" applyNumberFormat="0" applyFill="0" applyAlignment="0" applyProtection="0"/>
    <xf numFmtId="0" fontId="43" fillId="0" borderId="0" applyNumberFormat="0" applyFill="0" applyBorder="0" applyAlignment="0" applyProtection="0"/>
    <xf numFmtId="0" fontId="51" fillId="0" borderId="0" applyNumberFormat="0" applyFill="0" applyBorder="0" applyAlignment="0" applyProtection="0">
      <alignment vertical="top"/>
      <protection locked="0"/>
    </xf>
    <xf numFmtId="0" fontId="52" fillId="5" borderId="4" applyNumberFormat="0" applyAlignment="0" applyProtection="0"/>
    <xf numFmtId="0" fontId="53" fillId="0" borderId="6" applyNumberFormat="0" applyFill="0" applyAlignment="0" applyProtection="0"/>
    <xf numFmtId="173" fontId="13" fillId="0" borderId="0" applyFont="0" applyFill="0" applyBorder="0" applyAlignment="0" applyProtection="0"/>
    <xf numFmtId="0" fontId="54" fillId="4" borderId="0" applyNumberFormat="0" applyBorder="0" applyAlignment="0" applyProtection="0"/>
    <xf numFmtId="0" fontId="1" fillId="0" borderId="0"/>
    <xf numFmtId="0" fontId="1" fillId="0" borderId="0"/>
    <xf numFmtId="0" fontId="1" fillId="0" borderId="0"/>
    <xf numFmtId="0" fontId="12" fillId="0" borderId="0"/>
    <xf numFmtId="0" fontId="1" fillId="0" borderId="0"/>
    <xf numFmtId="0" fontId="1" fillId="0" borderId="0"/>
    <xf numFmtId="176" fontId="12" fillId="0" borderId="0" applyNumberFormat="0" applyFont="0" applyFill="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5" fillId="0" borderId="0" applyFill="0" applyProtection="0"/>
    <xf numFmtId="0" fontId="1" fillId="0" borderId="0"/>
    <xf numFmtId="0" fontId="1" fillId="0" borderId="0"/>
    <xf numFmtId="0" fontId="1" fillId="0" borderId="0"/>
    <xf numFmtId="0" fontId="1" fillId="0" borderId="0"/>
    <xf numFmtId="0" fontId="1" fillId="0" borderId="0"/>
    <xf numFmtId="0" fontId="1" fillId="0" borderId="0"/>
    <xf numFmtId="0" fontId="12" fillId="0" borderId="0"/>
    <xf numFmtId="0" fontId="1" fillId="0" borderId="0"/>
    <xf numFmtId="0" fontId="1" fillId="0" borderId="0"/>
    <xf numFmtId="0" fontId="1" fillId="0" borderId="0"/>
    <xf numFmtId="0" fontId="1" fillId="0" borderId="0"/>
    <xf numFmtId="0" fontId="1" fillId="0" borderId="0"/>
    <xf numFmtId="0" fontId="26" fillId="0" borderId="0"/>
    <xf numFmtId="0" fontId="12" fillId="0" borderId="0"/>
    <xf numFmtId="0" fontId="1" fillId="0" borderId="0"/>
    <xf numFmtId="0" fontId="1" fillId="0" borderId="0"/>
    <xf numFmtId="0" fontId="1" fillId="0" borderId="0"/>
    <xf numFmtId="0" fontId="1" fillId="0" borderId="0"/>
    <xf numFmtId="0" fontId="12" fillId="0" borderId="0"/>
    <xf numFmtId="0" fontId="1" fillId="0" borderId="0"/>
    <xf numFmtId="0" fontId="26" fillId="0" borderId="0"/>
    <xf numFmtId="0" fontId="55"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26" fillId="0" borderId="0"/>
    <xf numFmtId="0" fontId="26" fillId="0" borderId="0"/>
    <xf numFmtId="0" fontId="26" fillId="0" borderId="0"/>
    <xf numFmtId="0" fontId="44" fillId="8" borderId="8" applyNumberFormat="0" applyFont="0" applyAlignment="0" applyProtection="0"/>
    <xf numFmtId="0" fontId="1" fillId="8" borderId="8" applyNumberFormat="0" applyFont="0" applyAlignment="0" applyProtection="0"/>
    <xf numFmtId="0" fontId="56" fillId="6" borderId="5" applyNumberFormat="0" applyAlignment="0" applyProtection="0"/>
    <xf numFmtId="9" fontId="1" fillId="0" borderId="0" applyFont="0" applyFill="0" applyBorder="0" applyAlignment="0" applyProtection="0"/>
    <xf numFmtId="9" fontId="1" fillId="0" borderId="0" applyFont="0" applyFill="0" applyBorder="0" applyAlignment="0" applyProtection="0"/>
    <xf numFmtId="9" fontId="29"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39"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55" fillId="0" borderId="0" applyFont="0" applyFill="0" applyBorder="0" applyAlignment="0" applyProtection="0"/>
    <xf numFmtId="9" fontId="3" fillId="0" borderId="0" applyFont="0" applyFill="0" applyBorder="0" applyAlignment="0" applyProtection="0"/>
    <xf numFmtId="9" fontId="12" fillId="0" borderId="0" applyFont="0" applyFill="0" applyBorder="0" applyAlignment="0" applyProtection="0"/>
    <xf numFmtId="9" fontId="1" fillId="0" borderId="0" applyFont="0" applyFill="0" applyBorder="0" applyAlignment="0" applyProtection="0"/>
    <xf numFmtId="9" fontId="39"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9"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26" fillId="0" borderId="0" applyFont="0" applyFill="0" applyBorder="0" applyAlignment="0" applyProtection="0"/>
    <xf numFmtId="0" fontId="57" fillId="0" borderId="9" applyNumberFormat="0" applyFill="0" applyAlignment="0" applyProtection="0"/>
    <xf numFmtId="2" fontId="13" fillId="0" borderId="0" applyFont="0" applyFill="0" applyBorder="0" applyAlignment="0" applyProtection="0"/>
    <xf numFmtId="0" fontId="58" fillId="0" borderId="0" applyNumberFormat="0" applyFill="0" applyBorder="0" applyAlignment="0" applyProtection="0"/>
    <xf numFmtId="176" fontId="12" fillId="0" borderId="0" applyNumberFormat="0" applyFont="0" applyFill="0" applyBorder="0" applyAlignment="0" applyProtection="0"/>
    <xf numFmtId="0" fontId="12" fillId="0" borderId="0"/>
    <xf numFmtId="171" fontId="67" fillId="0" borderId="0" applyFont="0" applyFill="0" applyBorder="0" applyAlignment="0" applyProtection="0"/>
    <xf numFmtId="9" fontId="71" fillId="0" borderId="0" applyFont="0" applyFill="0" applyBorder="0" applyAlignment="0" applyProtection="0"/>
    <xf numFmtId="171" fontId="1" fillId="0" borderId="0" applyFont="0" applyFill="0" applyBorder="0" applyAlignment="0" applyProtection="0"/>
    <xf numFmtId="171" fontId="1" fillId="0" borderId="0" applyFont="0" applyFill="0" applyBorder="0" applyAlignment="0" applyProtection="0"/>
    <xf numFmtId="171" fontId="12" fillId="0" borderId="0" applyFont="0" applyFill="0" applyBorder="0" applyAlignment="0" applyProtection="0"/>
    <xf numFmtId="178" fontId="12" fillId="0" borderId="0" applyFont="0" applyFill="0" applyBorder="0" applyAlignment="0" applyProtection="0"/>
    <xf numFmtId="171" fontId="55" fillId="0" borderId="0" applyFont="0" applyFill="0" applyBorder="0" applyAlignment="0" applyProtection="0"/>
    <xf numFmtId="171" fontId="1" fillId="0" borderId="0" applyFont="0" applyFill="0" applyBorder="0" applyAlignment="0" applyProtection="0"/>
    <xf numFmtId="171" fontId="1" fillId="0" borderId="0" applyFont="0" applyFill="0" applyBorder="0" applyAlignment="0" applyProtection="0"/>
    <xf numFmtId="171" fontId="1" fillId="0" borderId="0" applyFont="0" applyFill="0" applyBorder="0" applyAlignment="0" applyProtection="0"/>
    <xf numFmtId="171" fontId="1" fillId="0" borderId="0" applyFont="0" applyFill="0" applyBorder="0" applyAlignment="0" applyProtection="0"/>
    <xf numFmtId="43" fontId="1" fillId="0" borderId="0" applyFont="0" applyFill="0" applyBorder="0" applyAlignment="0" applyProtection="0"/>
    <xf numFmtId="171" fontId="26" fillId="0" borderId="0" applyFont="0" applyFill="0" applyBorder="0" applyAlignment="0" applyProtection="0"/>
    <xf numFmtId="171" fontId="1" fillId="0" borderId="0" applyFont="0" applyFill="0" applyBorder="0" applyAlignment="0" applyProtection="0"/>
    <xf numFmtId="171" fontId="1" fillId="0" borderId="0" applyFont="0" applyFill="0" applyBorder="0" applyAlignment="0" applyProtection="0"/>
    <xf numFmtId="171" fontId="1" fillId="0" borderId="0" applyFont="0" applyFill="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3" fillId="0" borderId="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3"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0" fontId="3" fillId="0" borderId="0"/>
    <xf numFmtId="9" fontId="3" fillId="0" borderId="0" applyFont="0" applyFill="0" applyBorder="0" applyAlignment="0" applyProtection="0"/>
    <xf numFmtId="0" fontId="40" fillId="0" borderId="0" applyNumberFormat="0" applyFill="0" applyBorder="0" applyAlignment="0" applyProtection="0"/>
    <xf numFmtId="171" fontId="12" fillId="0" borderId="0" applyFont="0" applyFill="0" applyBorder="0" applyAlignment="0" applyProtection="0"/>
    <xf numFmtId="0" fontId="3" fillId="0" borderId="0"/>
    <xf numFmtId="0" fontId="3" fillId="0" borderId="0"/>
    <xf numFmtId="0" fontId="3" fillId="0" borderId="0"/>
    <xf numFmtId="0" fontId="3" fillId="0" borderId="0"/>
    <xf numFmtId="9" fontId="4" fillId="0" borderId="0" applyFont="0" applyFill="0" applyBorder="0" applyAlignment="0" applyProtection="0"/>
    <xf numFmtId="9" fontId="1" fillId="0" borderId="0" applyFont="0" applyFill="0" applyBorder="0" applyAlignment="0" applyProtection="0"/>
    <xf numFmtId="9" fontId="44"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29" fillId="0" borderId="0" applyFont="0" applyFill="0" applyBorder="0" applyAlignment="0" applyProtection="0"/>
    <xf numFmtId="9" fontId="27" fillId="0" borderId="0" applyFont="0" applyFill="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27" fillId="0" borderId="0" applyFont="0" applyFill="0" applyBorder="0" applyAlignment="0" applyProtection="0"/>
    <xf numFmtId="9" fontId="3" fillId="0" borderId="0" applyFont="0" applyFill="0" applyBorder="0" applyAlignment="0" applyProtection="0"/>
    <xf numFmtId="0" fontId="3" fillId="0" borderId="0"/>
    <xf numFmtId="0" fontId="4" fillId="0" borderId="0"/>
    <xf numFmtId="164" fontId="3" fillId="0" borderId="0" applyFont="0" applyFill="0" applyBorder="0" applyAlignment="0" applyProtection="0"/>
    <xf numFmtId="0" fontId="3" fillId="0" borderId="0"/>
    <xf numFmtId="0" fontId="67" fillId="0" borderId="0"/>
    <xf numFmtId="176" fontId="67" fillId="0" borderId="0" applyNumberFormat="0" applyFont="0" applyFill="0" applyBorder="0" applyAlignment="0" applyProtection="0"/>
    <xf numFmtId="2" fontId="68" fillId="0" borderId="0" applyFont="0" applyFill="0" applyBorder="0" applyAlignment="0" applyProtection="0"/>
    <xf numFmtId="9" fontId="65" fillId="0" borderId="0" applyFont="0" applyFill="0" applyBorder="0" applyAlignment="0" applyProtection="0"/>
    <xf numFmtId="9" fontId="65" fillId="0" borderId="0" applyFont="0" applyFill="0" applyBorder="0" applyAlignment="0" applyProtection="0"/>
    <xf numFmtId="9" fontId="67" fillId="0" borderId="0" applyFont="0" applyFill="0" applyBorder="0" applyAlignment="0" applyProtection="0"/>
    <xf numFmtId="9" fontId="65" fillId="0" borderId="0" applyFont="0" applyFill="0" applyBorder="0" applyAlignment="0" applyProtection="0"/>
    <xf numFmtId="9" fontId="72" fillId="0" borderId="0" applyFont="0" applyFill="0" applyBorder="0" applyAlignment="0" applyProtection="0"/>
    <xf numFmtId="0" fontId="59" fillId="0" borderId="0"/>
    <xf numFmtId="0" fontId="67" fillId="0" borderId="0"/>
    <xf numFmtId="0" fontId="67" fillId="0" borderId="0"/>
    <xf numFmtId="0" fontId="67" fillId="0" borderId="0"/>
    <xf numFmtId="176" fontId="67" fillId="0" borderId="0" applyNumberFormat="0" applyFont="0" applyFill="0" applyBorder="0" applyAlignment="0" applyProtection="0"/>
    <xf numFmtId="0" fontId="67" fillId="0" borderId="0"/>
    <xf numFmtId="173" fontId="68" fillId="0" borderId="0" applyFont="0" applyFill="0" applyBorder="0" applyAlignment="0" applyProtection="0"/>
    <xf numFmtId="3" fontId="68" fillId="0" borderId="0" applyFont="0" applyFill="0" applyBorder="0" applyAlignment="0" applyProtection="0"/>
    <xf numFmtId="0" fontId="70" fillId="0" borderId="0" applyNumberFormat="0" applyFill="0" applyBorder="0" applyAlignment="0" applyProtection="0"/>
    <xf numFmtId="0" fontId="69" fillId="0" borderId="0" applyNumberFormat="0" applyFill="0" applyBorder="0" applyAlignment="0" applyProtection="0"/>
    <xf numFmtId="0" fontId="68" fillId="0" borderId="0" applyFont="0" applyFill="0" applyBorder="0" applyAlignment="0" applyProtection="0"/>
    <xf numFmtId="175" fontId="65" fillId="0" borderId="0" applyFont="0" applyFill="0" applyBorder="0" applyAlignment="0" applyProtection="0"/>
    <xf numFmtId="2" fontId="68" fillId="0" borderId="0" applyFont="0" applyFill="0" applyBorder="0" applyAlignment="0" applyProtection="0"/>
    <xf numFmtId="9" fontId="3" fillId="0" borderId="0" applyFont="0" applyFill="0" applyBorder="0" applyAlignment="0" applyProtection="0"/>
    <xf numFmtId="2" fontId="67" fillId="0" borderId="0" applyFont="0" applyFill="0" applyBorder="0" applyProtection="0">
      <alignment horizontal="right"/>
    </xf>
    <xf numFmtId="2" fontId="67" fillId="0" borderId="0" applyFont="0" applyFill="0" applyBorder="0" applyProtection="0">
      <alignment horizontal="right"/>
    </xf>
    <xf numFmtId="0" fontId="67" fillId="0" borderId="0"/>
    <xf numFmtId="9" fontId="71"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9" fontId="67" fillId="0" borderId="0" applyFont="0" applyFill="0" applyBorder="0" applyAlignment="0" applyProtection="0"/>
    <xf numFmtId="0" fontId="67" fillId="49" borderId="12" applyNumberFormat="0" applyFont="0" applyAlignment="0" applyProtection="0"/>
    <xf numFmtId="0" fontId="3" fillId="0" borderId="0"/>
    <xf numFmtId="0" fontId="67" fillId="0" borderId="0"/>
    <xf numFmtId="0" fontId="67" fillId="0" borderId="0"/>
    <xf numFmtId="0" fontId="72" fillId="0" borderId="0"/>
    <xf numFmtId="0" fontId="71" fillId="0" borderId="0"/>
    <xf numFmtId="0" fontId="67" fillId="0" borderId="0"/>
    <xf numFmtId="0" fontId="68" fillId="0" borderId="0"/>
    <xf numFmtId="0" fontId="68" fillId="0" borderId="0"/>
    <xf numFmtId="9" fontId="3" fillId="0" borderId="0" applyFont="0" applyFill="0" applyBorder="0" applyAlignment="0" applyProtection="0"/>
    <xf numFmtId="0" fontId="67" fillId="0" borderId="0"/>
    <xf numFmtId="173" fontId="68" fillId="0" borderId="0" applyFont="0" applyFill="0" applyBorder="0" applyAlignment="0" applyProtection="0"/>
    <xf numFmtId="2" fontId="67" fillId="0" borderId="0" applyFont="0" applyFill="0" applyBorder="0" applyAlignment="0" applyProtection="0"/>
    <xf numFmtId="3" fontId="68" fillId="0" borderId="0" applyFont="0" applyFill="0" applyBorder="0" applyAlignment="0" applyProtection="0"/>
    <xf numFmtId="0" fontId="70" fillId="0" borderId="0" applyNumberFormat="0" applyFill="0" applyBorder="0" applyAlignment="0" applyProtection="0"/>
    <xf numFmtId="0" fontId="69" fillId="0" borderId="0" applyNumberFormat="0" applyFill="0" applyBorder="0" applyAlignment="0" applyProtection="0"/>
    <xf numFmtId="0" fontId="68" fillId="0" borderId="0" applyFont="0" applyFill="0" applyBorder="0" applyAlignment="0" applyProtection="0"/>
    <xf numFmtId="165" fontId="67" fillId="0" borderId="0" applyFont="0" applyFill="0" applyBorder="0" applyAlignment="0" applyProtection="0"/>
    <xf numFmtId="3" fontId="67" fillId="0" borderId="0" applyFont="0" applyFill="0" applyBorder="0" applyAlignment="0" applyProtection="0"/>
    <xf numFmtId="179" fontId="12" fillId="0" borderId="0" applyFont="0" applyFill="0" applyBorder="0" applyAlignment="0" applyProtection="0"/>
    <xf numFmtId="0" fontId="12" fillId="0" borderId="0"/>
    <xf numFmtId="0" fontId="3" fillId="0" borderId="0"/>
    <xf numFmtId="0" fontId="3" fillId="0" borderId="0"/>
    <xf numFmtId="9" fontId="1" fillId="0" borderId="0" applyFont="0" applyFill="0" applyBorder="0" applyAlignment="0" applyProtection="0"/>
    <xf numFmtId="9" fontId="3" fillId="0" borderId="0" applyFont="0" applyFill="0" applyBorder="0" applyAlignment="0" applyProtection="0"/>
    <xf numFmtId="0" fontId="3" fillId="0" borderId="0"/>
    <xf numFmtId="9" fontId="72" fillId="0" borderId="0" applyFont="0" applyFill="0" applyBorder="0" applyAlignment="0" applyProtection="0"/>
    <xf numFmtId="9" fontId="71" fillId="0" borderId="0" applyFont="0" applyFill="0" applyBorder="0" applyAlignment="0" applyProtection="0"/>
    <xf numFmtId="171" fontId="67" fillId="0" borderId="0" applyFont="0" applyFill="0" applyBorder="0" applyAlignment="0" applyProtection="0"/>
    <xf numFmtId="178" fontId="67" fillId="0" borderId="0" applyFont="0" applyFill="0" applyBorder="0" applyAlignment="0" applyProtection="0"/>
    <xf numFmtId="179" fontId="67" fillId="0" borderId="0" applyFont="0" applyFill="0" applyBorder="0" applyAlignment="0" applyProtection="0"/>
    <xf numFmtId="0" fontId="67" fillId="0" borderId="0"/>
    <xf numFmtId="0" fontId="97" fillId="0" borderId="0"/>
    <xf numFmtId="0" fontId="97" fillId="0" borderId="0"/>
    <xf numFmtId="167" fontId="12" fillId="0" borderId="0" applyFont="0" applyFill="0" applyBorder="0" applyAlignment="0" applyProtection="0"/>
    <xf numFmtId="9" fontId="12" fillId="0" borderId="0" applyFont="0" applyFill="0" applyBorder="0" applyAlignment="0" applyProtection="0"/>
    <xf numFmtId="0" fontId="1" fillId="0" borderId="0"/>
    <xf numFmtId="0" fontId="12" fillId="0" borderId="0"/>
    <xf numFmtId="167" fontId="12" fillId="0" borderId="0" applyFont="0" applyFill="0" applyBorder="0" applyAlignment="0" applyProtection="0"/>
    <xf numFmtId="0" fontId="27" fillId="0" borderId="0"/>
    <xf numFmtId="9" fontId="27" fillId="0" borderId="0" applyFont="0" applyFill="0" applyBorder="0" applyAlignment="0" applyProtection="0"/>
    <xf numFmtId="0" fontId="3" fillId="0" borderId="0"/>
    <xf numFmtId="9" fontId="3" fillId="0" borderId="0" applyFont="0" applyFill="0" applyBorder="0" applyAlignment="0" applyProtection="0"/>
    <xf numFmtId="0" fontId="13" fillId="0" borderId="0"/>
    <xf numFmtId="0" fontId="12" fillId="0" borderId="0"/>
    <xf numFmtId="0" fontId="28" fillId="0" borderId="0"/>
    <xf numFmtId="0" fontId="26" fillId="0" borderId="0"/>
    <xf numFmtId="9" fontId="12" fillId="0" borderId="0" applyFont="0" applyFill="0" applyBorder="0" applyAlignment="0" applyProtection="0"/>
    <xf numFmtId="0" fontId="5" fillId="49" borderId="26" applyNumberFormat="0" applyFont="0" applyAlignment="0" applyProtection="0"/>
    <xf numFmtId="0" fontId="12" fillId="0" borderId="0"/>
    <xf numFmtId="9" fontId="26" fillId="0" borderId="0" applyFont="0" applyFill="0" applyBorder="0" applyAlignment="0" applyProtection="0"/>
    <xf numFmtId="0" fontId="62" fillId="0" borderId="0"/>
    <xf numFmtId="0" fontId="9" fillId="47" borderId="27" applyNumberFormat="0" applyAlignment="0" applyProtection="0"/>
    <xf numFmtId="0" fontId="22" fillId="38" borderId="27" applyNumberFormat="0" applyAlignment="0" applyProtection="0"/>
    <xf numFmtId="0" fontId="12" fillId="49" borderId="26" applyNumberFormat="0" applyFont="0" applyAlignment="0" applyProtection="0"/>
    <xf numFmtId="0" fontId="34" fillId="47" borderId="28" applyNumberFormat="0" applyAlignment="0" applyProtection="0"/>
    <xf numFmtId="43" fontId="27" fillId="0" borderId="0" applyFont="0" applyFill="0" applyBorder="0" applyAlignment="0" applyProtection="0"/>
    <xf numFmtId="0" fontId="26" fillId="0" borderId="0"/>
    <xf numFmtId="0" fontId="1" fillId="0" borderId="0"/>
    <xf numFmtId="0" fontId="97" fillId="0" borderId="0"/>
    <xf numFmtId="0" fontId="97" fillId="0" borderId="0"/>
    <xf numFmtId="0" fontId="97" fillId="0" borderId="0"/>
    <xf numFmtId="0" fontId="97" fillId="0" borderId="0"/>
    <xf numFmtId="0" fontId="97" fillId="0" borderId="0"/>
    <xf numFmtId="0" fontId="62" fillId="0" borderId="0"/>
    <xf numFmtId="0" fontId="62" fillId="0" borderId="0"/>
    <xf numFmtId="0" fontId="98" fillId="0" borderId="0"/>
    <xf numFmtId="0" fontId="99" fillId="0" borderId="0" applyNumberFormat="0" applyFill="0" applyBorder="0" applyAlignment="0" applyProtection="0"/>
  </cellStyleXfs>
  <cellXfs count="289">
    <xf numFmtId="0" fontId="0" fillId="0" borderId="0" xfId="0"/>
    <xf numFmtId="0" fontId="63" fillId="0" borderId="0" xfId="0" applyFont="1" applyAlignment="1">
      <alignment horizontal="left"/>
    </xf>
    <xf numFmtId="0" fontId="60" fillId="0" borderId="0" xfId="0" applyFont="1" applyAlignment="1">
      <alignment horizontal="left"/>
    </xf>
    <xf numFmtId="1" fontId="60" fillId="0" borderId="0" xfId="1" applyNumberFormat="1" applyFont="1" applyAlignment="1">
      <alignment horizontal="center" vertical="center"/>
    </xf>
    <xf numFmtId="181" fontId="60" fillId="0" borderId="0" xfId="1" applyNumberFormat="1" applyFont="1" applyAlignment="1">
      <alignment horizontal="center" vertical="center"/>
    </xf>
    <xf numFmtId="9" fontId="0" fillId="0" borderId="0" xfId="2" applyFont="1" applyAlignment="1">
      <alignment horizontal="center"/>
    </xf>
    <xf numFmtId="174" fontId="60" fillId="0" borderId="0" xfId="0" applyNumberFormat="1" applyFont="1" applyAlignment="1">
      <alignment horizontal="left" vertical="center"/>
    </xf>
    <xf numFmtId="174" fontId="0" fillId="0" borderId="0" xfId="0" applyNumberFormat="1"/>
    <xf numFmtId="174" fontId="1" fillId="0" borderId="0" xfId="2" applyNumberFormat="1" applyFont="1" applyAlignment="1">
      <alignment horizontal="center" vertical="center" wrapText="1"/>
    </xf>
    <xf numFmtId="174" fontId="60" fillId="0" borderId="0" xfId="2" applyNumberFormat="1" applyFont="1" applyAlignment="1">
      <alignment horizontal="center" vertical="center"/>
    </xf>
    <xf numFmtId="9" fontId="60" fillId="0" borderId="0" xfId="2" applyFont="1" applyAlignment="1">
      <alignment horizontal="center" vertical="center"/>
    </xf>
    <xf numFmtId="177" fontId="60" fillId="0" borderId="0" xfId="0" applyNumberFormat="1" applyFont="1" applyAlignment="1">
      <alignment horizontal="center"/>
    </xf>
    <xf numFmtId="0" fontId="60" fillId="0" borderId="0" xfId="0" applyFont="1" applyAlignment="1">
      <alignment horizontal="center" vertical="center" wrapText="1"/>
    </xf>
    <xf numFmtId="0" fontId="60" fillId="0" borderId="0" xfId="0" applyFont="1" applyAlignment="1">
      <alignment horizontal="center" vertical="center"/>
    </xf>
    <xf numFmtId="0" fontId="60" fillId="0" borderId="0" xfId="0" applyFont="1" applyAlignment="1">
      <alignment horizontal="center"/>
    </xf>
    <xf numFmtId="1" fontId="0" fillId="0" borderId="0" xfId="0" applyNumberFormat="1"/>
    <xf numFmtId="181" fontId="0" fillId="0" borderId="0" xfId="1" applyNumberFormat="1" applyFont="1"/>
    <xf numFmtId="0" fontId="66" fillId="0" borderId="0" xfId="0" applyFont="1" applyAlignment="1">
      <alignment vertical="center" wrapText="1"/>
    </xf>
    <xf numFmtId="0" fontId="0" fillId="0" borderId="0" xfId="0" applyAlignment="1"/>
    <xf numFmtId="0" fontId="0" fillId="0" borderId="0" xfId="0" applyAlignment="1">
      <alignment horizontal="left"/>
    </xf>
    <xf numFmtId="174" fontId="0" fillId="0" borderId="0" xfId="2" applyNumberFormat="1" applyFont="1" applyAlignment="1">
      <alignment horizontal="center"/>
    </xf>
    <xf numFmtId="0" fontId="66" fillId="0" borderId="0" xfId="0" applyFont="1" applyAlignment="1">
      <alignment horizontal="center" vertical="center" wrapText="1"/>
    </xf>
    <xf numFmtId="0" fontId="0" fillId="0" borderId="0" xfId="0" applyAlignment="1">
      <alignment horizontal="center"/>
    </xf>
    <xf numFmtId="0" fontId="0" fillId="0" borderId="0" xfId="0" applyFont="1" applyAlignment="1">
      <alignment horizontal="left" vertical="center"/>
    </xf>
    <xf numFmtId="174" fontId="0" fillId="0" borderId="0" xfId="2" applyNumberFormat="1" applyFont="1" applyAlignment="1">
      <alignment horizontal="center" vertical="center"/>
    </xf>
    <xf numFmtId="0" fontId="2" fillId="0" borderId="0" xfId="0" applyFont="1" applyAlignment="1">
      <alignment vertical="center"/>
    </xf>
    <xf numFmtId="174" fontId="0" fillId="0" borderId="0" xfId="2" applyNumberFormat="1" applyFont="1"/>
    <xf numFmtId="9" fontId="0" fillId="0" borderId="0" xfId="2" applyFont="1"/>
    <xf numFmtId="0" fontId="0" fillId="0" borderId="0" xfId="0" applyAlignment="1">
      <alignment horizontal="center" vertical="center"/>
    </xf>
    <xf numFmtId="0" fontId="61" fillId="0" borderId="0" xfId="0" applyFont="1" applyAlignment="1">
      <alignment vertical="center"/>
    </xf>
    <xf numFmtId="0" fontId="0" fillId="0" borderId="0" xfId="0" applyAlignment="1">
      <alignment vertical="center"/>
    </xf>
    <xf numFmtId="0" fontId="2" fillId="0" borderId="0" xfId="0" applyFont="1" applyAlignment="1">
      <alignment horizontal="center"/>
    </xf>
    <xf numFmtId="174" fontId="63" fillId="0" borderId="0" xfId="0" applyNumberFormat="1" applyFont="1" applyAlignment="1">
      <alignment horizontal="center" vertical="center"/>
    </xf>
    <xf numFmtId="174" fontId="2" fillId="0" borderId="0" xfId="0" applyNumberFormat="1" applyFont="1" applyAlignment="1">
      <alignment horizontal="center" vertical="center"/>
    </xf>
    <xf numFmtId="174" fontId="2" fillId="0" borderId="0" xfId="2" applyNumberFormat="1" applyFont="1" applyAlignment="1">
      <alignment horizontal="center" vertical="center" wrapText="1"/>
    </xf>
    <xf numFmtId="174" fontId="60" fillId="0" borderId="0" xfId="0" applyNumberFormat="1" applyFont="1" applyAlignment="1">
      <alignment horizontal="center" vertical="center"/>
    </xf>
    <xf numFmtId="0" fontId="62" fillId="0" borderId="0" xfId="0" applyFont="1" applyAlignment="1">
      <alignment horizontal="center" vertical="center"/>
    </xf>
    <xf numFmtId="174" fontId="0" fillId="0" borderId="0" xfId="2" applyNumberFormat="1" applyFont="1" applyAlignment="1">
      <alignment horizontal="center" vertical="center" wrapText="1"/>
    </xf>
    <xf numFmtId="0" fontId="0" fillId="0" borderId="0" xfId="0" applyFont="1" applyAlignment="1">
      <alignment horizontal="center" vertical="center"/>
    </xf>
    <xf numFmtId="0" fontId="0" fillId="0" borderId="0" xfId="0" applyFont="1" applyAlignment="1">
      <alignment horizontal="center" vertical="center" wrapText="1"/>
    </xf>
    <xf numFmtId="174" fontId="0" fillId="0" borderId="0" xfId="0" applyNumberFormat="1" applyFont="1" applyAlignment="1">
      <alignment horizontal="center" vertical="center"/>
    </xf>
    <xf numFmtId="0" fontId="2" fillId="0" borderId="0" xfId="0" applyFont="1" applyAlignment="1"/>
    <xf numFmtId="0" fontId="62" fillId="0" borderId="0" xfId="0" applyFont="1" applyAlignment="1">
      <alignment horizontal="center" vertical="center" wrapText="1"/>
    </xf>
    <xf numFmtId="0" fontId="0" fillId="0" borderId="0" xfId="0" applyFont="1"/>
    <xf numFmtId="0" fontId="2" fillId="0" borderId="0" xfId="0" applyFont="1" applyAlignment="1">
      <alignment horizontal="center" vertical="center" wrapText="1"/>
    </xf>
    <xf numFmtId="0" fontId="0" fillId="0" borderId="0" xfId="0" applyAlignment="1">
      <alignment horizontal="center" vertical="center" wrapText="1"/>
    </xf>
    <xf numFmtId="0" fontId="2" fillId="0" borderId="0" xfId="0" applyFont="1"/>
    <xf numFmtId="0" fontId="60" fillId="0" borderId="0" xfId="0" applyFont="1"/>
    <xf numFmtId="0" fontId="81" fillId="0" borderId="0" xfId="0" applyFont="1"/>
    <xf numFmtId="181" fontId="2" fillId="0" borderId="0" xfId="1" applyNumberFormat="1" applyFont="1" applyAlignment="1">
      <alignment horizontal="center"/>
    </xf>
    <xf numFmtId="182" fontId="2" fillId="0" borderId="0" xfId="0" applyNumberFormat="1" applyFont="1"/>
    <xf numFmtId="181" fontId="1" fillId="0" borderId="0" xfId="1" applyNumberFormat="1" applyFont="1" applyAlignment="1">
      <alignment vertical="center"/>
    </xf>
    <xf numFmtId="1" fontId="1" fillId="0" borderId="0" xfId="2" applyNumberFormat="1" applyFont="1" applyAlignment="1">
      <alignment horizontal="center" vertical="center" wrapText="1"/>
    </xf>
    <xf numFmtId="181" fontId="60" fillId="0" borderId="0" xfId="1" applyNumberFormat="1" applyFont="1" applyAlignment="1"/>
    <xf numFmtId="181" fontId="0" fillId="0" borderId="0" xfId="1" applyNumberFormat="1" applyFont="1" applyAlignment="1"/>
    <xf numFmtId="0" fontId="64" fillId="0" borderId="0" xfId="0" applyFont="1"/>
    <xf numFmtId="0" fontId="80" fillId="0" borderId="0" xfId="0" applyFont="1"/>
    <xf numFmtId="174" fontId="79" fillId="0" borderId="0" xfId="0" applyNumberFormat="1" applyFont="1" applyAlignment="1">
      <alignment horizontal="center"/>
    </xf>
    <xf numFmtId="174" fontId="78" fillId="0" borderId="0" xfId="0" applyNumberFormat="1" applyFont="1" applyAlignment="1">
      <alignment horizontal="center" vertical="center"/>
    </xf>
    <xf numFmtId="174" fontId="77" fillId="0" borderId="0" xfId="0" applyNumberFormat="1" applyFont="1" applyAlignment="1">
      <alignment horizontal="center" vertical="center"/>
    </xf>
    <xf numFmtId="174" fontId="76" fillId="0" borderId="0" xfId="0" applyNumberFormat="1" applyFont="1" applyAlignment="1">
      <alignment horizontal="center"/>
    </xf>
    <xf numFmtId="174" fontId="75" fillId="0" borderId="0" xfId="0" applyNumberFormat="1" applyFont="1" applyAlignment="1">
      <alignment horizontal="center"/>
    </xf>
    <xf numFmtId="181" fontId="0" fillId="0" borderId="0" xfId="1" applyNumberFormat="1" applyFont="1" applyAlignment="1">
      <alignment horizontal="center"/>
    </xf>
    <xf numFmtId="10" fontId="0" fillId="0" borderId="0" xfId="0" applyNumberFormat="1" applyAlignment="1">
      <alignment horizontal="center"/>
    </xf>
    <xf numFmtId="174" fontId="74" fillId="0" borderId="0" xfId="0" applyNumberFormat="1" applyFont="1" applyAlignment="1">
      <alignment horizontal="center" vertical="center"/>
    </xf>
    <xf numFmtId="174" fontId="73" fillId="0" borderId="0" xfId="0" applyNumberFormat="1" applyFont="1" applyAlignment="1">
      <alignment horizontal="center"/>
    </xf>
    <xf numFmtId="181" fontId="0" fillId="0" borderId="0" xfId="1" applyNumberFormat="1" applyFont="1" applyAlignment="1">
      <alignment horizontal="center" vertical="center"/>
    </xf>
    <xf numFmtId="180" fontId="0" fillId="0" borderId="0" xfId="2" applyNumberFormat="1" applyFont="1"/>
    <xf numFmtId="2" fontId="0" fillId="0" borderId="0" xfId="2" applyNumberFormat="1" applyFont="1" applyAlignment="1">
      <alignment horizontal="center" vertical="center" wrapText="1"/>
    </xf>
    <xf numFmtId="9" fontId="0" fillId="0" borderId="0" xfId="2" applyFont="1" applyAlignment="1">
      <alignment vertical="center"/>
    </xf>
    <xf numFmtId="174" fontId="82" fillId="0" borderId="0" xfId="0" applyNumberFormat="1" applyFont="1" applyAlignment="1">
      <alignment horizontal="center"/>
    </xf>
    <xf numFmtId="174" fontId="83" fillId="0" borderId="0" xfId="0" applyNumberFormat="1" applyFont="1" applyAlignment="1">
      <alignment horizontal="center" vertical="center"/>
    </xf>
    <xf numFmtId="182" fontId="2" fillId="0" borderId="0" xfId="0" applyNumberFormat="1" applyFont="1" applyAlignment="1">
      <alignment horizontal="center"/>
    </xf>
    <xf numFmtId="174" fontId="60" fillId="0" borderId="0" xfId="2" applyNumberFormat="1" applyFont="1" applyAlignment="1">
      <alignment horizontal="center"/>
    </xf>
    <xf numFmtId="181" fontId="66" fillId="0" borderId="0" xfId="1" applyNumberFormat="1" applyFont="1" applyAlignment="1"/>
    <xf numFmtId="0" fontId="0" fillId="0" borderId="0" xfId="0" applyFill="1" applyAlignment="1">
      <alignment horizontal="center" vertical="center" wrapText="1"/>
    </xf>
    <xf numFmtId="9" fontId="0" fillId="0" borderId="0" xfId="2" applyFont="1" applyFill="1" applyAlignment="1">
      <alignment horizontal="center"/>
    </xf>
    <xf numFmtId="1" fontId="62" fillId="0" borderId="0" xfId="0" applyNumberFormat="1" applyFont="1" applyAlignment="1">
      <alignment horizontal="center" vertical="center" wrapText="1"/>
    </xf>
    <xf numFmtId="181" fontId="66" fillId="0" borderId="0" xfId="1" applyNumberFormat="1" applyFont="1" applyAlignment="1">
      <alignment horizontal="center"/>
    </xf>
    <xf numFmtId="181" fontId="85" fillId="0" borderId="0" xfId="1" applyNumberFormat="1" applyFont="1" applyAlignment="1">
      <alignment horizontal="center" vertical="center"/>
    </xf>
    <xf numFmtId="1" fontId="2" fillId="0" borderId="0" xfId="1" applyNumberFormat="1" applyFont="1" applyAlignment="1">
      <alignment horizontal="center" vertical="center"/>
    </xf>
    <xf numFmtId="10" fontId="0" fillId="0" borderId="0" xfId="2" applyNumberFormat="1" applyFont="1"/>
    <xf numFmtId="0" fontId="62" fillId="0" borderId="0" xfId="0" applyFont="1"/>
    <xf numFmtId="177" fontId="62" fillId="0" borderId="0" xfId="0" applyNumberFormat="1" applyFont="1"/>
    <xf numFmtId="0" fontId="0" fillId="0" borderId="0" xfId="0" applyFont="1" applyAlignment="1"/>
    <xf numFmtId="0" fontId="0" fillId="0" borderId="0" xfId="0"/>
    <xf numFmtId="177" fontId="0" fillId="0" borderId="0" xfId="0" applyNumberFormat="1" applyAlignment="1">
      <alignment horizontal="center"/>
    </xf>
    <xf numFmtId="177" fontId="62" fillId="0" borderId="0" xfId="0" applyNumberFormat="1" applyFont="1" applyAlignment="1">
      <alignment horizontal="center"/>
    </xf>
    <xf numFmtId="1" fontId="62" fillId="0" borderId="0" xfId="0" applyNumberFormat="1" applyFont="1" applyAlignment="1">
      <alignment horizontal="center"/>
    </xf>
    <xf numFmtId="1" fontId="0" fillId="0" borderId="0" xfId="0" applyNumberFormat="1" applyAlignment="1">
      <alignment horizontal="center"/>
    </xf>
    <xf numFmtId="174" fontId="0" fillId="0" borderId="0" xfId="0" applyNumberFormat="1" applyAlignment="1">
      <alignment horizontal="center"/>
    </xf>
    <xf numFmtId="181" fontId="0" fillId="0" borderId="0" xfId="0" applyNumberFormat="1"/>
    <xf numFmtId="181" fontId="1" fillId="0" borderId="0" xfId="1" applyNumberFormat="1" applyFont="1"/>
    <xf numFmtId="183" fontId="0" fillId="0" borderId="0" xfId="0" applyNumberFormat="1" applyAlignment="1">
      <alignment horizontal="center"/>
    </xf>
    <xf numFmtId="174" fontId="86" fillId="0" borderId="0" xfId="2" applyNumberFormat="1" applyFont="1" applyAlignment="1">
      <alignment horizontal="center"/>
    </xf>
    <xf numFmtId="0" fontId="86" fillId="0" borderId="0" xfId="0" applyFont="1"/>
    <xf numFmtId="174" fontId="0" fillId="0" borderId="0" xfId="2" applyNumberFormat="1" applyFont="1" applyFill="1" applyAlignment="1">
      <alignment horizontal="center"/>
    </xf>
    <xf numFmtId="181" fontId="1" fillId="0" borderId="0" xfId="1" applyNumberFormat="1" applyFont="1" applyAlignment="1">
      <alignment horizontal="center"/>
    </xf>
    <xf numFmtId="2" fontId="1" fillId="0" borderId="0" xfId="1" applyNumberFormat="1" applyFont="1" applyAlignment="1">
      <alignment horizontal="center"/>
    </xf>
    <xf numFmtId="9" fontId="1" fillId="0" borderId="0" xfId="2" applyNumberFormat="1" applyFont="1" applyAlignment="1">
      <alignment horizontal="center"/>
    </xf>
    <xf numFmtId="1" fontId="2" fillId="0" borderId="0" xfId="2" applyNumberFormat="1" applyFont="1" applyAlignment="1">
      <alignment horizontal="center"/>
    </xf>
    <xf numFmtId="1" fontId="2" fillId="0" borderId="0" xfId="1" applyNumberFormat="1" applyFont="1" applyAlignment="1">
      <alignment horizontal="center"/>
    </xf>
    <xf numFmtId="1" fontId="0" fillId="0" borderId="0" xfId="0" applyNumberFormat="1" applyAlignment="1">
      <alignment horizontal="center" vertical="center"/>
    </xf>
    <xf numFmtId="2" fontId="0" fillId="0" borderId="0" xfId="0" applyNumberFormat="1" applyAlignment="1">
      <alignment horizontal="center" vertical="center"/>
    </xf>
    <xf numFmtId="0" fontId="0" fillId="0" borderId="0" xfId="0" applyAlignment="1">
      <alignment horizontal="left" vertical="center"/>
    </xf>
    <xf numFmtId="0" fontId="0" fillId="0" borderId="0" xfId="0" applyAlignment="1">
      <alignment horizontal="center" vertical="center" wrapText="1"/>
    </xf>
    <xf numFmtId="184" fontId="0" fillId="0" borderId="0" xfId="0" applyNumberFormat="1" applyAlignment="1">
      <alignment horizontal="center"/>
    </xf>
    <xf numFmtId="174" fontId="1" fillId="0" borderId="0" xfId="2" applyNumberFormat="1" applyFont="1" applyAlignment="1">
      <alignment horizontal="center"/>
    </xf>
    <xf numFmtId="1" fontId="0" fillId="0" borderId="0" xfId="2" applyNumberFormat="1" applyFont="1" applyAlignment="1">
      <alignment horizontal="center" vertical="center"/>
    </xf>
    <xf numFmtId="174" fontId="0" fillId="0" borderId="0" xfId="0" applyNumberFormat="1" applyAlignment="1">
      <alignment horizontal="center" vertical="center"/>
    </xf>
    <xf numFmtId="11" fontId="0" fillId="0" borderId="0" xfId="1" applyNumberFormat="1" applyFont="1" applyAlignment="1">
      <alignment horizontal="center"/>
    </xf>
    <xf numFmtId="174" fontId="87" fillId="0" borderId="0" xfId="0" applyNumberFormat="1" applyFont="1" applyAlignment="1">
      <alignment horizontal="center" vertical="center"/>
    </xf>
    <xf numFmtId="1" fontId="0" fillId="0" borderId="0" xfId="1" applyNumberFormat="1" applyFont="1" applyAlignment="1">
      <alignment horizontal="center"/>
    </xf>
    <xf numFmtId="181" fontId="88" fillId="0" borderId="0" xfId="0" applyNumberFormat="1" applyFont="1"/>
    <xf numFmtId="181" fontId="88" fillId="0" borderId="0" xfId="1" applyNumberFormat="1" applyFont="1"/>
    <xf numFmtId="0" fontId="88" fillId="0" borderId="0" xfId="0" applyFont="1"/>
    <xf numFmtId="0" fontId="88" fillId="0" borderId="0" xfId="0" applyFont="1" applyAlignment="1">
      <alignment horizontal="left"/>
    </xf>
    <xf numFmtId="181" fontId="89" fillId="0" borderId="0" xfId="1" applyNumberFormat="1" applyFont="1" applyAlignment="1">
      <alignment horizontal="center" vertical="center"/>
    </xf>
    <xf numFmtId="174" fontId="60" fillId="0" borderId="0" xfId="2" applyNumberFormat="1" applyFont="1" applyAlignment="1">
      <alignment horizontal="center" vertical="center" wrapText="1"/>
    </xf>
    <xf numFmtId="182" fontId="90" fillId="0" borderId="0" xfId="0" applyNumberFormat="1" applyFont="1"/>
    <xf numFmtId="0" fontId="0" fillId="0" borderId="0" xfId="0" applyAlignment="1">
      <alignment wrapText="1"/>
    </xf>
    <xf numFmtId="0" fontId="0" fillId="0" borderId="0" xfId="0" applyAlignment="1">
      <alignment horizontal="center" wrapText="1"/>
    </xf>
    <xf numFmtId="177" fontId="2" fillId="0" borderId="0" xfId="1" applyNumberFormat="1" applyFont="1" applyAlignment="1">
      <alignment horizontal="center" vertical="center"/>
    </xf>
    <xf numFmtId="177" fontId="91" fillId="0" borderId="0" xfId="1" applyNumberFormat="1" applyFont="1" applyAlignment="1">
      <alignment horizontal="center" vertical="center"/>
    </xf>
    <xf numFmtId="0" fontId="0" fillId="0" borderId="0" xfId="0" applyFont="1" applyAlignment="1">
      <alignment vertical="center"/>
    </xf>
    <xf numFmtId="10" fontId="0" fillId="0" borderId="0" xfId="2" applyNumberFormat="1" applyFont="1" applyAlignment="1">
      <alignment horizontal="center"/>
    </xf>
    <xf numFmtId="2" fontId="0" fillId="0" borderId="0" xfId="0" applyNumberFormat="1" applyAlignment="1">
      <alignment horizontal="center"/>
    </xf>
    <xf numFmtId="0" fontId="93" fillId="0" borderId="0" xfId="0" applyFont="1" applyAlignment="1">
      <alignment vertical="center"/>
    </xf>
    <xf numFmtId="0" fontId="79" fillId="0" borderId="0" xfId="0" applyFont="1" applyAlignment="1">
      <alignment horizontal="center" vertical="center"/>
    </xf>
    <xf numFmtId="185" fontId="0" fillId="0" borderId="0" xfId="0" applyNumberFormat="1" applyAlignment="1">
      <alignment horizontal="center"/>
    </xf>
    <xf numFmtId="0" fontId="75" fillId="0" borderId="0" xfId="0" applyFont="1" applyAlignment="1">
      <alignment horizontal="center"/>
    </xf>
    <xf numFmtId="0" fontId="92" fillId="0" borderId="0" xfId="0" applyFont="1" applyAlignment="1">
      <alignment horizontal="center"/>
    </xf>
    <xf numFmtId="0" fontId="76" fillId="0" borderId="0" xfId="0" applyFont="1" applyAlignment="1">
      <alignment horizontal="center"/>
    </xf>
    <xf numFmtId="0" fontId="79" fillId="0" borderId="0" xfId="0" applyFont="1" applyAlignment="1">
      <alignment horizontal="center"/>
    </xf>
    <xf numFmtId="0" fontId="82" fillId="0" borderId="0" xfId="0" applyFont="1" applyAlignment="1">
      <alignment horizontal="center"/>
    </xf>
    <xf numFmtId="1" fontId="60" fillId="0" borderId="0" xfId="0" applyNumberFormat="1" applyFont="1"/>
    <xf numFmtId="11" fontId="60" fillId="0" borderId="0" xfId="0" applyNumberFormat="1" applyFont="1" applyAlignment="1">
      <alignment horizontal="center" vertical="center"/>
    </xf>
    <xf numFmtId="183" fontId="60" fillId="0" borderId="0" xfId="1" applyNumberFormat="1" applyFont="1" applyAlignment="1">
      <alignment horizontal="center" vertical="center"/>
    </xf>
    <xf numFmtId="181" fontId="60" fillId="0" borderId="0" xfId="1" quotePrefix="1" applyNumberFormat="1" applyFont="1" applyAlignment="1">
      <alignment horizontal="center" vertical="center"/>
    </xf>
    <xf numFmtId="186" fontId="0" fillId="0" borderId="0" xfId="1" applyNumberFormat="1" applyFont="1"/>
    <xf numFmtId="10" fontId="0" fillId="0" borderId="0" xfId="0" applyNumberFormat="1" applyFont="1" applyAlignment="1">
      <alignment horizontal="left" vertical="center"/>
    </xf>
    <xf numFmtId="0" fontId="95" fillId="0" borderId="0" xfId="0" applyFont="1" applyAlignment="1">
      <alignment horizontal="center" vertical="center" wrapText="1"/>
    </xf>
    <xf numFmtId="0" fontId="92" fillId="0" borderId="20" xfId="0" applyFont="1" applyBorder="1" applyAlignment="1">
      <alignment horizontal="center"/>
    </xf>
    <xf numFmtId="174" fontId="0" fillId="0" borderId="21" xfId="2" applyNumberFormat="1" applyFont="1" applyBorder="1" applyAlignment="1">
      <alignment horizontal="center"/>
    </xf>
    <xf numFmtId="0" fontId="75" fillId="0" borderId="22" xfId="0" applyFont="1" applyBorder="1" applyAlignment="1">
      <alignment horizontal="center"/>
    </xf>
    <xf numFmtId="174" fontId="0" fillId="0" borderId="23" xfId="2" applyNumberFormat="1" applyFont="1" applyBorder="1" applyAlignment="1">
      <alignment horizontal="center"/>
    </xf>
    <xf numFmtId="0" fontId="76" fillId="0" borderId="22" xfId="0" applyFont="1" applyBorder="1" applyAlignment="1">
      <alignment horizontal="center"/>
    </xf>
    <xf numFmtId="0" fontId="79" fillId="0" borderId="22" xfId="0" applyFont="1" applyBorder="1" applyAlignment="1">
      <alignment horizontal="center"/>
    </xf>
    <xf numFmtId="0" fontId="82" fillId="0" borderId="24" xfId="0" applyFont="1" applyBorder="1" applyAlignment="1">
      <alignment horizontal="center"/>
    </xf>
    <xf numFmtId="174" fontId="0" fillId="0" borderId="25" xfId="2" applyNumberFormat="1" applyFont="1" applyBorder="1" applyAlignment="1">
      <alignment horizontal="center"/>
    </xf>
    <xf numFmtId="0" fontId="86" fillId="0" borderId="0" xfId="0" applyFont="1" applyAlignment="1">
      <alignment horizontal="center" vertical="center" wrapText="1"/>
    </xf>
    <xf numFmtId="9" fontId="86" fillId="0" borderId="0" xfId="2" applyFont="1" applyFill="1" applyAlignment="1">
      <alignment horizontal="center"/>
    </xf>
    <xf numFmtId="10" fontId="86" fillId="0" borderId="0" xfId="2" applyNumberFormat="1" applyFont="1" applyFill="1" applyAlignment="1">
      <alignment horizontal="center"/>
    </xf>
    <xf numFmtId="0" fontId="0" fillId="0" borderId="0" xfId="0" applyFont="1" applyAlignment="1">
      <alignment wrapText="1"/>
    </xf>
    <xf numFmtId="0" fontId="0" fillId="0" borderId="0" xfId="0" applyFont="1" applyAlignment="1">
      <alignment horizontal="center"/>
    </xf>
    <xf numFmtId="0" fontId="0" fillId="0" borderId="0" xfId="0" applyFont="1" applyAlignment="1">
      <alignment horizontal="left"/>
    </xf>
    <xf numFmtId="181" fontId="60" fillId="0" borderId="0" xfId="1" applyNumberFormat="1" applyFont="1" applyAlignment="1">
      <alignment horizontal="center"/>
    </xf>
    <xf numFmtId="0" fontId="0" fillId="0" borderId="0" xfId="0" applyFont="1" applyAlignment="1">
      <alignment horizontal="center" wrapText="1"/>
    </xf>
    <xf numFmtId="0" fontId="0" fillId="0" borderId="0" xfId="0" applyFont="1" applyAlignment="1">
      <alignment horizontal="left" vertical="center" wrapText="1"/>
    </xf>
    <xf numFmtId="181" fontId="0" fillId="0" borderId="0" xfId="1" applyNumberFormat="1" applyFont="1" applyFill="1" applyAlignment="1">
      <alignment horizontal="center"/>
    </xf>
    <xf numFmtId="181" fontId="66" fillId="0" borderId="0" xfId="1" applyNumberFormat="1" applyFont="1" applyFill="1" applyAlignment="1">
      <alignment horizontal="center"/>
    </xf>
    <xf numFmtId="0" fontId="0" fillId="0" borderId="0" xfId="0" applyFont="1" applyFill="1" applyAlignment="1">
      <alignment horizontal="center" vertical="center" wrapText="1"/>
    </xf>
    <xf numFmtId="1" fontId="1" fillId="0" borderId="0" xfId="2" applyNumberFormat="1" applyFont="1" applyAlignment="1">
      <alignment horizontal="center"/>
    </xf>
    <xf numFmtId="1" fontId="1" fillId="0" borderId="0" xfId="1" applyNumberFormat="1" applyFont="1" applyAlignment="1">
      <alignment horizontal="center"/>
    </xf>
    <xf numFmtId="182" fontId="0" fillId="0" borderId="0" xfId="0" applyNumberFormat="1" applyFont="1"/>
    <xf numFmtId="183" fontId="91" fillId="0" borderId="0" xfId="1" applyNumberFormat="1" applyFont="1" applyAlignment="1">
      <alignment horizontal="center" vertical="center"/>
    </xf>
    <xf numFmtId="0" fontId="66" fillId="0" borderId="0" xfId="0" applyNumberFormat="1" applyFont="1" applyAlignment="1">
      <alignment vertical="center"/>
    </xf>
    <xf numFmtId="0" fontId="66" fillId="0" borderId="0" xfId="1" applyNumberFormat="1" applyFont="1" applyAlignment="1">
      <alignment horizontal="left" vertical="center"/>
    </xf>
    <xf numFmtId="174" fontId="0" fillId="0" borderId="0" xfId="0" applyNumberFormat="1" applyFont="1" applyAlignment="1">
      <alignment horizontal="center"/>
    </xf>
    <xf numFmtId="0" fontId="2" fillId="0" borderId="0" xfId="0" applyFont="1" applyAlignment="1">
      <alignment horizontal="left"/>
    </xf>
    <xf numFmtId="3" fontId="0" fillId="0" borderId="0" xfId="0" applyNumberFormat="1" applyFont="1" applyAlignment="1"/>
    <xf numFmtId="2" fontId="1" fillId="0" borderId="0" xfId="2" applyNumberFormat="1" applyFont="1" applyAlignment="1">
      <alignment horizontal="center" vertical="center" wrapText="1"/>
    </xf>
    <xf numFmtId="9" fontId="1" fillId="0" borderId="0" xfId="2" applyFont="1"/>
    <xf numFmtId="9" fontId="1" fillId="0" borderId="0" xfId="2" applyFont="1" applyAlignment="1">
      <alignment horizontal="center" vertical="center"/>
    </xf>
    <xf numFmtId="9" fontId="1" fillId="0" borderId="0" xfId="2" applyFont="1" applyAlignment="1">
      <alignment vertical="center"/>
    </xf>
    <xf numFmtId="181" fontId="1" fillId="0" borderId="0" xfId="1" applyNumberFormat="1" applyFont="1" applyAlignment="1">
      <alignment horizontal="center" vertical="center"/>
    </xf>
    <xf numFmtId="9" fontId="1" fillId="0" borderId="0" xfId="2" applyFont="1" applyAlignment="1">
      <alignment horizontal="center" vertical="center" wrapText="1"/>
    </xf>
    <xf numFmtId="174" fontId="0" fillId="0" borderId="0" xfId="0" applyNumberFormat="1" applyFont="1"/>
    <xf numFmtId="181" fontId="0" fillId="0" borderId="0" xfId="0" applyNumberFormat="1" applyFont="1"/>
    <xf numFmtId="1" fontId="0" fillId="0" borderId="0" xfId="0" applyNumberFormat="1" applyFont="1" applyAlignment="1">
      <alignment horizontal="center" vertical="center"/>
    </xf>
    <xf numFmtId="10" fontId="1" fillId="0" borderId="0" xfId="2" applyNumberFormat="1" applyFont="1" applyAlignment="1">
      <alignment horizontal="center" vertical="center"/>
    </xf>
    <xf numFmtId="174" fontId="1" fillId="0" borderId="0" xfId="2" applyNumberFormat="1" applyFont="1" applyAlignment="1">
      <alignment horizontal="center" vertical="center"/>
    </xf>
    <xf numFmtId="177" fontId="0" fillId="0" borderId="0" xfId="0" applyNumberFormat="1" applyFont="1" applyAlignment="1">
      <alignment horizontal="center" vertical="center"/>
    </xf>
    <xf numFmtId="2" fontId="0" fillId="0" borderId="0" xfId="0" applyNumberFormat="1" applyFont="1" applyAlignment="1">
      <alignment horizontal="center" vertical="center"/>
    </xf>
    <xf numFmtId="183" fontId="0" fillId="0" borderId="0" xfId="0" applyNumberFormat="1" applyFont="1" applyAlignment="1">
      <alignment horizontal="center" vertical="center"/>
    </xf>
    <xf numFmtId="181" fontId="1" fillId="0" borderId="0" xfId="1" applyNumberFormat="1" applyFont="1" applyAlignment="1"/>
    <xf numFmtId="2" fontId="1" fillId="0" borderId="0" xfId="2" applyNumberFormat="1" applyFont="1" applyAlignment="1">
      <alignment horizontal="center"/>
    </xf>
    <xf numFmtId="0" fontId="96" fillId="0" borderId="0" xfId="0" applyFont="1"/>
    <xf numFmtId="0" fontId="2" fillId="0" borderId="0" xfId="0" applyFont="1" applyAlignment="1">
      <alignment horizontal="center" vertical="center"/>
    </xf>
    <xf numFmtId="0" fontId="64" fillId="0" borderId="0" xfId="0" applyFont="1" applyAlignment="1">
      <alignment horizontal="center" vertical="center"/>
    </xf>
    <xf numFmtId="0" fontId="0" fillId="0" borderId="0" xfId="0" applyAlignment="1">
      <alignment horizontal="center" vertical="center"/>
    </xf>
    <xf numFmtId="174" fontId="0" fillId="0" borderId="0" xfId="2" applyNumberFormat="1" applyFont="1" applyAlignment="1">
      <alignment horizontal="center" vertical="center"/>
    </xf>
    <xf numFmtId="0" fontId="0" fillId="0" borderId="0" xfId="0" applyAlignment="1">
      <alignment horizontal="center"/>
    </xf>
    <xf numFmtId="0" fontId="2" fillId="0" borderId="0" xfId="0" applyFont="1" applyAlignment="1">
      <alignment horizontal="center"/>
    </xf>
    <xf numFmtId="187" fontId="0" fillId="0" borderId="0" xfId="0" applyNumberFormat="1" applyFont="1"/>
    <xf numFmtId="4" fontId="94" fillId="0" borderId="0" xfId="453" applyNumberFormat="1" applyFont="1"/>
    <xf numFmtId="0" fontId="2" fillId="0" borderId="0" xfId="0" applyFont="1" applyAlignment="1">
      <alignment horizontal="center" vertical="center"/>
    </xf>
    <xf numFmtId="0" fontId="0" fillId="0" borderId="0" xfId="0" applyFont="1" applyAlignment="1">
      <alignment horizontal="center" vertical="center" wrapText="1"/>
    </xf>
    <xf numFmtId="174" fontId="0" fillId="0" borderId="0" xfId="2" applyNumberFormat="1" applyFont="1" applyAlignment="1">
      <alignment horizontal="center" vertical="center"/>
    </xf>
    <xf numFmtId="0" fontId="0" fillId="0" borderId="0" xfId="0" applyAlignment="1">
      <alignment horizontal="center"/>
    </xf>
    <xf numFmtId="0" fontId="0" fillId="0" borderId="0" xfId="0" applyAlignment="1">
      <alignment horizontal="center" vertical="center"/>
    </xf>
    <xf numFmtId="0" fontId="64" fillId="0" borderId="0" xfId="0" applyFont="1" applyAlignment="1">
      <alignment horizontal="center"/>
    </xf>
    <xf numFmtId="9" fontId="0" fillId="0" borderId="0" xfId="2" applyFont="1" applyAlignment="1">
      <alignment horizontal="center" vertical="center"/>
    </xf>
    <xf numFmtId="1" fontId="64" fillId="0" borderId="0" xfId="0" applyNumberFormat="1" applyFont="1" applyAlignment="1">
      <alignment horizontal="center" vertical="center"/>
    </xf>
    <xf numFmtId="9" fontId="0" fillId="0" borderId="0" xfId="0" applyNumberFormat="1" applyAlignment="1">
      <alignment horizontal="center" vertical="center"/>
    </xf>
    <xf numFmtId="2" fontId="60" fillId="0" borderId="0" xfId="0" applyNumberFormat="1" applyFont="1" applyAlignment="1">
      <alignment horizontal="center" vertical="center"/>
    </xf>
    <xf numFmtId="174" fontId="101" fillId="0" borderId="0" xfId="2" applyNumberFormat="1" applyFont="1" applyAlignment="1">
      <alignment horizontal="center" vertical="center" wrapText="1"/>
    </xf>
    <xf numFmtId="0" fontId="63" fillId="0" borderId="0" xfId="0" applyFont="1" applyAlignment="1">
      <alignment horizontal="center" vertical="center" wrapText="1"/>
    </xf>
    <xf numFmtId="174" fontId="60" fillId="0" borderId="0" xfId="2" applyNumberFormat="1" applyFont="1" applyAlignment="1">
      <alignment horizontal="right"/>
    </xf>
    <xf numFmtId="174" fontId="60" fillId="0" borderId="0" xfId="0" applyNumberFormat="1" applyFont="1"/>
    <xf numFmtId="10" fontId="0" fillId="0" borderId="0" xfId="0" applyNumberFormat="1"/>
    <xf numFmtId="11" fontId="0" fillId="0" borderId="0" xfId="0" applyNumberFormat="1"/>
    <xf numFmtId="174" fontId="0" fillId="0" borderId="0" xfId="2" applyNumberFormat="1" applyFont="1" applyAlignment="1">
      <alignment horizontal="right"/>
    </xf>
    <xf numFmtId="174" fontId="64" fillId="0" borderId="0" xfId="2" applyNumberFormat="1" applyFont="1" applyAlignment="1">
      <alignment horizontal="center"/>
    </xf>
    <xf numFmtId="174" fontId="0" fillId="0" borderId="0" xfId="2" applyNumberFormat="1" applyFont="1" applyAlignment="1">
      <alignment horizontal="center"/>
    </xf>
    <xf numFmtId="174" fontId="60" fillId="0" borderId="0" xfId="0" applyNumberFormat="1" applyFont="1" applyAlignment="1">
      <alignment horizontal="center"/>
    </xf>
    <xf numFmtId="174" fontId="60" fillId="0" borderId="0" xfId="0" applyNumberFormat="1" applyFont="1" applyAlignment="1"/>
    <xf numFmtId="174" fontId="0" fillId="0" borderId="0" xfId="2" applyNumberFormat="1" applyFont="1" applyAlignment="1"/>
    <xf numFmtId="9" fontId="2" fillId="0" borderId="0" xfId="0" applyNumberFormat="1" applyFont="1" applyAlignment="1">
      <alignment horizontal="center" vertical="center"/>
    </xf>
    <xf numFmtId="2" fontId="63" fillId="0" borderId="0" xfId="1" applyNumberFormat="1" applyFont="1" applyAlignment="1">
      <alignment horizontal="center" vertical="top"/>
    </xf>
    <xf numFmtId="174" fontId="1" fillId="0" borderId="0" xfId="2" applyNumberFormat="1" applyFont="1" applyAlignment="1">
      <alignment horizontal="right"/>
    </xf>
    <xf numFmtId="174" fontId="0" fillId="0" borderId="0" xfId="2" applyNumberFormat="1" applyFont="1" applyAlignment="1">
      <alignment horizontal="left"/>
    </xf>
    <xf numFmtId="0" fontId="2" fillId="0" borderId="0" xfId="0" applyFont="1" applyAlignment="1">
      <alignment horizontal="center" vertical="center"/>
    </xf>
    <xf numFmtId="0" fontId="0" fillId="0" borderId="0" xfId="0" applyFont="1" applyAlignment="1">
      <alignment horizontal="center" vertical="center" wrapText="1"/>
    </xf>
    <xf numFmtId="174" fontId="0" fillId="0" borderId="0" xfId="2" applyNumberFormat="1" applyFont="1" applyAlignment="1">
      <alignment horizontal="center" vertical="center"/>
    </xf>
    <xf numFmtId="0" fontId="0" fillId="0" borderId="0" xfId="0" applyAlignment="1">
      <alignment horizontal="center"/>
    </xf>
    <xf numFmtId="0" fontId="60" fillId="0" borderId="0" xfId="0" applyFont="1" applyAlignment="1">
      <alignment horizontal="right"/>
    </xf>
    <xf numFmtId="188" fontId="0" fillId="0" borderId="0" xfId="0" applyNumberFormat="1" applyAlignment="1">
      <alignment horizontal="center" vertical="center"/>
    </xf>
    <xf numFmtId="2" fontId="63" fillId="0" borderId="0" xfId="0" applyNumberFormat="1" applyFont="1" applyAlignment="1">
      <alignment horizontal="center"/>
    </xf>
    <xf numFmtId="0" fontId="63" fillId="0" borderId="0" xfId="0" applyFont="1" applyAlignment="1"/>
    <xf numFmtId="0" fontId="0" fillId="0" borderId="0" xfId="0" applyAlignment="1">
      <alignment horizontal="right"/>
    </xf>
    <xf numFmtId="183" fontId="2" fillId="0" borderId="0" xfId="0" applyNumberFormat="1" applyFont="1" applyAlignment="1">
      <alignment horizontal="center"/>
    </xf>
    <xf numFmtId="0" fontId="0" fillId="0" borderId="0" xfId="0" applyFont="1" applyBorder="1"/>
    <xf numFmtId="0" fontId="63" fillId="0" borderId="0" xfId="83" applyFont="1" applyBorder="1" applyAlignment="1">
      <alignment horizontal="center" vertical="center" wrapText="1"/>
    </xf>
    <xf numFmtId="0" fontId="103" fillId="0" borderId="0" xfId="83" applyFont="1" applyBorder="1" applyAlignment="1">
      <alignment horizontal="center" vertical="center" wrapText="1"/>
    </xf>
    <xf numFmtId="0" fontId="0" fillId="0" borderId="0" xfId="0" applyFont="1" applyFill="1" applyBorder="1"/>
    <xf numFmtId="0" fontId="104" fillId="0" borderId="0" xfId="83" applyFont="1" applyBorder="1" applyAlignment="1">
      <alignment horizontal="center" vertical="center" wrapText="1"/>
    </xf>
    <xf numFmtId="0" fontId="2" fillId="0" borderId="0" xfId="0" applyFont="1" applyBorder="1"/>
    <xf numFmtId="10" fontId="0" fillId="0" borderId="0" xfId="2" applyNumberFormat="1" applyFont="1" applyBorder="1" applyAlignment="1">
      <alignment horizontal="center"/>
    </xf>
    <xf numFmtId="2" fontId="0" fillId="0" borderId="0" xfId="0" applyNumberFormat="1"/>
    <xf numFmtId="0" fontId="102" fillId="0" borderId="0" xfId="83" applyFont="1" applyFill="1" applyBorder="1" applyAlignment="1">
      <alignment horizontal="center" vertical="center" wrapText="1"/>
    </xf>
    <xf numFmtId="9" fontId="0" fillId="0" borderId="0" xfId="2" applyFont="1" applyBorder="1" applyAlignment="1">
      <alignment horizontal="center"/>
    </xf>
    <xf numFmtId="2" fontId="0" fillId="0" borderId="0" xfId="1" applyNumberFormat="1" applyFont="1" applyAlignment="1">
      <alignment horizontal="center"/>
    </xf>
    <xf numFmtId="0" fontId="2" fillId="0" borderId="0" xfId="0" applyFont="1" applyBorder="1" applyAlignment="1">
      <alignment horizontal="center"/>
    </xf>
    <xf numFmtId="0" fontId="0" fillId="0" borderId="0" xfId="0" quotePrefix="1" applyFont="1" applyBorder="1"/>
    <xf numFmtId="0" fontId="0" fillId="0" borderId="0" xfId="0" quotePrefix="1"/>
    <xf numFmtId="0" fontId="0" fillId="0" borderId="0" xfId="0" quotePrefix="1" applyAlignment="1">
      <alignment horizontal="left"/>
    </xf>
    <xf numFmtId="183" fontId="64" fillId="0" borderId="0" xfId="0" applyNumberFormat="1" applyFont="1" applyAlignment="1">
      <alignment horizontal="center" vertical="center"/>
    </xf>
    <xf numFmtId="174" fontId="61" fillId="0" borderId="0" xfId="2" applyNumberFormat="1" applyFont="1" applyAlignment="1">
      <alignment horizontal="center" vertical="center"/>
    </xf>
    <xf numFmtId="10" fontId="0" fillId="0" borderId="0" xfId="0" applyNumberFormat="1" applyAlignment="1">
      <alignment horizontal="center" vertical="center"/>
    </xf>
    <xf numFmtId="10" fontId="0" fillId="0" borderId="0" xfId="2" applyNumberFormat="1" applyFont="1" applyAlignment="1">
      <alignment horizontal="center" vertical="center"/>
    </xf>
    <xf numFmtId="174" fontId="2" fillId="0" borderId="0" xfId="0" applyNumberFormat="1" applyFont="1" applyAlignment="1">
      <alignment horizontal="center"/>
    </xf>
    <xf numFmtId="0" fontId="2" fillId="0" borderId="0" xfId="0" applyFont="1" applyAlignment="1">
      <alignment horizontal="center" vertical="center"/>
    </xf>
    <xf numFmtId="0" fontId="2" fillId="52" borderId="0" xfId="0" applyFont="1" applyFill="1" applyAlignment="1">
      <alignment horizontal="center" vertical="center"/>
    </xf>
    <xf numFmtId="0" fontId="2" fillId="53" borderId="0" xfId="0" applyFont="1" applyFill="1" applyAlignment="1">
      <alignment horizontal="center"/>
    </xf>
    <xf numFmtId="0" fontId="2" fillId="51" borderId="0" xfId="0" applyFont="1" applyFill="1" applyAlignment="1">
      <alignment horizontal="center" vertical="center"/>
    </xf>
    <xf numFmtId="0" fontId="2" fillId="53" borderId="0" xfId="0" applyFont="1" applyFill="1" applyAlignment="1">
      <alignment horizontal="center" vertical="center"/>
    </xf>
    <xf numFmtId="0" fontId="64" fillId="0" borderId="0" xfId="0" applyFont="1" applyAlignment="1">
      <alignment horizontal="center" vertical="center"/>
    </xf>
    <xf numFmtId="0" fontId="0" fillId="0" borderId="0" xfId="0" applyFont="1" applyAlignment="1">
      <alignment horizontal="center" vertical="center" wrapText="1"/>
    </xf>
    <xf numFmtId="0" fontId="79" fillId="0" borderId="0" xfId="0" applyFont="1" applyAlignment="1">
      <alignment horizontal="center" vertical="center"/>
    </xf>
    <xf numFmtId="0" fontId="0" fillId="0" borderId="0" xfId="0" applyFont="1" applyAlignment="1">
      <alignment horizontal="center" vertical="center"/>
    </xf>
    <xf numFmtId="0" fontId="92" fillId="0" borderId="0" xfId="0" applyFont="1" applyAlignment="1">
      <alignment horizontal="center" vertical="center"/>
    </xf>
    <xf numFmtId="0" fontId="75" fillId="0" borderId="0" xfId="0" applyFont="1" applyAlignment="1">
      <alignment horizontal="center" vertical="center"/>
    </xf>
    <xf numFmtId="0" fontId="76" fillId="0" borderId="0" xfId="0" applyFont="1" applyAlignment="1">
      <alignment horizontal="center" vertical="center"/>
    </xf>
    <xf numFmtId="0" fontId="82" fillId="0" borderId="0" xfId="0" applyFont="1" applyAlignment="1">
      <alignment horizontal="center" vertical="center"/>
    </xf>
    <xf numFmtId="0" fontId="2" fillId="0" borderId="0" xfId="0" applyFont="1" applyAlignment="1">
      <alignment horizontal="center" vertical="center" wrapText="1"/>
    </xf>
    <xf numFmtId="0" fontId="84" fillId="0" borderId="0" xfId="0" applyFont="1" applyAlignment="1">
      <alignment horizontal="center" vertical="center" wrapText="1"/>
    </xf>
    <xf numFmtId="174" fontId="0" fillId="0" borderId="0" xfId="2" applyNumberFormat="1" applyFont="1" applyAlignment="1">
      <alignment horizontal="center" vertical="center"/>
    </xf>
    <xf numFmtId="0" fontId="0" fillId="0" borderId="0" xfId="0" applyAlignment="1">
      <alignment horizontal="center"/>
    </xf>
    <xf numFmtId="0" fontId="0" fillId="0" borderId="0" xfId="0" applyAlignment="1">
      <alignment horizontal="center" vertical="center" wrapText="1"/>
    </xf>
    <xf numFmtId="0" fontId="0" fillId="0" borderId="0" xfId="0" applyAlignment="1">
      <alignment horizontal="center" vertical="center"/>
    </xf>
    <xf numFmtId="0" fontId="63" fillId="0" borderId="0" xfId="0" applyFont="1" applyAlignment="1">
      <alignment horizontal="center" vertical="center"/>
    </xf>
    <xf numFmtId="10" fontId="0" fillId="0" borderId="0" xfId="2" applyNumberFormat="1" applyFont="1" applyAlignment="1">
      <alignment horizontal="center"/>
    </xf>
    <xf numFmtId="174" fontId="2" fillId="0" borderId="0" xfId="2" applyNumberFormat="1" applyFont="1" applyAlignment="1">
      <alignment horizontal="center" vertical="center"/>
    </xf>
    <xf numFmtId="9" fontId="2" fillId="0" borderId="0" xfId="2" applyFont="1" applyAlignment="1">
      <alignment horizontal="center" vertical="center"/>
    </xf>
    <xf numFmtId="9" fontId="0" fillId="0" borderId="0" xfId="2" applyFont="1" applyAlignment="1">
      <alignment horizontal="center" vertical="center"/>
    </xf>
    <xf numFmtId="0" fontId="64" fillId="0" borderId="0" xfId="0" applyFont="1" applyAlignment="1">
      <alignment horizontal="center"/>
    </xf>
    <xf numFmtId="0" fontId="2" fillId="0" borderId="0" xfId="0" applyFont="1" applyAlignment="1">
      <alignment horizontal="center"/>
    </xf>
    <xf numFmtId="0" fontId="2" fillId="0" borderId="0" xfId="0" applyFont="1" applyAlignment="1">
      <alignment horizontal="center" wrapText="1"/>
    </xf>
    <xf numFmtId="10" fontId="64" fillId="0" borderId="0" xfId="2" applyNumberFormat="1" applyFont="1" applyAlignment="1">
      <alignment horizontal="center" vertical="center"/>
    </xf>
    <xf numFmtId="43" fontId="0" fillId="0" borderId="0" xfId="1" applyFont="1" applyAlignment="1">
      <alignment horizontal="right" vertical="center"/>
    </xf>
    <xf numFmtId="2" fontId="63" fillId="0" borderId="0" xfId="0" applyNumberFormat="1" applyFont="1" applyAlignment="1">
      <alignment horizontal="center"/>
    </xf>
    <xf numFmtId="0" fontId="60" fillId="0" borderId="0" xfId="0" applyFont="1" applyBorder="1" applyAlignment="1">
      <alignment horizontal="center"/>
    </xf>
    <xf numFmtId="174" fontId="60" fillId="0" borderId="0" xfId="2" applyNumberFormat="1" applyFont="1" applyBorder="1" applyAlignment="1">
      <alignment horizontal="center"/>
    </xf>
    <xf numFmtId="174" fontId="1" fillId="0" borderId="0" xfId="2" applyNumberFormat="1" applyFont="1" applyBorder="1" applyAlignment="1">
      <alignment horizontal="center"/>
    </xf>
    <xf numFmtId="0" fontId="60" fillId="0" borderId="29" xfId="0" applyFont="1" applyBorder="1" applyAlignment="1">
      <alignment horizontal="center"/>
    </xf>
    <xf numFmtId="174" fontId="60" fillId="0" borderId="29" xfId="2" applyNumberFormat="1" applyFont="1" applyBorder="1" applyAlignment="1">
      <alignment horizontal="center"/>
    </xf>
    <xf numFmtId="174" fontId="1" fillId="0" borderId="29" xfId="2" applyNumberFormat="1" applyFont="1" applyBorder="1" applyAlignment="1">
      <alignment horizontal="center"/>
    </xf>
    <xf numFmtId="0" fontId="2" fillId="0" borderId="0" xfId="0" applyFont="1" applyFill="1" applyAlignment="1">
      <alignment horizontal="center" vertical="center"/>
    </xf>
  </cellXfs>
  <cellStyles count="470">
    <cellStyle name="20% - Accent1" xfId="5" xr:uid="{2D64CAA5-EEB5-44BB-A6AF-400B54DD5C01}"/>
    <cellStyle name="20% - Accent1 2" xfId="156" xr:uid="{9B7EC455-5A7A-4252-92CB-3B95DA3FA63D}"/>
    <cellStyle name="20% - Accent2" xfId="6" xr:uid="{8C35F308-3355-4863-BB29-3ED6A32A44E0}"/>
    <cellStyle name="20% - Accent2 2" xfId="157" xr:uid="{E51BE4FF-90A8-481E-AEDF-6B4636A29AA7}"/>
    <cellStyle name="20% - Accent3" xfId="7" xr:uid="{E1F43B42-167C-4608-BD92-3DBF6D5B50A6}"/>
    <cellStyle name="20% - Accent3 2" xfId="158" xr:uid="{CF8CD2D2-C4DC-4010-B2FF-9FFB5BF4F24E}"/>
    <cellStyle name="20% - Accent4" xfId="8" xr:uid="{5EEBCB70-A122-49EB-B178-C4B0E10927FC}"/>
    <cellStyle name="20% - Accent4 2" xfId="159" xr:uid="{7D69260A-1320-4C94-9793-F3404EE65CA9}"/>
    <cellStyle name="20% - Accent5" xfId="9" xr:uid="{11DE97C0-E2BC-4175-84BF-1099A772CC4C}"/>
    <cellStyle name="20% - Accent5 2" xfId="160" xr:uid="{DF9E275A-0E83-4B2A-A241-2070D322E041}"/>
    <cellStyle name="20% - Accent6" xfId="10" xr:uid="{3229098D-8666-427D-A8FF-CE1CA09CE635}"/>
    <cellStyle name="20% - Accent6 2" xfId="161" xr:uid="{D537D017-8094-48D4-A022-E873742392C3}"/>
    <cellStyle name="40% - Accent1" xfId="11" xr:uid="{75DB390C-B004-4E09-BD1A-D87B5C169C5A}"/>
    <cellStyle name="40% - Accent1 2" xfId="162" xr:uid="{FFC2FB4B-211D-4950-B15B-0FBEA274699B}"/>
    <cellStyle name="40% - Accent2" xfId="12" xr:uid="{33D867DD-3194-455F-B005-E20DC98E8489}"/>
    <cellStyle name="40% - Accent2 2" xfId="163" xr:uid="{FFAECFAF-C9E9-410B-B3E2-1931CDFEDD80}"/>
    <cellStyle name="40% - Accent3" xfId="13" xr:uid="{4057728C-F8A3-422F-BFA4-3CA7A3C8665B}"/>
    <cellStyle name="40% - Accent3 2" xfId="164" xr:uid="{07CBBF11-79D4-413C-93AA-8F0C460B253E}"/>
    <cellStyle name="40% - Accent4" xfId="14" xr:uid="{047DF7C7-6DC2-49E1-B552-773D8070EB90}"/>
    <cellStyle name="40% - Accent4 2" xfId="165" xr:uid="{71A11FEF-799A-4F8B-BE0E-A0B8D8CBF31D}"/>
    <cellStyle name="40% - Accent5" xfId="15" xr:uid="{E70787FB-FF3B-48FD-986F-5D841DB88274}"/>
    <cellStyle name="40% - Accent5 2" xfId="166" xr:uid="{50F612E8-D2CD-4556-9E6A-B9ACB30F425E}"/>
    <cellStyle name="40% - Accent6" xfId="16" xr:uid="{DFB62F86-489A-4161-B93E-85773BD45633}"/>
    <cellStyle name="40% - Accent6 2" xfId="167" xr:uid="{8610096F-0965-411E-A2DD-1334F9FD0AF5}"/>
    <cellStyle name="60% - Accent1" xfId="17" xr:uid="{DA030A92-1467-4D71-8D90-6F80CB24DCA7}"/>
    <cellStyle name="60% - Accent1 2" xfId="168" xr:uid="{97611656-BBB3-4302-9C02-8BE81CB5EADE}"/>
    <cellStyle name="60% - Accent2" xfId="18" xr:uid="{E0922890-5E2E-4D45-B48D-6C88DC62E532}"/>
    <cellStyle name="60% - Accent2 2" xfId="169" xr:uid="{33833DCD-129A-4CDA-9087-74E6C186B853}"/>
    <cellStyle name="60% - Accent3" xfId="19" xr:uid="{D62F6E17-CC59-42CF-B98A-523278C04120}"/>
    <cellStyle name="60% - Accent3 2" xfId="170" xr:uid="{DE2D090B-3E86-45B2-ACBA-045DC21DC854}"/>
    <cellStyle name="60% - Accent4" xfId="20" xr:uid="{538A8CF2-CA44-4E34-B7C0-30DF74A57786}"/>
    <cellStyle name="60% - Accent4 2" xfId="171" xr:uid="{77043E0C-6CDD-42A7-A015-74459183CD35}"/>
    <cellStyle name="60% - Accent5" xfId="21" xr:uid="{26A575E3-365F-4B1C-987D-4A3001403184}"/>
    <cellStyle name="60% - Accent5 2" xfId="172" xr:uid="{094EACD8-63D2-4EE2-ADB2-1E3EC6AFC615}"/>
    <cellStyle name="60% - Accent6" xfId="22" xr:uid="{1861EA64-0DAF-47EB-9E5F-5DF777585C53}"/>
    <cellStyle name="60% - Accent6 2" xfId="173" xr:uid="{F5A1A981-0266-4BFC-B4DD-ABF8C40DBC07}"/>
    <cellStyle name="Accent1 2" xfId="174" xr:uid="{4DAE008C-9855-4C51-9086-AB9D9DC4C3F2}"/>
    <cellStyle name="Accent2 2" xfId="175" xr:uid="{67D93D58-294D-4261-B6FE-C45E44DCCAC2}"/>
    <cellStyle name="Accent3 2" xfId="176" xr:uid="{94114F06-CBA0-4E1D-AE21-AB4272581023}"/>
    <cellStyle name="Accent4 2" xfId="177" xr:uid="{E1DEF957-5590-4CFE-B8A8-E4B4BB6E9C2D}"/>
    <cellStyle name="Accent5 2" xfId="178" xr:uid="{7D6C77F0-6D9B-433B-AD15-6B928FA15A5B}"/>
    <cellStyle name="Accent6 2" xfId="179" xr:uid="{36D82FA0-54F7-45C9-9B07-CBA7CDAFF4C1}"/>
    <cellStyle name="Bad" xfId="23" xr:uid="{B7CC874B-6910-4532-A4A4-C1A4F3B085BB}"/>
    <cellStyle name="Bad 2" xfId="180" xr:uid="{AD1C3D62-0E9A-4919-87F4-FE85D9D929F1}"/>
    <cellStyle name="caché" xfId="24" xr:uid="{5AC9A5BC-BC71-4560-904F-CBC70C6DD23C}"/>
    <cellStyle name="Calculation" xfId="25" xr:uid="{48ADCC70-94D2-4EF1-AA9E-CF94E1E6782D}"/>
    <cellStyle name="Calculation 2" xfId="181" xr:uid="{FF1E613B-3833-4D6F-9161-6960C7043171}"/>
    <cellStyle name="Calculation 3" xfId="454" xr:uid="{86A054A4-676F-43C4-B510-B44E615FF8F7}"/>
    <cellStyle name="Check Cell" xfId="26" xr:uid="{B77843FF-DAEE-45D4-91E8-526156471E61}"/>
    <cellStyle name="Check Cell 2" xfId="182" xr:uid="{27ECAB4C-9464-4C57-A812-F80D72198863}"/>
    <cellStyle name="Comma 10" xfId="183" xr:uid="{2904E7C8-7B24-4C52-B3A5-FF28C06826A3}"/>
    <cellStyle name="Comma 10 2" xfId="297" xr:uid="{18FAF62F-E24A-4AA8-B3E1-18CCBB4F3C75}"/>
    <cellStyle name="Comma 11" xfId="184" xr:uid="{D70A82D9-EFE7-4EF4-9679-BECA0E956D7A}"/>
    <cellStyle name="Comma 11 2" xfId="298" xr:uid="{32382732-0960-49FD-8D93-0B4C55887A21}"/>
    <cellStyle name="Comma 12" xfId="185" xr:uid="{48EAF87F-8924-46D6-AE50-E6BB86A63F01}"/>
    <cellStyle name="Comma 12 2" xfId="186" xr:uid="{A866519A-96FC-415D-9328-E75FECDB0D5B}"/>
    <cellStyle name="Comma 13" xfId="187" xr:uid="{53206405-A7DB-4019-AAE0-082D5F2BC6FA}"/>
    <cellStyle name="Comma 14" xfId="299" xr:uid="{2E949202-1DFC-45AD-A31C-26DE840B99B8}"/>
    <cellStyle name="Comma 14 2" xfId="430" xr:uid="{8A6ADBAB-8775-45BB-A431-465D54B8D5B6}"/>
    <cellStyle name="Comma 15" xfId="300" xr:uid="{851484F4-62E8-48AE-80C4-14832851AFDF}"/>
    <cellStyle name="Comma 15 2" xfId="431" xr:uid="{E06AB042-718D-4569-87EC-620AA7A95B1F}"/>
    <cellStyle name="Comma 16" xfId="301" xr:uid="{9AE7E99D-A4FE-49CF-943F-DDFA4D22E2EF}"/>
    <cellStyle name="Comma 2" xfId="27" xr:uid="{D596FBE5-783E-4718-847B-A0C4472AAAA4}"/>
    <cellStyle name="Comma 2 2" xfId="188" xr:uid="{71FAE55B-B39E-4835-B130-4C20E72336DE}"/>
    <cellStyle name="Comma 2 2 2" xfId="189" xr:uid="{88ED6D42-AA74-4577-A044-AE31AD584F1E}"/>
    <cellStyle name="Comma 2 2 2 2" xfId="302" xr:uid="{E586D4B0-E0C5-48A4-91BF-6F30E05058ED}"/>
    <cellStyle name="Comma 2 2 2 2 2" xfId="303" xr:uid="{2B45CA17-C83D-4B5F-9BF3-8A417570E437}"/>
    <cellStyle name="Comma 2 2 2 3" xfId="304" xr:uid="{88269AD4-7BC8-43F8-81C0-C4D605D897AC}"/>
    <cellStyle name="Comma 2 2 3" xfId="305" xr:uid="{C56CDE77-9552-4F1F-9125-2C234C36BFFB}"/>
    <cellStyle name="Comma 2 3" xfId="190" xr:uid="{DA883312-628B-44DA-A9F7-C0139244466B}"/>
    <cellStyle name="Comma 2 3 2" xfId="306" xr:uid="{2877BB64-71E1-4A70-BA3E-7476F939B2A2}"/>
    <cellStyle name="Comma 2 4" xfId="307" xr:uid="{A6AD7A01-09D8-48D6-8C72-0A438693D070}"/>
    <cellStyle name="Comma 2 5" xfId="436" xr:uid="{FD4E1066-12E0-441D-BE5C-42CD845B4DE7}"/>
    <cellStyle name="Comma 3" xfId="28" xr:uid="{D3A3CFB4-30F6-4649-8CA5-D65B1AB2541A}"/>
    <cellStyle name="Comma 3 2" xfId="29" xr:uid="{A0CF64CA-20AC-4D31-A144-47246483C3AE}"/>
    <cellStyle name="Comma 4" xfId="191" xr:uid="{C38B6517-9558-4580-ACE2-3F234EDD8E9E}"/>
    <cellStyle name="Comma 4 2" xfId="192" xr:uid="{DF47A4C3-C982-4572-B96C-832D3FC5707D}"/>
    <cellStyle name="Comma 5" xfId="193" xr:uid="{83ACDF97-805A-4919-9273-95537547F588}"/>
    <cellStyle name="Comma 5 2" xfId="194" xr:uid="{F4D1EFBE-BDF5-45B5-81F1-CDD673D5CEE0}"/>
    <cellStyle name="Comma 5 3" xfId="308" xr:uid="{DF90D1D3-36AD-43F8-A485-ABF82DFB49CB}"/>
    <cellStyle name="Comma 6" xfId="195" xr:uid="{5A77438F-3A87-4DFB-A1EE-BC2435973D1B}"/>
    <cellStyle name="Comma 6 2" xfId="309" xr:uid="{96FD5D8D-8B13-4038-9859-F3E884DF4683}"/>
    <cellStyle name="Comma 7" xfId="196" xr:uid="{5626FEF7-7022-4BA7-A4BB-9790C06829CE}"/>
    <cellStyle name="Comma 7 2" xfId="310" xr:uid="{40DDB86B-3E78-45A5-8BAE-CAB6DFCD0D6C}"/>
    <cellStyle name="Comma 8" xfId="197" xr:uid="{DE98F9AF-AF1A-4A88-8302-5EC55EFC10BD}"/>
    <cellStyle name="Comma 8 2" xfId="392" xr:uid="{946939A3-02B2-44F2-8E5E-0B2422668DAB}"/>
    <cellStyle name="Comma 9" xfId="198" xr:uid="{ED7A4E02-2E78-49A6-B500-19F5BC1C06C2}"/>
    <cellStyle name="Comma(0)" xfId="30" xr:uid="{B7913C58-3732-41D6-B0B1-1D65F8CF3FEF}"/>
    <cellStyle name="Comma(3)" xfId="31" xr:uid="{62876BC6-D173-4308-ACC1-9059AD2EE588}"/>
    <cellStyle name="Comma[0]" xfId="32" xr:uid="{5E73F56C-F5FB-4950-B376-BEE366EAE231}"/>
    <cellStyle name="Comma[1]" xfId="33" xr:uid="{FEB0D6F6-D7BD-49FE-9844-EF71520BDB93}"/>
    <cellStyle name="Comma[2]__" xfId="34" xr:uid="{7D35E25F-084C-4B74-8125-190DBDBA67DB}"/>
    <cellStyle name="Comma[3]" xfId="35" xr:uid="{D11FD6FF-B3A4-4A0A-AAD3-9CBCF86FC79C}"/>
    <cellStyle name="Comma0" xfId="36" xr:uid="{5B6105AB-4E35-4CF8-AD3F-CB61D899EB0B}"/>
    <cellStyle name="Comma0 2" xfId="420" xr:uid="{038AE20D-DB8A-4C8C-B679-82C447400398}"/>
    <cellStyle name="Commentaire" xfId="37" xr:uid="{9A9C709D-C0F7-4E40-B13E-B0E85FC75369}"/>
    <cellStyle name="Commentaire 2" xfId="450" xr:uid="{19219A6C-7B66-4C34-A320-485D3CF20C00}"/>
    <cellStyle name="Currency 2" xfId="421" xr:uid="{53E73DC3-E597-4923-9EE4-92F5CA090820}"/>
    <cellStyle name="Currency 2 2" xfId="432" xr:uid="{EC7438A6-2D16-462C-96D5-6BF65001C3E2}"/>
    <cellStyle name="Currency0" xfId="38" xr:uid="{028BE39C-2285-495F-B315-062C211FBB1C}"/>
    <cellStyle name="Currency0 2" xfId="419" xr:uid="{45B3B29B-25D6-4012-90BA-2BF6D119FA49}"/>
    <cellStyle name="Date" xfId="39" xr:uid="{3C3DBF63-BD76-4A47-812C-F5CD0107F01E}"/>
    <cellStyle name="Date 2" xfId="199" xr:uid="{9695B34E-632A-4543-8248-DBF8A5A02797}"/>
    <cellStyle name="Date 2 2" xfId="391" xr:uid="{5495031A-A326-471E-851F-E14418E2A5A3}"/>
    <cellStyle name="Date 3" xfId="418" xr:uid="{BCDDC15A-7DE7-4506-ADEB-27242DF143E5}"/>
    <cellStyle name="Dezimal_03-09-03" xfId="40" xr:uid="{F3F2F85D-7E93-4FFC-9B49-853F085DEF73}"/>
    <cellStyle name="En-tête 1" xfId="41" xr:uid="{4B6A39FA-191D-47FA-BC3F-09659D9C26A4}"/>
    <cellStyle name="En-tête 1 2" xfId="200" xr:uid="{129B5FD7-FFFC-4F6B-9765-CD4F552737D9}"/>
    <cellStyle name="En-tête 1 2 2" xfId="390" xr:uid="{D89FC8E9-0F5C-4D2D-9C88-83BFE9091543}"/>
    <cellStyle name="En-tête 1 3" xfId="417" xr:uid="{999A39AE-6AC8-455A-B8D4-8698529DD3BA}"/>
    <cellStyle name="En-tête 2" xfId="42" xr:uid="{2AFC9E56-FA70-4871-A12F-B701011E6DD1}"/>
    <cellStyle name="En-tête 2 2" xfId="201" xr:uid="{17F15DBA-B7CB-48CA-B3B2-92860A07BC1B}"/>
    <cellStyle name="En-tête 2 2 2" xfId="389" xr:uid="{28FCE25F-81DB-4AD8-BD0C-4A2A40EAE672}"/>
    <cellStyle name="En-tête 2 3" xfId="416" xr:uid="{05E048F7-5E89-4A15-878D-17FAA82BB811}"/>
    <cellStyle name="Explanatory Text" xfId="43" xr:uid="{894C75E4-674E-4CC7-9207-99DD29FAFFAC}"/>
    <cellStyle name="Explanatory Text 2" xfId="202" xr:uid="{43726FDA-176A-4610-AE74-8608C370EA96}"/>
    <cellStyle name="Financier0" xfId="44" xr:uid="{86F4128E-4A2C-4F7F-8F71-1C0A4698BA28}"/>
    <cellStyle name="Financier0 2" xfId="203" xr:uid="{6F0D7C72-4904-41E7-9F49-655EAAD14F68}"/>
    <cellStyle name="Financier0 2 2" xfId="388" xr:uid="{4DF717AB-8480-4CF7-BA7B-6F6035A938B9}"/>
    <cellStyle name="Financier0 3" xfId="415" xr:uid="{3F3D3693-45E7-4F1A-90E2-BBB3A5F5B68D}"/>
    <cellStyle name="Fixed" xfId="45" xr:uid="{D726E947-6F33-45FC-AD41-4A857E36A5B8}"/>
    <cellStyle name="Fixed 2" xfId="414" xr:uid="{6E05CCC4-1F88-4BB3-9F4A-1E7C08FB5970}"/>
    <cellStyle name="Good" xfId="46" xr:uid="{CD6CF26A-670B-48E5-BEE1-5CBA3FE187AD}"/>
    <cellStyle name="Good 2" xfId="204" xr:uid="{4CAED96E-EC03-45B0-9772-4F0FB396E21D}"/>
    <cellStyle name="Heading 1" xfId="47" xr:uid="{73690D5E-4FBA-41C6-B0B0-B9A6DCEC5906}"/>
    <cellStyle name="Heading 1 2" xfId="205" xr:uid="{B18DDDC5-DC86-4C52-A658-3E1DE971C6B3}"/>
    <cellStyle name="Heading 2" xfId="48" xr:uid="{E32590D5-FB34-4D83-9C25-1424A1BB2D1E}"/>
    <cellStyle name="Heading 2 2" xfId="206" xr:uid="{96584DCC-7A13-46A7-B8F2-DBF7A18FD163}"/>
    <cellStyle name="Heading 3" xfId="49" xr:uid="{CC4FAC88-B7C2-4179-B620-D81DDA236D84}"/>
    <cellStyle name="Heading 3 2" xfId="207" xr:uid="{6C6BE92E-DAA8-4D0F-81FE-0F98DB2D689D}"/>
    <cellStyle name="Heading 4" xfId="50" xr:uid="{76B593A8-4FC1-4204-A68A-C40DA98DA389}"/>
    <cellStyle name="Heading 4 2" xfId="208" xr:uid="{04F39645-2A55-42B4-A17A-4AF64832B0D7}"/>
    <cellStyle name="Hyperlink 2" xfId="209" xr:uid="{C0F39289-2F81-49C1-85F0-6C4D98A9DC7A}"/>
    <cellStyle name="Input" xfId="51" xr:uid="{188BEF1C-8EF6-45CE-ABCB-9B4588699A4E}"/>
    <cellStyle name="Input 2" xfId="210" xr:uid="{D07FD5ED-A4B3-4279-94C0-8DA0AA726676}"/>
    <cellStyle name="Input 3" xfId="455" xr:uid="{84938688-5382-41EE-ABB9-775FCAD94F3F}"/>
    <cellStyle name="Lien hypertexte 2" xfId="52" xr:uid="{EBC18255-F9AF-443B-A8CE-82FEDD77DFF3}"/>
    <cellStyle name="Lien hypertexte 2 2" xfId="469" xr:uid="{75966EC4-B1C1-4DB2-87FF-EDC17DBE217A}"/>
    <cellStyle name="Lien hypertexte 3" xfId="349" xr:uid="{5F44D7C3-8920-445F-B6E8-24DE3626137A}"/>
    <cellStyle name="Linked Cell" xfId="53" xr:uid="{0E161ACA-84E5-4D50-BE95-B91B5633900E}"/>
    <cellStyle name="Linked Cell 2" xfId="211" xr:uid="{8B9A5057-3BB6-4872-9318-40CD169F35C1}"/>
    <cellStyle name="Milliers" xfId="1" builtinId="3"/>
    <cellStyle name="Milliers 2" xfId="54" xr:uid="{AEFE9F53-A0E9-4DA9-8690-481107B178ED}"/>
    <cellStyle name="Milliers 3" xfId="350" xr:uid="{93369DC9-5F4F-4D8C-BC08-537C18700CCB}"/>
    <cellStyle name="Milliers 3 2" xfId="295" xr:uid="{248159BB-CCC4-4F17-9CCE-BF4F8FE34D2A}"/>
    <cellStyle name="Milliers 3 3" xfId="458" xr:uid="{0D0F07AC-A184-45E2-8F82-D6D8116A3892}"/>
    <cellStyle name="Milliers 4" xfId="371" xr:uid="{E7764AD7-C9EB-4074-AF56-9F16F0CCB329}"/>
    <cellStyle name="Milliers 5" xfId="440" xr:uid="{F754ED55-BCF5-408B-806B-E41A1EF9B99A}"/>
    <cellStyle name="Monétaire0" xfId="55" xr:uid="{756051A9-961D-4E48-9DFB-687305925504}"/>
    <cellStyle name="Monétaire0 2" xfId="212" xr:uid="{E9802F85-100E-4E34-A496-9F3637306FC7}"/>
    <cellStyle name="Monétaire0 2 2" xfId="387" xr:uid="{D691F2D9-56C4-4E27-ABCE-90AF785519A9}"/>
    <cellStyle name="Monétaire0 3" xfId="413" xr:uid="{DAA5F4F8-E11A-4C93-8BF8-BFEDD0C8F730}"/>
    <cellStyle name="Motif" xfId="56" xr:uid="{D1096B0B-D70F-4F31-BCB2-7D5310189130}"/>
    <cellStyle name="Motif 2" xfId="412" xr:uid="{914D6312-8D45-4D42-89C7-9484BEA3204A}"/>
    <cellStyle name="Neutral" xfId="57" xr:uid="{8EC1B5FF-8982-48B2-9E96-86EDA5C9D025}"/>
    <cellStyle name="Neutral 2" xfId="213" xr:uid="{2301E48D-C0BB-43AE-87FC-F491050B195E}"/>
    <cellStyle name="Normaali_Eduskuntavaalit" xfId="58" xr:uid="{55D95882-BF02-4E9C-A335-812111E96041}"/>
    <cellStyle name="Normal" xfId="0" builtinId="0"/>
    <cellStyle name="Normal 10" xfId="59" xr:uid="{52E03F0D-5615-4577-9EB6-490BED3DC8F0}"/>
    <cellStyle name="Normal 10 2" xfId="60" xr:uid="{3960728C-159E-42B2-8ABB-C29217C29477}"/>
    <cellStyle name="Normal 10 2 2" xfId="61" xr:uid="{B1BA20B0-AB6D-4DF5-AA09-4FCA81F1AC5F}"/>
    <cellStyle name="Normal 10 3" xfId="62" xr:uid="{61D8713A-B45B-457E-ADF3-CBB3BDA60A68}"/>
    <cellStyle name="Normal 10 3 2" xfId="363" xr:uid="{20BA16FC-D1AD-4064-B80E-AC7CD7AB983D}"/>
    <cellStyle name="Normal 10 4" xfId="351" xr:uid="{D73B08A1-9D9C-48F9-B440-8295BA0B0A55}"/>
    <cellStyle name="Normal 10 4 2" xfId="352" xr:uid="{49983AC0-F372-4062-B1A6-7FD796DC4557}"/>
    <cellStyle name="Normal 10 5" xfId="353" xr:uid="{E204EDC4-0AAF-4580-97B3-789DD958471E}"/>
    <cellStyle name="Normal 11" xfId="63" xr:uid="{B4CF61A8-2B33-4F15-A721-6D191CCD0CCE}"/>
    <cellStyle name="Normal 11 2" xfId="64" xr:uid="{4AE89849-9032-4E83-9E38-29531629FD0D}"/>
    <cellStyle name="Normal 11 2 2" xfId="65" xr:uid="{85B6CBFD-1AC6-4FD7-89A0-73E6D80FC6DD}"/>
    <cellStyle name="Normal 11 3" xfId="66" xr:uid="{03551366-065A-4E55-B773-0754EDF5D249}"/>
    <cellStyle name="Normal 11 4" xfId="369" xr:uid="{3EEFCFFA-A299-4CF4-AD24-CE84EBA565AD}"/>
    <cellStyle name="Normal 12" xfId="67" xr:uid="{1EF87DBF-306A-4A21-A217-49C555BCA1AA}"/>
    <cellStyle name="Normal 12 2" xfId="68" xr:uid="{3A721FC0-E9BD-4219-8436-2E5420198C97}"/>
    <cellStyle name="Normal 12 2 2" xfId="311" xr:uid="{055C41D9-DC99-491A-AF73-F106AE6A0A20}"/>
    <cellStyle name="Normal 12 2 2 2" xfId="459" xr:uid="{29689ED4-6A1D-4589-A4D8-2933654675FC}"/>
    <cellStyle name="Normal 12 2 3" xfId="439" xr:uid="{63D28680-BE38-4463-A04E-0398101BE08E}"/>
    <cellStyle name="Normal 12 3" xfId="312" xr:uid="{15774E17-CCC9-4594-9F7B-40882C928F98}"/>
    <cellStyle name="Normal 13" xfId="69" xr:uid="{8D37E882-726F-4B7B-A74A-5E75CB8651CF}"/>
    <cellStyle name="Normal 13 2" xfId="70" xr:uid="{6DD675AB-BDFF-4E3A-9063-74035326BB43}"/>
    <cellStyle name="Normal 13 3" xfId="71" xr:uid="{1FB3E7A8-9EA9-4262-81DE-ACC075FE3684}"/>
    <cellStyle name="Normal 13 4" xfId="354" xr:uid="{2358228A-D2E4-4C2F-99F4-56BB55D68304}"/>
    <cellStyle name="Normal 13 5" xfId="441" xr:uid="{13DBCC38-6091-4B7F-AC4A-F10E87395002}"/>
    <cellStyle name="Normal 14" xfId="72" xr:uid="{696EC7B7-3E48-4878-BA6B-61B0F5493CF9}"/>
    <cellStyle name="Normal 14 2" xfId="460" xr:uid="{C9FBE359-92F6-4022-AB6B-90F91D6E9DDF}"/>
    <cellStyle name="Normal 15" xfId="73" xr:uid="{1D143AC0-DFD2-4310-B528-867A94491250}"/>
    <cellStyle name="Normal 15 2" xfId="214" xr:uid="{9E486216-E737-4623-941C-137C96AEF0C6}"/>
    <cellStyle name="Normal 15 2 2" xfId="313" xr:uid="{02D13FAE-4CBF-4923-9A37-44B840B52FAF}"/>
    <cellStyle name="Normal 15 3" xfId="215" xr:uid="{86093187-A7AC-48D4-8F5C-973C12F89594}"/>
    <cellStyle name="Normal 15 4" xfId="216" xr:uid="{EB7C1A68-E194-414E-A913-A4AB157755BF}"/>
    <cellStyle name="Normal 16" xfId="74" xr:uid="{034BC1D9-A5DD-40B7-AB35-F6F65C709D73}"/>
    <cellStyle name="Normal 16 2" xfId="365" xr:uid="{9A3C725C-FB44-4CD5-80DE-EB4628E9BF05}"/>
    <cellStyle name="Normal 17" xfId="217" xr:uid="{AF4235FB-A52D-4D2B-A70B-BEDA912D7B27}"/>
    <cellStyle name="Normal 17 2" xfId="386" xr:uid="{B5133516-E16E-4243-93E5-A268684CDA9E}"/>
    <cellStyle name="Normal 18" xfId="218" xr:uid="{004601E8-39AD-47A2-BF3A-3CCB959A0276}"/>
    <cellStyle name="Normal 19" xfId="219" xr:uid="{653B8130-DD61-4E50-9E65-75B7F42637A3}"/>
    <cellStyle name="Normal 2" xfId="75" xr:uid="{8FB4739F-37B7-4332-9340-558BA384A6DF}"/>
    <cellStyle name="Normal 2 2" xfId="76" xr:uid="{32868647-70DD-4AFB-87C6-38BA4B7CB059}"/>
    <cellStyle name="Normal 2 2 2" xfId="77" xr:uid="{63C863AE-9FF6-4796-BDB3-E0E01312F41B}"/>
    <cellStyle name="Normal 2 2 2 2" xfId="409" xr:uid="{377FE81D-7C3C-448F-8AC6-429B23399AA8}"/>
    <cellStyle name="Normal 2 2 3" xfId="422" xr:uid="{0FF052BD-E022-4F4A-B34E-AC2C2C17E0AE}"/>
    <cellStyle name="Normal 2 2 3 2" xfId="433" xr:uid="{BAAC0A6D-07F6-4F79-B879-0312EE95996E}"/>
    <cellStyle name="Normal 2 2 3 3" xfId="445" xr:uid="{845A2DA4-1390-4CC6-B121-3647DFD58FA0}"/>
    <cellStyle name="Normal 2 2 4" xfId="410" xr:uid="{D045201F-2842-4DB9-BA8B-344AEF55424C}"/>
    <cellStyle name="Normal 2 3" xfId="78" xr:uid="{F3395FBD-5EB2-4D8F-B5E4-1F449205FEED}"/>
    <cellStyle name="Normal 2 3 2" xfId="408" xr:uid="{247DD688-9EB2-4EE4-8246-E2FDE755A34E}"/>
    <cellStyle name="Normal 2 3 2 2" xfId="446" xr:uid="{E9D78330-4574-4E00-BD45-274AA7E89305}"/>
    <cellStyle name="Normal 2 4" xfId="79" xr:uid="{8DAAB1D4-A787-404B-BF99-7D207AED5808}"/>
    <cellStyle name="Normal 2 4 2" xfId="80" xr:uid="{EF80FAFB-9A5E-445F-8864-C4D879E8BAF4}"/>
    <cellStyle name="Normal 2 4 3" xfId="81" xr:uid="{1407708A-5AB7-4814-906F-8A81D0CC275C}"/>
    <cellStyle name="Normal 2 5" xfId="82" xr:uid="{E98E5397-179B-4551-90B8-876C6557AD88}"/>
    <cellStyle name="Normal 2 5 2" xfId="407" xr:uid="{E9F8CE18-64C8-4CF7-8ABC-2C9AC556E44D}"/>
    <cellStyle name="Normal 2 5 3" xfId="443" xr:uid="{F0E11F23-EA4D-49E3-B99C-EC3F24F874B2}"/>
    <cellStyle name="Normal 2 6" xfId="220" xr:uid="{DBB9AD0D-F0DD-415D-A6FF-8F3FF6933DB2}"/>
    <cellStyle name="Normal 2 6 2" xfId="385" xr:uid="{EC4CB868-7278-4A27-95DB-CF3A53A7D915}"/>
    <cellStyle name="Normal 2 7" xfId="347" xr:uid="{8AC398CF-CF87-4CAF-BB6F-7A61DACE4C20}"/>
    <cellStyle name="Normal 2 8" xfId="468" xr:uid="{A1C0B3F2-FECD-4DF5-8958-C2F02EA334B9}"/>
    <cellStyle name="Normal 2_AccumulationEquation" xfId="83" xr:uid="{AD99970B-21EC-452C-9715-52BC8651E413}"/>
    <cellStyle name="Normal 20" xfId="221" xr:uid="{DB33088C-D7DB-4B1A-9D4F-C49D912F00BB}"/>
    <cellStyle name="Normal 20 2" xfId="314" xr:uid="{974490F2-B3AD-4F19-BF22-31C97C70C1EC}"/>
    <cellStyle name="Normal 21" xfId="222" xr:uid="{5529F74B-D33A-4234-B1B0-F11986C69282}"/>
    <cellStyle name="Normal 21 2" xfId="315" xr:uid="{1A662E7D-9251-454E-8BC0-0D34FE5735CB}"/>
    <cellStyle name="Normal 22" xfId="223" xr:uid="{6EAD4662-28EE-4AB0-9739-6EEB96A7E0D3}"/>
    <cellStyle name="Normal 22 2" xfId="316" xr:uid="{7A92E4B2-B3F0-47DA-8C12-2C71E84DB120}"/>
    <cellStyle name="Normal 23" xfId="224" xr:uid="{F47D85EB-1BE7-457A-86DD-A0BDEBAF8407}"/>
    <cellStyle name="Normal 23 2" xfId="317" xr:uid="{A73B4FEF-E5ED-4DC8-A906-6B6014F7503B}"/>
    <cellStyle name="Normal 24" xfId="225" xr:uid="{C52E3C52-1053-4C5B-9A5D-FE0C96A00FB0}"/>
    <cellStyle name="Normal 24 2" xfId="318" xr:uid="{6D664ED2-B7C6-4749-AC40-F933A377BA5F}"/>
    <cellStyle name="Normal 25" xfId="226" xr:uid="{F22BA64E-16C6-4CB4-9E60-CB2D72BC3D0A}"/>
    <cellStyle name="Normal 25 2" xfId="319" xr:uid="{742B43F9-C3BE-477B-8906-DAE175E43534}"/>
    <cellStyle name="Normal 26" xfId="227" xr:uid="{C96CC861-DF87-4839-B19B-60849033FDEF}"/>
    <cellStyle name="Normal 27" xfId="228" xr:uid="{8AEED47D-5D54-450C-AF09-9CD1CAFB1366}"/>
    <cellStyle name="Normal 27 2" xfId="320" xr:uid="{4638D98A-4D0A-4F28-A716-7C3E47F0FB18}"/>
    <cellStyle name="Normal 28" xfId="229" xr:uid="{2BF2AC53-9C33-4E91-B3F2-E848D77BBAF9}"/>
    <cellStyle name="Normal 28 2" xfId="321" xr:uid="{A336FBE7-895E-4176-99C6-238951ED904D}"/>
    <cellStyle name="Normal 29" xfId="230" xr:uid="{EE8A12D1-920A-4045-9B44-7AF46F2182C4}"/>
    <cellStyle name="Normal 29 2" xfId="322" xr:uid="{2E4A6B7C-90D1-47D4-87FA-23D815B53572}"/>
    <cellStyle name="Normal 3" xfId="84" xr:uid="{C8C69782-A290-46AC-BAC0-79BD2286A321}"/>
    <cellStyle name="Normal 3 10" xfId="323" xr:uid="{217CD434-507D-4A18-A301-1DCADD924C53}"/>
    <cellStyle name="Normal 3 2" xfId="85" xr:uid="{9A7DBFBC-C705-4F2E-AD9A-38CE42DE4A8D}"/>
    <cellStyle name="Normal 3 2 2" xfId="231" xr:uid="{87D5F332-90B1-4D0A-9360-3096D37BC42A}"/>
    <cellStyle name="Normal 3 2 2 2" xfId="232" xr:uid="{6F1D4818-7C67-4125-B5C5-332B4A44CD91}"/>
    <cellStyle name="Normal 3 2 2 3" xfId="324" xr:uid="{5B1E2900-C388-4F79-AFFB-E07802408C73}"/>
    <cellStyle name="Normal 3 2 2 3 2" xfId="325" xr:uid="{5FE8B0EF-5C95-4D9A-A145-66A7CF97A05B}"/>
    <cellStyle name="Normal 3 2 2 4" xfId="326" xr:uid="{F7315B7D-1E03-48F4-AAB5-57B99A3D470D}"/>
    <cellStyle name="Normal 3 2 2 5" xfId="327" xr:uid="{67A69836-EB84-4A67-B235-2DEA538F23BD}"/>
    <cellStyle name="Normal 3 2 3" xfId="233" xr:uid="{AA133778-EDF2-4A7B-A6F2-808072B2A26F}"/>
    <cellStyle name="Normal 3 2 4" xfId="234" xr:uid="{37E8B595-396D-43C8-8BC1-C6FD1C548445}"/>
    <cellStyle name="Normal 3 2 4 2" xfId="235" xr:uid="{C85D742A-3F78-4138-BD29-6F04F8D0BF7C}"/>
    <cellStyle name="Normal 3 2 4 2 2" xfId="328" xr:uid="{F8BF1B69-90D9-4B26-BF9C-9DE5551E939E}"/>
    <cellStyle name="Normal 3 2 4 3" xfId="384" xr:uid="{9688FEE4-4A3B-4254-8B85-006371D4C178}"/>
    <cellStyle name="Normal 3 2 5" xfId="236" xr:uid="{CA67F443-18CA-4E70-AEC8-7DA46F5D8343}"/>
    <cellStyle name="Normal 3 2 6" xfId="237" xr:uid="{F6BC82BC-2601-4A1D-8335-557F51DAC978}"/>
    <cellStyle name="Normal 3 2 6 2" xfId="329" xr:uid="{076AADF0-E02A-412A-A8CF-E52DD4013DF0}"/>
    <cellStyle name="Normal 3 2 7" xfId="330" xr:uid="{25E36A2B-9E20-465B-823F-AC2186B657FE}"/>
    <cellStyle name="Normal 3 2 7 2" xfId="331" xr:uid="{D8C21775-20BB-424F-8539-B8BCC3B30399}"/>
    <cellStyle name="Normal 3 2 8" xfId="406" xr:uid="{8D52ECA7-5958-4A6C-9EC6-1B0BAD5F4427}"/>
    <cellStyle name="Normal 3 3" xfId="86" xr:uid="{CF121738-AE81-4159-B512-F5C5119F80CD}"/>
    <cellStyle name="Normal 3 3 2" xfId="405" xr:uid="{7022DE96-4B95-4B4C-9111-22386CE7DA89}"/>
    <cellStyle name="Normal 3 3 3" xfId="447" xr:uid="{61395425-6854-4FF4-9DB3-6D57148B92FC}"/>
    <cellStyle name="Normal 3 4" xfId="238" xr:uid="{B260B709-D896-4945-94F9-931DF21925CB}"/>
    <cellStyle name="Normal 3 4 2" xfId="332" xr:uid="{345F6B1B-8D41-4897-93F3-3FE267F2ABE0}"/>
    <cellStyle name="Normal 3 5" xfId="239" xr:uid="{B15A0B20-FA44-4AAA-98E6-88457E9B5371}"/>
    <cellStyle name="Normal 3 6" xfId="240" xr:uid="{0D8EEC58-9ECC-4FDC-B2FA-0D5EDE80F062}"/>
    <cellStyle name="Normal 3 7" xfId="241" xr:uid="{1E288846-81F3-4A79-8128-64D6CAF72B00}"/>
    <cellStyle name="Normal 3 7 2" xfId="383" xr:uid="{EE521F6E-A7A9-4349-9616-3683C8B38DC7}"/>
    <cellStyle name="Normal 3 8" xfId="242" xr:uid="{D8123D6A-B868-4E6A-81BC-C6B711208ACB}"/>
    <cellStyle name="Normal 3 8 2" xfId="333" xr:uid="{7173F86C-B35C-46AF-BC08-95F8B05E4035}"/>
    <cellStyle name="Normal 3 9" xfId="243" xr:uid="{4CED9CC7-B274-438A-8081-97E815FD617C}"/>
    <cellStyle name="Normal 30" xfId="244" xr:uid="{E652E3CA-A07D-4A22-8391-426D97D0DEEC}"/>
    <cellStyle name="Normal 30 2" xfId="334" xr:uid="{0D201F90-1FB2-4B3D-9336-1B5212988404}"/>
    <cellStyle name="Normal 31" xfId="245" xr:uid="{5B3A32E7-B834-4F5C-8B5F-8F50FE67F845}"/>
    <cellStyle name="Normal 31 2" xfId="335" xr:uid="{803A083B-CF48-4B07-B69E-BD187624C19D}"/>
    <cellStyle name="Normal 32" xfId="246" xr:uid="{B71EA233-A8AD-471B-A60C-D4E2BFEAC9E3}"/>
    <cellStyle name="Normal 32 2" xfId="382" xr:uid="{8982658A-917F-470E-837B-5EC0A49C0B48}"/>
    <cellStyle name="Normal 33" xfId="247" xr:uid="{D4E25F8F-5181-41FB-B04E-2F1700E660C8}"/>
    <cellStyle name="Normal 33 2" xfId="248" xr:uid="{8069E7FE-A28D-4B8F-9CAD-495BCB0C7095}"/>
    <cellStyle name="Normal 34" xfId="249" xr:uid="{0306679B-85DE-42C4-9132-C1BDEDA7A76A}"/>
    <cellStyle name="Normal 35" xfId="250" xr:uid="{78195041-5D39-4BCB-B290-5ED2BB3FE02D}"/>
    <cellStyle name="Normal 36" xfId="251" xr:uid="{798D34B8-CF08-4DE3-8522-356AF09CCA11}"/>
    <cellStyle name="Normal 36 2" xfId="252" xr:uid="{535E90C7-AAE3-42AD-B6A8-5DE88888335D}"/>
    <cellStyle name="Normal 37" xfId="253" xr:uid="{06C5DA55-EEA3-4C08-81EB-D4C8036506F2}"/>
    <cellStyle name="Normal 38" xfId="370" xr:uid="{4B29C865-76A1-424D-B61D-2104A9020EA1}"/>
    <cellStyle name="Normal 39" xfId="381" xr:uid="{318B499E-91F1-499D-B1B2-3023F6BF700B}"/>
    <cellStyle name="Normal 4" xfId="87" xr:uid="{128C01A6-EF40-47E0-B8EB-0BCC46AE3110}"/>
    <cellStyle name="Normal 4 2" xfId="88" xr:uid="{DDDCFDB6-3F25-4768-8857-E50B9284F5EE}"/>
    <cellStyle name="Normal 4 3" xfId="89" xr:uid="{B89EA7C9-C441-4F14-9B6F-35B3617130A5}"/>
    <cellStyle name="Normal 4 3 2" xfId="448" xr:uid="{366B44B9-AF68-496F-9FFA-3AF5C07236CC}"/>
    <cellStyle name="Normal 4 4" xfId="254" xr:uid="{5B196846-340C-4760-BA31-0497F97E6769}"/>
    <cellStyle name="Normal 4 4 2" xfId="255" xr:uid="{450FEC73-6106-46AB-8E8B-8DC1AC254281}"/>
    <cellStyle name="Normal 4 5" xfId="256" xr:uid="{00E5BFC2-E226-4AF3-B489-791C6AEF77A0}"/>
    <cellStyle name="Normal 4 5 2" xfId="257" xr:uid="{1C64B7B0-709B-4ED6-BC7D-5D43C5FD4625}"/>
    <cellStyle name="Normal 4 6" xfId="336" xr:uid="{82E24299-D7BA-4FE5-B384-6B47026EA54B}"/>
    <cellStyle name="Normal 40" xfId="3" xr:uid="{C74608C2-D360-492B-9CB7-68D4926CA371}"/>
    <cellStyle name="Normal 41" xfId="434" xr:uid="{5559364F-90E9-415D-B049-322B63909FE4}"/>
    <cellStyle name="Normal 42" xfId="453" xr:uid="{DE8D5381-FA3A-4EE2-B7CC-E6924A735AA6}"/>
    <cellStyle name="Normal 43" xfId="464" xr:uid="{CA365D1C-231C-431F-A80D-A5A76221ACC1}"/>
    <cellStyle name="Normal 44" xfId="465" xr:uid="{3E557DDD-E4A2-4B70-AFB6-0D7BA2C23958}"/>
    <cellStyle name="Normal 45" xfId="461" xr:uid="{9D6C390D-4204-40A7-A8E9-82A24C26B8F2}"/>
    <cellStyle name="Normal 46" xfId="462" xr:uid="{2501251F-DAA4-493D-BA2E-FC0DFDDA8881}"/>
    <cellStyle name="Normal 47" xfId="463" xr:uid="{6C9D6369-7A10-4999-AC1B-CBEED5EA7F81}"/>
    <cellStyle name="Normal 48" xfId="435" xr:uid="{9EB983BF-95A0-421C-AA9E-17C021B31BC1}"/>
    <cellStyle name="Normal 49" xfId="466" xr:uid="{4BC00570-58EE-4D00-96DB-5FE6ED9B94BE}"/>
    <cellStyle name="Normal 5" xfId="90" xr:uid="{CC118E57-DC46-4CD6-B967-DBF092646EAC}"/>
    <cellStyle name="Normal 5 2" xfId="258" xr:uid="{9508BBD4-8B73-48EE-A71A-C010997246AE}"/>
    <cellStyle name="Normal 5 2 2" xfId="451" xr:uid="{0062774F-EAFE-44A0-AA82-67B1E46506D0}"/>
    <cellStyle name="Normal 5 3" xfId="404" xr:uid="{F7BDBC72-57E7-46E4-9967-B44FFADFB863}"/>
    <cellStyle name="Normal 5 4" xfId="438" xr:uid="{09D23EED-1208-4548-8C9A-F78F3F026282}"/>
    <cellStyle name="Normal 50" xfId="467" xr:uid="{D453E281-ADF5-489B-BF0C-7F04F9E5848D}"/>
    <cellStyle name="Normal 6" xfId="91" xr:uid="{17AF7184-7583-4969-9126-E83232955F95}"/>
    <cellStyle name="Normal 6 2" xfId="259" xr:uid="{4169865B-699D-4445-8200-AC569878FEC4}"/>
    <cellStyle name="Normal 7" xfId="92" xr:uid="{6D1BC80A-D335-4343-A63C-AF147C2C3605}"/>
    <cellStyle name="Normal 7 2" xfId="260" xr:uid="{D47D07C1-7C97-408F-B992-B8812579F027}"/>
    <cellStyle name="Normal 8" xfId="93" xr:uid="{C98B231D-5699-4259-8168-3D2E95420E34}"/>
    <cellStyle name="Normal 8 2" xfId="94" xr:uid="{62777EE8-8095-4D6A-97B5-4A830FD074C8}"/>
    <cellStyle name="Normal 8 2 2" xfId="423" xr:uid="{5D5A554E-2D36-42C7-BF48-B1ABA917AB9B}"/>
    <cellStyle name="Normal 8 3" xfId="372" xr:uid="{27098458-1372-4CBD-9D22-0FC77D3EF04D}"/>
    <cellStyle name="Normal 8 3 2" xfId="427" xr:uid="{FA40A1A7-2AC7-4961-9CFF-6734A0803829}"/>
    <cellStyle name="Normal 8 4" xfId="403" xr:uid="{EB0846CB-2D7E-4063-B166-A75641D430F8}"/>
    <cellStyle name="Normal 9" xfId="95" xr:uid="{0920C2AF-0535-4277-829D-E2D22A349E51}"/>
    <cellStyle name="Normal 9 2" xfId="424" xr:uid="{1CDC6DA1-1DC1-4AAD-9DED-7FDB8392DA4C}"/>
    <cellStyle name="Normal GHG whole table" xfId="96" xr:uid="{5EB47A8B-B775-414C-87B2-A07FD4E58D23}"/>
    <cellStyle name="Normal-blank" xfId="97" xr:uid="{CCC4083D-64E1-4098-9D93-2075E10D54F7}"/>
    <cellStyle name="Normal-bottom" xfId="98" xr:uid="{DA228440-6DE0-49A9-A747-32EC188CA6C9}"/>
    <cellStyle name="Normal-center" xfId="99" xr:uid="{80AE33F2-CF00-4860-AA49-F24395340F23}"/>
    <cellStyle name="Normal-droit" xfId="100" xr:uid="{DB4C17D6-300D-4198-9BE7-0280101B0862}"/>
    <cellStyle name="normální_Nove vystupy_DOPOCTENE" xfId="102" xr:uid="{AE2E9806-4BB7-41B6-AD73-9A935310DDCF}"/>
    <cellStyle name="Normal-top" xfId="101" xr:uid="{D3A63369-A77A-4771-A3D8-F0BB28373BD1}"/>
    <cellStyle name="Note 2" xfId="261" xr:uid="{2AA5F619-5FF3-4B4F-8A6F-F5DF0C7B5C06}"/>
    <cellStyle name="Note 2 2" xfId="456" xr:uid="{AB6A6535-EC63-4F07-B4F6-34FC89F7867E}"/>
    <cellStyle name="Note 3" xfId="262" xr:uid="{77C0441B-7AC5-4B5F-99F8-DE96E9F0901C}"/>
    <cellStyle name="Note 4" xfId="103" xr:uid="{E9F30224-01BC-4DB0-8EFB-8266282D1C41}"/>
    <cellStyle name="Note 5" xfId="402" xr:uid="{43E8021E-8437-45CA-930E-6BD57CA700DD}"/>
    <cellStyle name="Output" xfId="104" xr:uid="{A3369340-7667-466D-A6AC-E9E134EBF21D}"/>
    <cellStyle name="Output 2" xfId="263" xr:uid="{69C4E23A-151F-4736-904A-08456194AB75}"/>
    <cellStyle name="Output 3" xfId="457" xr:uid="{25EBA633-1474-4498-85C5-05F75AA4C42B}"/>
    <cellStyle name="Percent 10" xfId="264" xr:uid="{7C08A53C-45B1-4215-A9E2-D6881EEE7C3D}"/>
    <cellStyle name="Percent 10 2" xfId="265" xr:uid="{8D759EEE-1744-41B8-B04F-FF53195E7359}"/>
    <cellStyle name="Percent 11" xfId="266" xr:uid="{E09204FF-9B65-4E86-A97E-F71E7291F3F6}"/>
    <cellStyle name="Percent 11 2" xfId="380" xr:uid="{962B6493-0DD7-494A-8195-FDF25CA40578}"/>
    <cellStyle name="Percent 12" xfId="267" xr:uid="{A75FA6B2-95E1-4DE5-8DF7-197827F6E3AA}"/>
    <cellStyle name="Percent 12 2" xfId="268" xr:uid="{88EEE7A0-1B01-4C1D-B619-ED46F6A3A6E0}"/>
    <cellStyle name="Percent 12 2 2" xfId="337" xr:uid="{C5C85C2F-11C3-4F70-A8F8-DF1778D7ACA5}"/>
    <cellStyle name="Percent 13" xfId="269" xr:uid="{FB9E4E4A-637D-441A-ABBE-D97C04DD756A}"/>
    <cellStyle name="Percent 13 2" xfId="379" xr:uid="{0FBBE8DD-93F8-48E6-A8D0-8E81A9F341A1}"/>
    <cellStyle name="Percent 14" xfId="270" xr:uid="{AEE6E96C-ABD4-4056-9198-5A3748989200}"/>
    <cellStyle name="Percent 15" xfId="271" xr:uid="{1CE13F37-2E31-440F-B04F-A66FE2E4D980}"/>
    <cellStyle name="Percent 15 2" xfId="338" xr:uid="{876133B6-56CD-4861-A6E1-09E6D54C003B}"/>
    <cellStyle name="Percent 16" xfId="272" xr:uid="{613A0CC3-0255-4702-82F2-0DA031B1B5C8}"/>
    <cellStyle name="Percent 16 2" xfId="339" xr:uid="{B84121C4-E0C8-4BAB-83FC-CA8955DC7B3E}"/>
    <cellStyle name="Percent 17" xfId="273" xr:uid="{E5A98FBA-1E27-4663-8D68-D41018DC3103}"/>
    <cellStyle name="Percent 18" xfId="274" xr:uid="{A5280CD7-BF4A-440A-B8DC-40CBB14A5191}"/>
    <cellStyle name="Percent 19" xfId="275" xr:uid="{52CC7F44-DD05-4EE3-8275-E0D60200E8E1}"/>
    <cellStyle name="Percent 19 2" xfId="378" xr:uid="{EB96EF82-19BD-4947-8EB1-391963A62A4D}"/>
    <cellStyle name="Percent 2" xfId="105" xr:uid="{342ABC10-2C36-4991-A39C-7A90F9E3D517}"/>
    <cellStyle name="Percent 2 2" xfId="106" xr:uid="{2AD84E5D-C752-427D-972C-A85A116B7394}"/>
    <cellStyle name="Percent 2 2 2" xfId="340" xr:uid="{318954F1-C42B-477A-BDB6-D5A2AFEF81B6}"/>
    <cellStyle name="Percent 2 3" xfId="107" xr:uid="{C79B74D8-738F-4E36-AAC1-DE5C7FF76036}"/>
    <cellStyle name="Percent 2 4" xfId="276" xr:uid="{188D0ABE-C85F-4BDD-8445-4D97AACE0052}"/>
    <cellStyle name="Percent 2 4 2" xfId="444" xr:uid="{11A89600-9666-4183-9E6E-AC0CE790710B}"/>
    <cellStyle name="Percent 2 5" xfId="348" xr:uid="{B06AE015-A6B4-4C5E-A0F8-7E564D7D60A5}"/>
    <cellStyle name="Percent 2 6" xfId="437" xr:uid="{BF922CEE-4EC2-4137-8029-12B9202D8669}"/>
    <cellStyle name="Percent 2 7" xfId="452" xr:uid="{96B0DF3A-ED49-4C51-9C2D-7FD21B0E527E}"/>
    <cellStyle name="Percent 3" xfId="108" xr:uid="{E993C3CD-FF41-42AE-BE52-050D89E2C6E6}"/>
    <cellStyle name="Percent 3 2" xfId="277" xr:uid="{B5C550C5-C71A-4250-BE52-D4F1BC2E82BB}"/>
    <cellStyle name="Percent 3 2 2" xfId="377" xr:uid="{28E59828-A048-433A-AFF2-4E487ECABC24}"/>
    <cellStyle name="Percent 3 3" xfId="367" xr:uid="{644A44A2-9ADD-4DDA-AAF2-69E0B844F1E2}"/>
    <cellStyle name="Percent 3 3 2" xfId="296" xr:uid="{224A18C3-1594-43CE-B1CF-927639AC5E42}"/>
    <cellStyle name="Percent 3 4" xfId="401" xr:uid="{4B6DCC73-D681-4AB4-A57E-3C6361379880}"/>
    <cellStyle name="Percent 4" xfId="109" xr:uid="{CBE4EFB0-3F35-4473-9132-2A03496ACCB9}"/>
    <cellStyle name="Percent 4 2" xfId="278" xr:uid="{379CC56A-9C66-4A62-8B47-5C2BC44DE44A}"/>
    <cellStyle name="Percent 4 2 2" xfId="279" xr:uid="{4A541769-DDE1-46CA-92DD-027A1D1204E0}"/>
    <cellStyle name="Percent 4 3" xfId="280" xr:uid="{76BFCB61-9F94-4ED5-86C6-13CDE349D9E7}"/>
    <cellStyle name="Percent 4 3 2" xfId="281" xr:uid="{6EBF406B-6941-4686-96D2-5A03C0937A6D}"/>
    <cellStyle name="Percent 4 4" xfId="341" xr:uid="{9ED9ABA1-0CB5-4060-B468-860238CF2D83}"/>
    <cellStyle name="Percent 5" xfId="282" xr:uid="{24DE47DA-157A-4E96-BCA4-42E58E827E58}"/>
    <cellStyle name="Percent 5 2" xfId="376" xr:uid="{C2620DFD-987B-40CF-86E4-70891A1E451C}"/>
    <cellStyle name="Percent 6" xfId="283" xr:uid="{08039806-C896-4BFB-91E8-EB3213D3F287}"/>
    <cellStyle name="Percent 6 2" xfId="284" xr:uid="{BCDF0134-1DEE-48CE-BA81-00A2CB0614E9}"/>
    <cellStyle name="Percent 7" xfId="285" xr:uid="{1F373238-84BE-46E5-B5D4-F3D8726BED6E}"/>
    <cellStyle name="Percent 7 2" xfId="342" xr:uid="{1A4F5861-0762-4971-86DB-61E81DE025AB}"/>
    <cellStyle name="Percent 7 2 2" xfId="343" xr:uid="{6D3BD4E2-AE88-474A-8003-1D31D655EA8F}"/>
    <cellStyle name="Percent 8" xfId="286" xr:uid="{51A8377E-4302-4A35-A5C2-602F4A46A4A6}"/>
    <cellStyle name="Percent 8 2" xfId="287" xr:uid="{3474F765-2FBC-435B-9C52-B35A51D464CB}"/>
    <cellStyle name="Percent 8 3" xfId="344" xr:uid="{A3DA992C-14F0-4C71-A73E-335833FEA815}"/>
    <cellStyle name="Percent 9" xfId="288" xr:uid="{525A1EA7-0E34-4CD7-B757-7560ED3E2A38}"/>
    <cellStyle name="Percent 9 2" xfId="345" xr:uid="{3BA5FCFE-FB37-4251-BAB9-7C8838753541}"/>
    <cellStyle name="Percent 9 3" xfId="346" xr:uid="{15431DD2-B584-4B5B-88B3-C1D0BB01F42C}"/>
    <cellStyle name="Pilkku_Esimerkkejä kaavioista.xls Kaavio 1" xfId="110" xr:uid="{915D7EA6-A27C-4A55-B835-8E5CCC4B1160}"/>
    <cellStyle name="Pourcentage" xfId="2" builtinId="5"/>
    <cellStyle name="Pourcentage 10" xfId="111" xr:uid="{6EE84608-4D63-477C-8946-0691D61C3B05}"/>
    <cellStyle name="Pourcentage 10 2" xfId="112" xr:uid="{78AF8418-8E21-4789-96D6-46839C097790}"/>
    <cellStyle name="Pourcentage 10 2 2" xfId="113" xr:uid="{3FB3B04F-DA21-487F-B3A5-FC05255F807B}"/>
    <cellStyle name="Pourcentage 10 3" xfId="114" xr:uid="{ED09B8B5-D22D-43CD-AA79-169B0DE8C589}"/>
    <cellStyle name="Pourcentage 10 4" xfId="115" xr:uid="{F1EB9317-4FA0-487A-B93F-3EC2BFF5C701}"/>
    <cellStyle name="Pourcentage 10 5" xfId="366" xr:uid="{DD7F38C0-2D20-4470-868C-6253CAD00805}"/>
    <cellStyle name="Pourcentage 11" xfId="116" xr:uid="{2CEBE82F-F3BC-4BB5-9734-973C406DF271}"/>
    <cellStyle name="Pourcentage 12" xfId="117" xr:uid="{E9785D59-2596-43F3-A41C-288904A0B495}"/>
    <cellStyle name="Pourcentage 12 2" xfId="118" xr:uid="{AC5C3723-B260-4454-B80D-9BF023A256FA}"/>
    <cellStyle name="Pourcentage 12 3" xfId="119" xr:uid="{B20E2165-26C1-432D-BE9F-E3F5D6C3BC87}"/>
    <cellStyle name="Pourcentage 12 4" xfId="442" xr:uid="{F65CCB5D-91D8-408B-A2EC-294AFD436149}"/>
    <cellStyle name="Pourcentage 13" xfId="120" xr:uid="{27AE49EA-51A8-4B7E-8E06-D5E066A957E6}"/>
    <cellStyle name="Pourcentage 13 2" xfId="355" xr:uid="{1E9C9923-BDA6-4F2B-B3ED-C309B1CC2EB2}"/>
    <cellStyle name="Pourcentage 14" xfId="154" xr:uid="{2DAF131B-2B30-4524-9533-CD8B99D5A075}"/>
    <cellStyle name="Pourcentage 15" xfId="356" xr:uid="{4D33DAC1-385B-4C59-AC39-3F1959E16083}"/>
    <cellStyle name="Pourcentage 15 2" xfId="425" xr:uid="{EC8D11CF-A936-44C3-80EF-9BB4E347C013}"/>
    <cellStyle name="Pourcentage 16" xfId="357" xr:uid="{44884D39-438A-481B-AE37-81BAFF15BC5B}"/>
    <cellStyle name="Pourcentage 17" xfId="364" xr:uid="{6CB92B7C-54F8-418C-8C49-D48D1823D987}"/>
    <cellStyle name="Pourcentage 18" xfId="394" xr:uid="{5D90E78E-A3E7-4AAA-A284-A8736E916654}"/>
    <cellStyle name="Pourcentage 19" xfId="411" xr:uid="{BF1B8526-F1D4-4E42-BFFE-718D764C07AD}"/>
    <cellStyle name="Pourcentage 2" xfId="121" xr:uid="{0B4F8B67-DC08-40A9-AFCA-2FE3A17ECF4B}"/>
    <cellStyle name="Pourcentage 2 2" xfId="122" xr:uid="{F3917F59-522F-4B1B-98B9-93BAB9CD6DC5}"/>
    <cellStyle name="Pourcentage 2 3" xfId="123" xr:uid="{66E97E30-8E6F-4191-9269-9AEF397C7DD6}"/>
    <cellStyle name="Pourcentage 2 3 2" xfId="358" xr:uid="{85237571-CC2E-4228-BD3E-F0A720683A0B}"/>
    <cellStyle name="Pourcentage 2 3 2 2" xfId="359" xr:uid="{AB0B08C2-0070-4D6A-9327-57CCBDE3901E}"/>
    <cellStyle name="Pourcentage 2 3 3" xfId="360" xr:uid="{8CEA71DA-3FBB-47D7-8F91-0FD261E997BE}"/>
    <cellStyle name="Pourcentage 2 3 4" xfId="449" xr:uid="{5254CFD6-1F80-4992-AACD-BC29F557F05D}"/>
    <cellStyle name="Pourcentage 2 4" xfId="361" xr:uid="{A972D342-03DD-4F85-A2D8-66F777BA01AC}"/>
    <cellStyle name="Pourcentage 2 4 2" xfId="428" xr:uid="{53432AE6-462F-476F-A9A6-4E26FCB76A69}"/>
    <cellStyle name="Pourcentage 2 5" xfId="400" xr:uid="{620DB2C8-11AA-4E90-9540-A883191ACB96}"/>
    <cellStyle name="Pourcentage 20" xfId="4" xr:uid="{C08257A6-1AD3-47F0-A699-526A509757FB}"/>
    <cellStyle name="Pourcentage 3" xfId="124" xr:uid="{76935CE8-3359-4985-86DA-CD6D9A65FFEB}"/>
    <cellStyle name="Pourcentage 3 2" xfId="125" xr:uid="{C06643A5-CA84-4A10-A2AB-9B32B53F1BAF}"/>
    <cellStyle name="Pourcentage 3 3" xfId="399" xr:uid="{6E77B08F-AD01-46CF-B4CA-FB83AA3D994D}"/>
    <cellStyle name="Pourcentage 4" xfId="126" xr:uid="{E599C66C-3AAE-4F5B-A90D-EA36AA63DFB2}"/>
    <cellStyle name="Pourcentage 4 2" xfId="289" xr:uid="{3A454F50-B9DA-4BD6-8C3A-2F549625FB42}"/>
    <cellStyle name="Pourcentage 5" xfId="127" xr:uid="{2DFCD5F8-301A-4396-9839-1040D9A332D1}"/>
    <cellStyle name="Pourcentage 5 2" xfId="128" xr:uid="{C5B4BA7F-9AEF-4C08-894A-8AC6E122967E}"/>
    <cellStyle name="Pourcentage 6" xfId="129" xr:uid="{07BA6F79-311C-48FF-B8AF-55C99D6C518F}"/>
    <cellStyle name="Pourcentage 6 2" xfId="130" xr:uid="{1C526917-41D4-452F-88DF-028525E5832D}"/>
    <cellStyle name="Pourcentage 6 2 2" xfId="362" xr:uid="{1ADB1A15-BD48-4FDE-8C72-A6F936F8ECD5}"/>
    <cellStyle name="Pourcentage 6 2 2 2" xfId="429" xr:uid="{2736C7CA-39B0-4913-B4DC-09D8D79D3895}"/>
    <cellStyle name="Pourcentage 6 2 3" xfId="398" xr:uid="{35EECF5B-F2DC-4C01-9771-2BAEC40E2C0E}"/>
    <cellStyle name="Pourcentage 7" xfId="131" xr:uid="{52C7AE50-6215-42E4-B217-94F9686272FA}"/>
    <cellStyle name="Pourcentage 7 2" xfId="132" xr:uid="{F8D1551A-9479-47F1-AB12-C0DB13152E94}"/>
    <cellStyle name="Pourcentage 7 3" xfId="426" xr:uid="{5A5980A8-4061-4762-867F-8D1D02EAC13D}"/>
    <cellStyle name="Pourcentage 8" xfId="133" xr:uid="{1B44E506-8397-4932-BA8F-5C2C9BA56502}"/>
    <cellStyle name="Pourcentage 8 2" xfId="155" xr:uid="{E30C61B0-FF1D-45D9-A36E-4C6F0F0DA9AF}"/>
    <cellStyle name="Pourcentage 8 2 2" xfId="368" xr:uid="{C27B9CFE-6339-4994-8F01-981410EFD4DE}"/>
    <cellStyle name="Pourcentage 9" xfId="134" xr:uid="{104C8564-2274-460E-B329-B2FDA6D53258}"/>
    <cellStyle name="Pourcentage 9 2" xfId="135" xr:uid="{9F4C539B-347F-4349-B44B-C0C428BAC1A8}"/>
    <cellStyle name="Pourcentage 9 2 2" xfId="136" xr:uid="{2ABC6381-E0DF-4FA1-B869-EE801989CFFE}"/>
    <cellStyle name="Satisfaisant 2" xfId="137" xr:uid="{5FC59CBA-3B8B-458F-B766-0C46624A76C2}"/>
    <cellStyle name="Standard 11" xfId="138" xr:uid="{CAE54BA7-2D29-45BA-8555-C4796AEB3C72}"/>
    <cellStyle name="Standard 11 2" xfId="397" xr:uid="{E7170507-E202-4C34-B546-547BFE53D6A7}"/>
    <cellStyle name="Standard_2 + 3" xfId="139" xr:uid="{73983FBF-B421-4601-8FD9-81DE06394BBB}"/>
    <cellStyle name="Style 24" xfId="140" xr:uid="{D9F02E1D-8CB1-48D5-A256-0122FFCC1F40}"/>
    <cellStyle name="Style 24 2" xfId="396" xr:uid="{B7A71D52-9408-4089-A625-18600EF13E8B}"/>
    <cellStyle name="Style 25" xfId="141" xr:uid="{B4987A87-E6EB-4A35-9C4E-1CF7E72C059B}"/>
    <cellStyle name="Style 25 2" xfId="395" xr:uid="{1F9D9B24-73AD-4AE9-911F-22B7A543A1D4}"/>
    <cellStyle name="style_col_headings" xfId="142" xr:uid="{E5C3D59B-381B-40DC-9FB6-C41BE1D9204B}"/>
    <cellStyle name="TEXT" xfId="143" xr:uid="{7544FF01-9548-4E20-8CD5-3D27674A2EDC}"/>
    <cellStyle name="Title" xfId="144" xr:uid="{E6ADD940-8BFB-453F-AE92-5EA0A5959404}"/>
    <cellStyle name="Titre 2" xfId="145" xr:uid="{76E68D11-AC24-4F09-BF67-7BD251833804}"/>
    <cellStyle name="Titre 1 2" xfId="146" xr:uid="{F96FD001-12B9-427F-9F26-8A2DF4634E32}"/>
    <cellStyle name="Titre 2 2" xfId="147" xr:uid="{64C897FD-FF90-4EEF-9B9D-A003B70DC4DE}"/>
    <cellStyle name="Titre 3 2" xfId="148" xr:uid="{378B9E8C-DF5D-41BB-892A-058DCFB1A820}"/>
    <cellStyle name="Titre 4 2" xfId="149" xr:uid="{FE35D15E-43F6-4A18-BD86-ABA45600344B}"/>
    <cellStyle name="Total 2" xfId="290" xr:uid="{53C4959B-BD75-44B9-A68B-CAE707458C9D}"/>
    <cellStyle name="Vérification 2" xfId="150" xr:uid="{21F90414-44E4-4092-990D-521105E9B197}"/>
    <cellStyle name="Virgule fixe" xfId="151" xr:uid="{4CEF657D-D57A-4B17-B22D-3C17B8288DF0}"/>
    <cellStyle name="Virgule fixe 2" xfId="291" xr:uid="{DD5E6889-4E47-4C4A-914C-DAF8919B5CA6}"/>
    <cellStyle name="Virgule fixe 2 2" xfId="375" xr:uid="{E28520B6-2B08-490D-943C-E1F4FC94BEC4}"/>
    <cellStyle name="Virgule fixe 3" xfId="393" xr:uid="{91078C1C-55B6-4826-B7B5-44561F34A9D4}"/>
    <cellStyle name="Warning Text" xfId="152" xr:uid="{60125B07-7F55-4475-AB70-A3D79018F6DE}"/>
    <cellStyle name="Warning Text 2" xfId="292" xr:uid="{46C9FCC0-8F4D-47A7-8314-E4FA45C4ACBE}"/>
    <cellStyle name="Wrapped" xfId="153" xr:uid="{CD2CC97D-14BF-4282-8A62-B3A3FF8791BF}"/>
    <cellStyle name="一般 2 3" xfId="293" xr:uid="{FE529C80-DAB2-4E80-9A47-EA4BF757C343}"/>
    <cellStyle name="一般 2 3 2" xfId="374" xr:uid="{53814F41-F495-4DF1-87F9-0CD8387665F0}"/>
    <cellStyle name="一般 3" xfId="294" xr:uid="{2D6863A5-B4E1-4774-ACEE-B666C55A4B99}"/>
    <cellStyle name="一般 3 2" xfId="373" xr:uid="{39908A3F-233A-496A-A623-09251AFBE1FA}"/>
  </cellStyles>
  <dxfs count="0"/>
  <tableStyles count="0" defaultTableStyle="TableStyleMedium2" defaultPivotStyle="PivotStyleLight16"/>
  <colors>
    <mruColors>
      <color rgb="FFCC3399"/>
      <color rgb="FF800080"/>
      <color rgb="FFFF6565"/>
      <color rgb="FF9900FF"/>
      <color rgb="FFFF8A6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spPr>
            <a:ln w="28575" cap="rnd">
              <a:solidFill>
                <a:schemeClr val="accent1">
                  <a:lumMod val="60000"/>
                  <a:lumOff val="40000"/>
                </a:schemeClr>
              </a:solidFill>
              <a:prstDash val="dash"/>
              <a:round/>
            </a:ln>
            <a:effectLst/>
          </c:spPr>
          <c:marker>
            <c:symbol val="none"/>
          </c:marker>
          <c:cat>
            <c:strRef>
              <c:f>FRA!$A$4:$A$18</c:f>
              <c:strCache>
                <c:ptCount val="15"/>
                <c:pt idx="0">
                  <c:v>P0-P10</c:v>
                </c:pt>
                <c:pt idx="1">
                  <c:v>P10-P20</c:v>
                </c:pt>
                <c:pt idx="2">
                  <c:v>P20-P30</c:v>
                </c:pt>
                <c:pt idx="3">
                  <c:v>P30-P40</c:v>
                </c:pt>
                <c:pt idx="4">
                  <c:v>P40-P50</c:v>
                </c:pt>
                <c:pt idx="5">
                  <c:v>P50-P60</c:v>
                </c:pt>
                <c:pt idx="6">
                  <c:v>P60-P70</c:v>
                </c:pt>
                <c:pt idx="7">
                  <c:v>P70-P80</c:v>
                </c:pt>
                <c:pt idx="8">
                  <c:v>P80-P90</c:v>
                </c:pt>
                <c:pt idx="9">
                  <c:v>P90-P99</c:v>
                </c:pt>
                <c:pt idx="10">
                  <c:v>P99-P99.9</c:v>
                </c:pt>
                <c:pt idx="11">
                  <c:v>P99.9-P99.99</c:v>
                </c:pt>
                <c:pt idx="12">
                  <c:v>P99.99-P99.999</c:v>
                </c:pt>
                <c:pt idx="13">
                  <c:v>P99.999-Billionaires</c:v>
                </c:pt>
                <c:pt idx="14">
                  <c:v>Billionaires</c:v>
                </c:pt>
              </c:strCache>
            </c:strRef>
          </c:cat>
          <c:val>
            <c:numRef>
              <c:f>FRA!$T$4:$T$18</c:f>
              <c:numCache>
                <c:formatCode>0.0%</c:formatCode>
                <c:ptCount val="15"/>
                <c:pt idx="1">
                  <c:v>0.47170758846371585</c:v>
                </c:pt>
                <c:pt idx="2">
                  <c:v>0.4750595364928063</c:v>
                </c:pt>
                <c:pt idx="3">
                  <c:v>0.50290122275916216</c:v>
                </c:pt>
                <c:pt idx="4">
                  <c:v>0.52044572056350691</c:v>
                </c:pt>
                <c:pt idx="5">
                  <c:v>0.53790736327355126</c:v>
                </c:pt>
                <c:pt idx="6">
                  <c:v>0.55584408244918992</c:v>
                </c:pt>
                <c:pt idx="7">
                  <c:v>0.56838821697171826</c:v>
                </c:pt>
                <c:pt idx="8">
                  <c:v>0.5740596241971625</c:v>
                </c:pt>
                <c:pt idx="9">
                  <c:v>0.55669836069335299</c:v>
                </c:pt>
                <c:pt idx="10">
                  <c:v>0.52588459602724225</c:v>
                </c:pt>
                <c:pt idx="11">
                  <c:v>0.50877222245842335</c:v>
                </c:pt>
                <c:pt idx="12">
                  <c:v>0.4380084766044548</c:v>
                </c:pt>
                <c:pt idx="13">
                  <c:v>0.32008638847721715</c:v>
                </c:pt>
                <c:pt idx="14">
                  <c:v>0.26</c:v>
                </c:pt>
              </c:numCache>
            </c:numRef>
          </c:val>
          <c:smooth val="0"/>
          <c:extLst>
            <c:ext xmlns:c16="http://schemas.microsoft.com/office/drawing/2014/chart" uri="{C3380CC4-5D6E-409C-BE32-E72D297353CC}">
              <c16:uniqueId val="{00000000-159C-4012-8E2A-B4474DE67F7B}"/>
            </c:ext>
          </c:extLst>
        </c:ser>
        <c:ser>
          <c:idx val="1"/>
          <c:order val="1"/>
          <c:spPr>
            <a:ln w="28575" cap="rnd">
              <a:solidFill>
                <a:srgbClr val="002060"/>
              </a:solidFill>
              <a:round/>
            </a:ln>
            <a:effectLst/>
          </c:spPr>
          <c:marker>
            <c:symbol val="none"/>
          </c:marker>
          <c:cat>
            <c:strRef>
              <c:f>FRA!$A$4:$A$18</c:f>
              <c:strCache>
                <c:ptCount val="15"/>
                <c:pt idx="0">
                  <c:v>P0-P10</c:v>
                </c:pt>
                <c:pt idx="1">
                  <c:v>P10-P20</c:v>
                </c:pt>
                <c:pt idx="2">
                  <c:v>P20-P30</c:v>
                </c:pt>
                <c:pt idx="3">
                  <c:v>P30-P40</c:v>
                </c:pt>
                <c:pt idx="4">
                  <c:v>P40-P50</c:v>
                </c:pt>
                <c:pt idx="5">
                  <c:v>P50-P60</c:v>
                </c:pt>
                <c:pt idx="6">
                  <c:v>P60-P70</c:v>
                </c:pt>
                <c:pt idx="7">
                  <c:v>P70-P80</c:v>
                </c:pt>
                <c:pt idx="8">
                  <c:v>P80-P90</c:v>
                </c:pt>
                <c:pt idx="9">
                  <c:v>P90-P99</c:v>
                </c:pt>
                <c:pt idx="10">
                  <c:v>P99-P99.9</c:v>
                </c:pt>
                <c:pt idx="11">
                  <c:v>P99.9-P99.99</c:v>
                </c:pt>
                <c:pt idx="12">
                  <c:v>P99.99-P99.999</c:v>
                </c:pt>
                <c:pt idx="13">
                  <c:v>P99.999-Billionaires</c:v>
                </c:pt>
                <c:pt idx="14">
                  <c:v>Billionaires</c:v>
                </c:pt>
              </c:strCache>
            </c:strRef>
          </c:cat>
          <c:val>
            <c:numRef>
              <c:f>FRA!$U$4:$U$18</c:f>
              <c:numCache>
                <c:formatCode>0.0%</c:formatCode>
                <c:ptCount val="15"/>
                <c:pt idx="1">
                  <c:v>0.47170758846371585</c:v>
                </c:pt>
                <c:pt idx="2">
                  <c:v>0.4750595364928063</c:v>
                </c:pt>
                <c:pt idx="3">
                  <c:v>0.50290122275916216</c:v>
                </c:pt>
                <c:pt idx="4">
                  <c:v>0.52044572056350691</c:v>
                </c:pt>
                <c:pt idx="5">
                  <c:v>0.53790736327355126</c:v>
                </c:pt>
                <c:pt idx="6">
                  <c:v>0.55584408244918992</c:v>
                </c:pt>
                <c:pt idx="7">
                  <c:v>0.56838821697171826</c:v>
                </c:pt>
                <c:pt idx="8">
                  <c:v>0.5740596241971625</c:v>
                </c:pt>
                <c:pt idx="9">
                  <c:v>0.55669836069335299</c:v>
                </c:pt>
                <c:pt idx="10">
                  <c:v>0.52588459602724225</c:v>
                </c:pt>
                <c:pt idx="11">
                  <c:v>0.50877222245842335</c:v>
                </c:pt>
                <c:pt idx="12">
                  <c:v>0.4380084766044548</c:v>
                </c:pt>
                <c:pt idx="13">
                  <c:v>0.32008638847721715</c:v>
                </c:pt>
                <c:pt idx="14">
                  <c:v>0.26</c:v>
                </c:pt>
              </c:numCache>
            </c:numRef>
          </c:val>
          <c:smooth val="0"/>
          <c:extLst>
            <c:ext xmlns:c16="http://schemas.microsoft.com/office/drawing/2014/chart" uri="{C3380CC4-5D6E-409C-BE32-E72D297353CC}">
              <c16:uniqueId val="{00000001-159C-4012-8E2A-B4474DE67F7B}"/>
            </c:ext>
          </c:extLst>
        </c:ser>
        <c:dLbls>
          <c:showLegendKey val="0"/>
          <c:showVal val="0"/>
          <c:showCatName val="0"/>
          <c:showSerName val="0"/>
          <c:showPercent val="0"/>
          <c:showBubbleSize val="0"/>
        </c:dLbls>
        <c:smooth val="0"/>
        <c:axId val="314583375"/>
        <c:axId val="314582959"/>
      </c:lineChart>
      <c:catAx>
        <c:axId val="31458337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314582959"/>
        <c:crosses val="autoZero"/>
        <c:auto val="1"/>
        <c:lblAlgn val="ctr"/>
        <c:lblOffset val="100"/>
        <c:noMultiLvlLbl val="0"/>
      </c:catAx>
      <c:valAx>
        <c:axId val="314582959"/>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31458337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spPr>
            <a:ln w="28575" cap="rnd">
              <a:solidFill>
                <a:schemeClr val="accent2">
                  <a:lumMod val="40000"/>
                  <a:lumOff val="60000"/>
                </a:schemeClr>
              </a:solidFill>
              <a:prstDash val="dash"/>
              <a:round/>
            </a:ln>
            <a:effectLst/>
          </c:spPr>
          <c:marker>
            <c:symbol val="none"/>
          </c:marker>
          <c:cat>
            <c:strRef>
              <c:f>NDL!$A$4:$A$18</c:f>
              <c:strCache>
                <c:ptCount val="15"/>
                <c:pt idx="0">
                  <c:v>P0-P10</c:v>
                </c:pt>
                <c:pt idx="1">
                  <c:v>P10-P20</c:v>
                </c:pt>
                <c:pt idx="2">
                  <c:v>P20-P30</c:v>
                </c:pt>
                <c:pt idx="3">
                  <c:v>P30-P40</c:v>
                </c:pt>
                <c:pt idx="4">
                  <c:v>P40-P50</c:v>
                </c:pt>
                <c:pt idx="5">
                  <c:v>P50-P60</c:v>
                </c:pt>
                <c:pt idx="6">
                  <c:v>P60-P70</c:v>
                </c:pt>
                <c:pt idx="7">
                  <c:v>P70-P80</c:v>
                </c:pt>
                <c:pt idx="8">
                  <c:v>P80-P90</c:v>
                </c:pt>
                <c:pt idx="9">
                  <c:v>P90-P99</c:v>
                </c:pt>
                <c:pt idx="10">
                  <c:v>P99-P99.9</c:v>
                </c:pt>
                <c:pt idx="11">
                  <c:v>P99.9-P99.99</c:v>
                </c:pt>
                <c:pt idx="12">
                  <c:v>P99.99-P99.999</c:v>
                </c:pt>
                <c:pt idx="13">
                  <c:v>P99.999-Billionaires</c:v>
                </c:pt>
                <c:pt idx="14">
                  <c:v>Billionaires</c:v>
                </c:pt>
              </c:strCache>
            </c:strRef>
          </c:cat>
          <c:val>
            <c:numRef>
              <c:f>NDL!$T$4:$T$18</c:f>
              <c:numCache>
                <c:formatCode>0.0%</c:formatCode>
                <c:ptCount val="15"/>
                <c:pt idx="1">
                  <c:v>0.5066480362196637</c:v>
                </c:pt>
                <c:pt idx="2">
                  <c:v>0.45769898635449813</c:v>
                </c:pt>
                <c:pt idx="3">
                  <c:v>0.45706849211498607</c:v>
                </c:pt>
                <c:pt idx="4">
                  <c:v>0.46145334091653567</c:v>
                </c:pt>
                <c:pt idx="5">
                  <c:v>0.46669341193504599</c:v>
                </c:pt>
                <c:pt idx="6">
                  <c:v>0.4742014576072241</c:v>
                </c:pt>
                <c:pt idx="7">
                  <c:v>0.4830582560814779</c:v>
                </c:pt>
                <c:pt idx="8">
                  <c:v>0.48627090260930617</c:v>
                </c:pt>
                <c:pt idx="9">
                  <c:v>0.43747518924444834</c:v>
                </c:pt>
                <c:pt idx="10">
                  <c:v>0.27181550522587439</c:v>
                </c:pt>
                <c:pt idx="11">
                  <c:v>0.21413333398558623</c:v>
                </c:pt>
                <c:pt idx="12">
                  <c:v>0.1906130185859887</c:v>
                </c:pt>
                <c:pt idx="13">
                  <c:v>0.18179299414493499</c:v>
                </c:pt>
                <c:pt idx="14">
                  <c:v>0.26</c:v>
                </c:pt>
              </c:numCache>
            </c:numRef>
          </c:val>
          <c:smooth val="0"/>
          <c:extLst>
            <c:ext xmlns:c16="http://schemas.microsoft.com/office/drawing/2014/chart" uri="{C3380CC4-5D6E-409C-BE32-E72D297353CC}">
              <c16:uniqueId val="{00000002-9AB6-4280-969B-B943A6939F98}"/>
            </c:ext>
          </c:extLst>
        </c:ser>
        <c:ser>
          <c:idx val="1"/>
          <c:order val="1"/>
          <c:spPr>
            <a:ln w="28575" cap="rnd">
              <a:solidFill>
                <a:schemeClr val="accent2"/>
              </a:solidFill>
              <a:round/>
            </a:ln>
            <a:effectLst/>
          </c:spPr>
          <c:marker>
            <c:symbol val="none"/>
          </c:marker>
          <c:cat>
            <c:strRef>
              <c:f>NDL!$A$4:$A$18</c:f>
              <c:strCache>
                <c:ptCount val="15"/>
                <c:pt idx="0">
                  <c:v>P0-P10</c:v>
                </c:pt>
                <c:pt idx="1">
                  <c:v>P10-P20</c:v>
                </c:pt>
                <c:pt idx="2">
                  <c:v>P20-P30</c:v>
                </c:pt>
                <c:pt idx="3">
                  <c:v>P30-P40</c:v>
                </c:pt>
                <c:pt idx="4">
                  <c:v>P40-P50</c:v>
                </c:pt>
                <c:pt idx="5">
                  <c:v>P50-P60</c:v>
                </c:pt>
                <c:pt idx="6">
                  <c:v>P60-P70</c:v>
                </c:pt>
                <c:pt idx="7">
                  <c:v>P70-P80</c:v>
                </c:pt>
                <c:pt idx="8">
                  <c:v>P80-P90</c:v>
                </c:pt>
                <c:pt idx="9">
                  <c:v>P90-P99</c:v>
                </c:pt>
                <c:pt idx="10">
                  <c:v>P99-P99.9</c:v>
                </c:pt>
                <c:pt idx="11">
                  <c:v>P99.9-P99.99</c:v>
                </c:pt>
                <c:pt idx="12">
                  <c:v>P99.99-P99.999</c:v>
                </c:pt>
                <c:pt idx="13">
                  <c:v>P99.999-Billionaires</c:v>
                </c:pt>
                <c:pt idx="14">
                  <c:v>Billionaires</c:v>
                </c:pt>
              </c:strCache>
            </c:strRef>
          </c:cat>
          <c:val>
            <c:numRef>
              <c:f>NDL!$U$4:$U$18</c:f>
              <c:numCache>
                <c:formatCode>0.0%</c:formatCode>
                <c:ptCount val="15"/>
                <c:pt idx="1">
                  <c:v>0.5066480362196637</c:v>
                </c:pt>
                <c:pt idx="2">
                  <c:v>0.45769898635449813</c:v>
                </c:pt>
                <c:pt idx="3">
                  <c:v>0.45706849211498607</c:v>
                </c:pt>
                <c:pt idx="4">
                  <c:v>0.46145334091653567</c:v>
                </c:pt>
                <c:pt idx="5">
                  <c:v>0.46669341193504599</c:v>
                </c:pt>
                <c:pt idx="6">
                  <c:v>0.4742014576072241</c:v>
                </c:pt>
                <c:pt idx="7">
                  <c:v>0.4830582560814779</c:v>
                </c:pt>
                <c:pt idx="8">
                  <c:v>0.48627090260930617</c:v>
                </c:pt>
                <c:pt idx="9">
                  <c:v>0.43747518924444834</c:v>
                </c:pt>
                <c:pt idx="10">
                  <c:v>0.27181550522587439</c:v>
                </c:pt>
                <c:pt idx="11">
                  <c:v>0.21413333398558623</c:v>
                </c:pt>
                <c:pt idx="12">
                  <c:v>0.33328845962360198</c:v>
                </c:pt>
                <c:pt idx="13">
                  <c:v>0.42993459403143641</c:v>
                </c:pt>
                <c:pt idx="14">
                  <c:v>0.54341338258924243</c:v>
                </c:pt>
              </c:numCache>
            </c:numRef>
          </c:val>
          <c:smooth val="0"/>
          <c:extLst>
            <c:ext xmlns:c16="http://schemas.microsoft.com/office/drawing/2014/chart" uri="{C3380CC4-5D6E-409C-BE32-E72D297353CC}">
              <c16:uniqueId val="{00000003-9AB6-4280-969B-B943A6939F98}"/>
            </c:ext>
          </c:extLst>
        </c:ser>
        <c:dLbls>
          <c:showLegendKey val="0"/>
          <c:showVal val="0"/>
          <c:showCatName val="0"/>
          <c:showSerName val="0"/>
          <c:showPercent val="0"/>
          <c:showBubbleSize val="0"/>
        </c:dLbls>
        <c:smooth val="0"/>
        <c:axId val="314583375"/>
        <c:axId val="314582959"/>
      </c:lineChart>
      <c:catAx>
        <c:axId val="31458337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314582959"/>
        <c:crosses val="autoZero"/>
        <c:auto val="1"/>
        <c:lblAlgn val="ctr"/>
        <c:lblOffset val="100"/>
        <c:noMultiLvlLbl val="0"/>
      </c:catAx>
      <c:valAx>
        <c:axId val="314582959"/>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31458337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spPr>
            <a:ln w="28575" cap="rnd">
              <a:solidFill>
                <a:srgbClr val="FF6565"/>
              </a:solidFill>
              <a:prstDash val="dash"/>
              <a:round/>
            </a:ln>
            <a:effectLst/>
          </c:spPr>
          <c:marker>
            <c:symbol val="none"/>
          </c:marker>
          <c:cat>
            <c:strRef>
              <c:f>USA!$A$4:$A$18</c:f>
              <c:strCache>
                <c:ptCount val="15"/>
                <c:pt idx="0">
                  <c:v>P0-P10</c:v>
                </c:pt>
                <c:pt idx="1">
                  <c:v>P10-P20</c:v>
                </c:pt>
                <c:pt idx="2">
                  <c:v>P20-P30</c:v>
                </c:pt>
                <c:pt idx="3">
                  <c:v>P30-P40</c:v>
                </c:pt>
                <c:pt idx="4">
                  <c:v>P40-P50</c:v>
                </c:pt>
                <c:pt idx="5">
                  <c:v>P50-P60</c:v>
                </c:pt>
                <c:pt idx="6">
                  <c:v>P60-P70</c:v>
                </c:pt>
                <c:pt idx="7">
                  <c:v>P70-P80</c:v>
                </c:pt>
                <c:pt idx="8">
                  <c:v>P80-P90</c:v>
                </c:pt>
                <c:pt idx="9">
                  <c:v>P90-P99</c:v>
                </c:pt>
                <c:pt idx="10">
                  <c:v>P99-P99.9</c:v>
                </c:pt>
                <c:pt idx="11">
                  <c:v>P99.9-P99.99</c:v>
                </c:pt>
                <c:pt idx="12">
                  <c:v>P99.99-P99.999</c:v>
                </c:pt>
                <c:pt idx="13">
                  <c:v>P99.999-Billionaires</c:v>
                </c:pt>
                <c:pt idx="14">
                  <c:v>Billionaires</c:v>
                </c:pt>
              </c:strCache>
            </c:strRef>
          </c:cat>
          <c:val>
            <c:numRef>
              <c:f>USA!$T$4:$T$18</c:f>
              <c:numCache>
                <c:formatCode>0.0%</c:formatCode>
                <c:ptCount val="15"/>
                <c:pt idx="1">
                  <c:v>0.23915495268939158</c:v>
                </c:pt>
                <c:pt idx="2">
                  <c:v>0.25425502450722759</c:v>
                </c:pt>
                <c:pt idx="3">
                  <c:v>0.25874279663847394</c:v>
                </c:pt>
                <c:pt idx="4">
                  <c:v>0.26364736777138803</c:v>
                </c:pt>
                <c:pt idx="5">
                  <c:v>0.27047732013979231</c:v>
                </c:pt>
                <c:pt idx="6">
                  <c:v>0.28528463802486209</c:v>
                </c:pt>
                <c:pt idx="7">
                  <c:v>0.29118119107585216</c:v>
                </c:pt>
                <c:pt idx="8">
                  <c:v>0.29565389859794372</c:v>
                </c:pt>
                <c:pt idx="9">
                  <c:v>0.2960802780956443</c:v>
                </c:pt>
                <c:pt idx="10">
                  <c:v>0.3164467108150214</c:v>
                </c:pt>
                <c:pt idx="11">
                  <c:v>0.35944871230125769</c:v>
                </c:pt>
                <c:pt idx="12">
                  <c:v>0.39375864569321983</c:v>
                </c:pt>
                <c:pt idx="13">
                  <c:v>0.36016398668289185</c:v>
                </c:pt>
                <c:pt idx="14">
                  <c:v>0.26</c:v>
                </c:pt>
              </c:numCache>
            </c:numRef>
          </c:val>
          <c:smooth val="0"/>
          <c:extLst>
            <c:ext xmlns:c16="http://schemas.microsoft.com/office/drawing/2014/chart" uri="{C3380CC4-5D6E-409C-BE32-E72D297353CC}">
              <c16:uniqueId val="{00000000-C7DE-4E0A-A3B8-9AC32025F920}"/>
            </c:ext>
          </c:extLst>
        </c:ser>
        <c:ser>
          <c:idx val="1"/>
          <c:order val="1"/>
          <c:spPr>
            <a:ln w="28575" cap="rnd">
              <a:solidFill>
                <a:srgbClr val="C00000"/>
              </a:solidFill>
              <a:round/>
            </a:ln>
            <a:effectLst/>
          </c:spPr>
          <c:marker>
            <c:symbol val="none"/>
          </c:marker>
          <c:cat>
            <c:strRef>
              <c:f>USA!$A$4:$A$18</c:f>
              <c:strCache>
                <c:ptCount val="15"/>
                <c:pt idx="0">
                  <c:v>P0-P10</c:v>
                </c:pt>
                <c:pt idx="1">
                  <c:v>P10-P20</c:v>
                </c:pt>
                <c:pt idx="2">
                  <c:v>P20-P30</c:v>
                </c:pt>
                <c:pt idx="3">
                  <c:v>P30-P40</c:v>
                </c:pt>
                <c:pt idx="4">
                  <c:v>P40-P50</c:v>
                </c:pt>
                <c:pt idx="5">
                  <c:v>P50-P60</c:v>
                </c:pt>
                <c:pt idx="6">
                  <c:v>P60-P70</c:v>
                </c:pt>
                <c:pt idx="7">
                  <c:v>P70-P80</c:v>
                </c:pt>
                <c:pt idx="8">
                  <c:v>P80-P90</c:v>
                </c:pt>
                <c:pt idx="9">
                  <c:v>P90-P99</c:v>
                </c:pt>
                <c:pt idx="10">
                  <c:v>P99-P99.9</c:v>
                </c:pt>
                <c:pt idx="11">
                  <c:v>P99.9-P99.99</c:v>
                </c:pt>
                <c:pt idx="12">
                  <c:v>P99.99-P99.999</c:v>
                </c:pt>
                <c:pt idx="13">
                  <c:v>P99.999-Billionaires</c:v>
                </c:pt>
                <c:pt idx="14">
                  <c:v>Billionaires</c:v>
                </c:pt>
              </c:strCache>
            </c:strRef>
          </c:cat>
          <c:val>
            <c:numRef>
              <c:f>USA!$U$4:$U$18</c:f>
              <c:numCache>
                <c:formatCode>0.0%</c:formatCode>
                <c:ptCount val="15"/>
                <c:pt idx="1">
                  <c:v>0.23915495268939158</c:v>
                </c:pt>
                <c:pt idx="2">
                  <c:v>0.25425502450722759</c:v>
                </c:pt>
                <c:pt idx="3">
                  <c:v>0.25874279663847394</c:v>
                </c:pt>
                <c:pt idx="4">
                  <c:v>0.26364736777138803</c:v>
                </c:pt>
                <c:pt idx="5">
                  <c:v>0.27047732013979231</c:v>
                </c:pt>
                <c:pt idx="6">
                  <c:v>0.28528463802486209</c:v>
                </c:pt>
                <c:pt idx="7">
                  <c:v>0.29118119107585216</c:v>
                </c:pt>
                <c:pt idx="8">
                  <c:v>0.29565389859794372</c:v>
                </c:pt>
                <c:pt idx="9">
                  <c:v>0.2960802780956443</c:v>
                </c:pt>
                <c:pt idx="10">
                  <c:v>0.3164467108150214</c:v>
                </c:pt>
                <c:pt idx="11">
                  <c:v>0.35944871230125769</c:v>
                </c:pt>
                <c:pt idx="12">
                  <c:v>0.39375864569321983</c:v>
                </c:pt>
                <c:pt idx="13">
                  <c:v>0.41338915840999502</c:v>
                </c:pt>
                <c:pt idx="14">
                  <c:v>0.54538098420649606</c:v>
                </c:pt>
              </c:numCache>
            </c:numRef>
          </c:val>
          <c:smooth val="0"/>
          <c:extLst>
            <c:ext xmlns:c16="http://schemas.microsoft.com/office/drawing/2014/chart" uri="{C3380CC4-5D6E-409C-BE32-E72D297353CC}">
              <c16:uniqueId val="{00000001-C7DE-4E0A-A3B8-9AC32025F920}"/>
            </c:ext>
          </c:extLst>
        </c:ser>
        <c:dLbls>
          <c:showLegendKey val="0"/>
          <c:showVal val="0"/>
          <c:showCatName val="0"/>
          <c:showSerName val="0"/>
          <c:showPercent val="0"/>
          <c:showBubbleSize val="0"/>
        </c:dLbls>
        <c:smooth val="0"/>
        <c:axId val="314583375"/>
        <c:axId val="314582959"/>
      </c:lineChart>
      <c:catAx>
        <c:axId val="31458337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314582959"/>
        <c:crosses val="autoZero"/>
        <c:auto val="1"/>
        <c:lblAlgn val="ctr"/>
        <c:lblOffset val="100"/>
        <c:noMultiLvlLbl val="0"/>
      </c:catAx>
      <c:valAx>
        <c:axId val="314582959"/>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31458337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spPr>
            <a:ln w="28575" cap="rnd">
              <a:solidFill>
                <a:schemeClr val="accent6">
                  <a:lumMod val="40000"/>
                  <a:lumOff val="60000"/>
                </a:schemeClr>
              </a:solidFill>
              <a:prstDash val="dash"/>
              <a:round/>
            </a:ln>
            <a:effectLst/>
          </c:spPr>
          <c:marker>
            <c:symbol val="none"/>
          </c:marker>
          <c:cat>
            <c:strRef>
              <c:f>BRA!$A$4:$A$18</c:f>
              <c:strCache>
                <c:ptCount val="15"/>
                <c:pt idx="0">
                  <c:v>P0-P10</c:v>
                </c:pt>
                <c:pt idx="1">
                  <c:v>P10-P20</c:v>
                </c:pt>
                <c:pt idx="2">
                  <c:v>P20-P30</c:v>
                </c:pt>
                <c:pt idx="3">
                  <c:v>P30-P40</c:v>
                </c:pt>
                <c:pt idx="4">
                  <c:v>P40-P50</c:v>
                </c:pt>
                <c:pt idx="5">
                  <c:v>P50-P60</c:v>
                </c:pt>
                <c:pt idx="6">
                  <c:v>P60-P70</c:v>
                </c:pt>
                <c:pt idx="7">
                  <c:v>P70-P80</c:v>
                </c:pt>
                <c:pt idx="8">
                  <c:v>P80-P90</c:v>
                </c:pt>
                <c:pt idx="9">
                  <c:v>P90-P99</c:v>
                </c:pt>
                <c:pt idx="10">
                  <c:v>P99-P99.9</c:v>
                </c:pt>
                <c:pt idx="11">
                  <c:v>P99.9-P99.99</c:v>
                </c:pt>
                <c:pt idx="12">
                  <c:v>P99.99-P99.999</c:v>
                </c:pt>
                <c:pt idx="13">
                  <c:v>P99.999-Billionaires</c:v>
                </c:pt>
                <c:pt idx="14">
                  <c:v>Billionaires</c:v>
                </c:pt>
              </c:strCache>
            </c:strRef>
          </c:cat>
          <c:val>
            <c:numRef>
              <c:f>BRA!$T$4:$T$18</c:f>
              <c:numCache>
                <c:formatCode>0.0%</c:formatCode>
                <c:ptCount val="15"/>
                <c:pt idx="1">
                  <c:v>0.48921796000000001</c:v>
                </c:pt>
                <c:pt idx="2">
                  <c:v>0.48921796000000001</c:v>
                </c:pt>
                <c:pt idx="3">
                  <c:v>0.48097889999999999</c:v>
                </c:pt>
                <c:pt idx="4">
                  <c:v>0.44749116</c:v>
                </c:pt>
                <c:pt idx="5">
                  <c:v>0.46344125000000003</c:v>
                </c:pt>
                <c:pt idx="6">
                  <c:v>0.46875623</c:v>
                </c:pt>
                <c:pt idx="7">
                  <c:v>0.4378783</c:v>
                </c:pt>
                <c:pt idx="8">
                  <c:v>0.49957816999999999</c:v>
                </c:pt>
                <c:pt idx="9">
                  <c:v>0.45399179887375457</c:v>
                </c:pt>
                <c:pt idx="10">
                  <c:v>0.30034454999999999</c:v>
                </c:pt>
                <c:pt idx="11">
                  <c:v>0.22436049</c:v>
                </c:pt>
                <c:pt idx="12">
                  <c:v>0.21458076000000001</c:v>
                </c:pt>
                <c:pt idx="13">
                  <c:v>0.19708729</c:v>
                </c:pt>
                <c:pt idx="14">
                  <c:v>0.26</c:v>
                </c:pt>
              </c:numCache>
            </c:numRef>
          </c:val>
          <c:smooth val="0"/>
          <c:extLst>
            <c:ext xmlns:c16="http://schemas.microsoft.com/office/drawing/2014/chart" uri="{C3380CC4-5D6E-409C-BE32-E72D297353CC}">
              <c16:uniqueId val="{00000002-6A74-4E77-8DD8-2A175315F7E0}"/>
            </c:ext>
          </c:extLst>
        </c:ser>
        <c:ser>
          <c:idx val="1"/>
          <c:order val="1"/>
          <c:spPr>
            <a:ln w="28575" cap="rnd">
              <a:solidFill>
                <a:schemeClr val="accent6">
                  <a:lumMod val="75000"/>
                </a:schemeClr>
              </a:solidFill>
              <a:round/>
            </a:ln>
            <a:effectLst/>
          </c:spPr>
          <c:marker>
            <c:symbol val="none"/>
          </c:marker>
          <c:cat>
            <c:strRef>
              <c:f>BRA!$A$4:$A$18</c:f>
              <c:strCache>
                <c:ptCount val="15"/>
                <c:pt idx="0">
                  <c:v>P0-P10</c:v>
                </c:pt>
                <c:pt idx="1">
                  <c:v>P10-P20</c:v>
                </c:pt>
                <c:pt idx="2">
                  <c:v>P20-P30</c:v>
                </c:pt>
                <c:pt idx="3">
                  <c:v>P30-P40</c:v>
                </c:pt>
                <c:pt idx="4">
                  <c:v>P40-P50</c:v>
                </c:pt>
                <c:pt idx="5">
                  <c:v>P50-P60</c:v>
                </c:pt>
                <c:pt idx="6">
                  <c:v>P60-P70</c:v>
                </c:pt>
                <c:pt idx="7">
                  <c:v>P70-P80</c:v>
                </c:pt>
                <c:pt idx="8">
                  <c:v>P80-P90</c:v>
                </c:pt>
                <c:pt idx="9">
                  <c:v>P90-P99</c:v>
                </c:pt>
                <c:pt idx="10">
                  <c:v>P99-P99.9</c:v>
                </c:pt>
                <c:pt idx="11">
                  <c:v>P99.9-P99.99</c:v>
                </c:pt>
                <c:pt idx="12">
                  <c:v>P99.99-P99.999</c:v>
                </c:pt>
                <c:pt idx="13">
                  <c:v>P99.999-Billionaires</c:v>
                </c:pt>
                <c:pt idx="14">
                  <c:v>Billionaires</c:v>
                </c:pt>
              </c:strCache>
            </c:strRef>
          </c:cat>
          <c:val>
            <c:numRef>
              <c:f>BRA!$U$4:$U$18</c:f>
              <c:numCache>
                <c:formatCode>0.0%</c:formatCode>
                <c:ptCount val="15"/>
                <c:pt idx="1">
                  <c:v>0.48921796000000001</c:v>
                </c:pt>
                <c:pt idx="2">
                  <c:v>0.48921796000000001</c:v>
                </c:pt>
                <c:pt idx="3">
                  <c:v>0.48097889999999999</c:v>
                </c:pt>
                <c:pt idx="4">
                  <c:v>0.44749116</c:v>
                </c:pt>
                <c:pt idx="5">
                  <c:v>0.46344125000000003</c:v>
                </c:pt>
                <c:pt idx="6">
                  <c:v>0.46875623</c:v>
                </c:pt>
                <c:pt idx="7">
                  <c:v>0.4378783</c:v>
                </c:pt>
                <c:pt idx="8">
                  <c:v>0.49957816999999999</c:v>
                </c:pt>
                <c:pt idx="9">
                  <c:v>0.45399179887375457</c:v>
                </c:pt>
                <c:pt idx="10">
                  <c:v>0.30034454999999999</c:v>
                </c:pt>
                <c:pt idx="11">
                  <c:v>0.22436049</c:v>
                </c:pt>
                <c:pt idx="12">
                  <c:v>0.21458076000000001</c:v>
                </c:pt>
                <c:pt idx="13">
                  <c:v>0.19708729</c:v>
                </c:pt>
                <c:pt idx="14">
                  <c:v>0.46619483088672209</c:v>
                </c:pt>
              </c:numCache>
            </c:numRef>
          </c:val>
          <c:smooth val="0"/>
          <c:extLst>
            <c:ext xmlns:c16="http://schemas.microsoft.com/office/drawing/2014/chart" uri="{C3380CC4-5D6E-409C-BE32-E72D297353CC}">
              <c16:uniqueId val="{00000003-6A74-4E77-8DD8-2A175315F7E0}"/>
            </c:ext>
          </c:extLst>
        </c:ser>
        <c:dLbls>
          <c:showLegendKey val="0"/>
          <c:showVal val="0"/>
          <c:showCatName val="0"/>
          <c:showSerName val="0"/>
          <c:showPercent val="0"/>
          <c:showBubbleSize val="0"/>
        </c:dLbls>
        <c:smooth val="0"/>
        <c:axId val="314583375"/>
        <c:axId val="314582959"/>
      </c:lineChart>
      <c:catAx>
        <c:axId val="31458337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314582959"/>
        <c:crosses val="autoZero"/>
        <c:auto val="1"/>
        <c:lblAlgn val="ctr"/>
        <c:lblOffset val="100"/>
        <c:noMultiLvlLbl val="0"/>
      </c:catAx>
      <c:valAx>
        <c:axId val="314582959"/>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31458337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spPr>
            <a:ln w="28575" cap="rnd">
              <a:solidFill>
                <a:srgbClr val="CC3399"/>
              </a:solidFill>
              <a:prstDash val="dash"/>
              <a:round/>
            </a:ln>
            <a:effectLst/>
          </c:spPr>
          <c:marker>
            <c:symbol val="none"/>
          </c:marker>
          <c:cat>
            <c:strRef>
              <c:f>ITA!$A$4:$A$18</c:f>
              <c:strCache>
                <c:ptCount val="15"/>
                <c:pt idx="0">
                  <c:v>P0-P10</c:v>
                </c:pt>
                <c:pt idx="1">
                  <c:v>P10-P20</c:v>
                </c:pt>
                <c:pt idx="2">
                  <c:v>P20-P30</c:v>
                </c:pt>
                <c:pt idx="3">
                  <c:v>P30-P40</c:v>
                </c:pt>
                <c:pt idx="4">
                  <c:v>P40-P50</c:v>
                </c:pt>
                <c:pt idx="5">
                  <c:v>P50-P60</c:v>
                </c:pt>
                <c:pt idx="6">
                  <c:v>P60-P70</c:v>
                </c:pt>
                <c:pt idx="7">
                  <c:v>P70-P80</c:v>
                </c:pt>
                <c:pt idx="8">
                  <c:v>P80-P90</c:v>
                </c:pt>
                <c:pt idx="9">
                  <c:v>P90-P99</c:v>
                </c:pt>
                <c:pt idx="10">
                  <c:v>P99-P99.9</c:v>
                </c:pt>
                <c:pt idx="11">
                  <c:v>P99.9-P99.99</c:v>
                </c:pt>
                <c:pt idx="12">
                  <c:v>P99.99-P99.999</c:v>
                </c:pt>
                <c:pt idx="13">
                  <c:v>P99.999-Billionaires</c:v>
                </c:pt>
                <c:pt idx="14">
                  <c:v>Billionaires</c:v>
                </c:pt>
              </c:strCache>
            </c:strRef>
          </c:cat>
          <c:val>
            <c:numRef>
              <c:f>ITA!$T$4:$T$18</c:f>
              <c:numCache>
                <c:formatCode>0.0%</c:formatCode>
                <c:ptCount val="15"/>
                <c:pt idx="1">
                  <c:v>0.42</c:v>
                </c:pt>
                <c:pt idx="2">
                  <c:v>0.42</c:v>
                </c:pt>
                <c:pt idx="3">
                  <c:v>0.42</c:v>
                </c:pt>
                <c:pt idx="4">
                  <c:v>0.42</c:v>
                </c:pt>
                <c:pt idx="5">
                  <c:v>0.43</c:v>
                </c:pt>
                <c:pt idx="6">
                  <c:v>0.45</c:v>
                </c:pt>
                <c:pt idx="7">
                  <c:v>0.47</c:v>
                </c:pt>
                <c:pt idx="8">
                  <c:v>0.49</c:v>
                </c:pt>
                <c:pt idx="9">
                  <c:v>0.5</c:v>
                </c:pt>
                <c:pt idx="10">
                  <c:v>0.43</c:v>
                </c:pt>
                <c:pt idx="11">
                  <c:v>0.36</c:v>
                </c:pt>
                <c:pt idx="12">
                  <c:v>0.3</c:v>
                </c:pt>
                <c:pt idx="13">
                  <c:v>0.24</c:v>
                </c:pt>
                <c:pt idx="14">
                  <c:v>0.26</c:v>
                </c:pt>
              </c:numCache>
            </c:numRef>
          </c:val>
          <c:smooth val="0"/>
          <c:extLst>
            <c:ext xmlns:c16="http://schemas.microsoft.com/office/drawing/2014/chart" uri="{C3380CC4-5D6E-409C-BE32-E72D297353CC}">
              <c16:uniqueId val="{00000002-8685-457E-BCA1-1D5C946DB8E6}"/>
            </c:ext>
          </c:extLst>
        </c:ser>
        <c:ser>
          <c:idx val="1"/>
          <c:order val="1"/>
          <c:spPr>
            <a:ln w="28575" cap="rnd">
              <a:solidFill>
                <a:srgbClr val="800080"/>
              </a:solidFill>
              <a:round/>
            </a:ln>
            <a:effectLst/>
          </c:spPr>
          <c:marker>
            <c:symbol val="none"/>
          </c:marker>
          <c:cat>
            <c:strRef>
              <c:f>ITA!$A$4:$A$18</c:f>
              <c:strCache>
                <c:ptCount val="15"/>
                <c:pt idx="0">
                  <c:v>P0-P10</c:v>
                </c:pt>
                <c:pt idx="1">
                  <c:v>P10-P20</c:v>
                </c:pt>
                <c:pt idx="2">
                  <c:v>P20-P30</c:v>
                </c:pt>
                <c:pt idx="3">
                  <c:v>P30-P40</c:v>
                </c:pt>
                <c:pt idx="4">
                  <c:v>P40-P50</c:v>
                </c:pt>
                <c:pt idx="5">
                  <c:v>P50-P60</c:v>
                </c:pt>
                <c:pt idx="6">
                  <c:v>P60-P70</c:v>
                </c:pt>
                <c:pt idx="7">
                  <c:v>P70-P80</c:v>
                </c:pt>
                <c:pt idx="8">
                  <c:v>P80-P90</c:v>
                </c:pt>
                <c:pt idx="9">
                  <c:v>P90-P99</c:v>
                </c:pt>
                <c:pt idx="10">
                  <c:v>P99-P99.9</c:v>
                </c:pt>
                <c:pt idx="11">
                  <c:v>P99.9-P99.99</c:v>
                </c:pt>
                <c:pt idx="12">
                  <c:v>P99.99-P99.999</c:v>
                </c:pt>
                <c:pt idx="13">
                  <c:v>P99.999-Billionaires</c:v>
                </c:pt>
                <c:pt idx="14">
                  <c:v>Billionaires</c:v>
                </c:pt>
              </c:strCache>
            </c:strRef>
          </c:cat>
          <c:val>
            <c:numRef>
              <c:f>ITA!$U$4:$U$18</c:f>
              <c:numCache>
                <c:formatCode>0.0%</c:formatCode>
                <c:ptCount val="15"/>
                <c:pt idx="1">
                  <c:v>0.42</c:v>
                </c:pt>
                <c:pt idx="2">
                  <c:v>0.42</c:v>
                </c:pt>
                <c:pt idx="3">
                  <c:v>0.42</c:v>
                </c:pt>
                <c:pt idx="4">
                  <c:v>0.42</c:v>
                </c:pt>
                <c:pt idx="5">
                  <c:v>0.43</c:v>
                </c:pt>
                <c:pt idx="6">
                  <c:v>0.45</c:v>
                </c:pt>
                <c:pt idx="7">
                  <c:v>0.47</c:v>
                </c:pt>
                <c:pt idx="8">
                  <c:v>0.49</c:v>
                </c:pt>
                <c:pt idx="9">
                  <c:v>0.5</c:v>
                </c:pt>
                <c:pt idx="10">
                  <c:v>0.43</c:v>
                </c:pt>
                <c:pt idx="11">
                  <c:v>0.36</c:v>
                </c:pt>
                <c:pt idx="12">
                  <c:v>0.3</c:v>
                </c:pt>
                <c:pt idx="13">
                  <c:v>0.26507392399807506</c:v>
                </c:pt>
                <c:pt idx="14">
                  <c:v>0.68500000000000005</c:v>
                </c:pt>
              </c:numCache>
            </c:numRef>
          </c:val>
          <c:smooth val="0"/>
          <c:extLst>
            <c:ext xmlns:c16="http://schemas.microsoft.com/office/drawing/2014/chart" uri="{C3380CC4-5D6E-409C-BE32-E72D297353CC}">
              <c16:uniqueId val="{00000003-8685-457E-BCA1-1D5C946DB8E6}"/>
            </c:ext>
          </c:extLst>
        </c:ser>
        <c:dLbls>
          <c:showLegendKey val="0"/>
          <c:showVal val="0"/>
          <c:showCatName val="0"/>
          <c:showSerName val="0"/>
          <c:showPercent val="0"/>
          <c:showBubbleSize val="0"/>
        </c:dLbls>
        <c:smooth val="0"/>
        <c:axId val="314583375"/>
        <c:axId val="314582959"/>
      </c:lineChart>
      <c:catAx>
        <c:axId val="31458337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314582959"/>
        <c:crosses val="autoZero"/>
        <c:auto val="1"/>
        <c:lblAlgn val="ctr"/>
        <c:lblOffset val="100"/>
        <c:noMultiLvlLbl val="0"/>
      </c:catAx>
      <c:valAx>
        <c:axId val="314582959"/>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31458337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spPr>
            <a:ln w="28575" cap="rnd">
              <a:solidFill>
                <a:schemeClr val="accent1"/>
              </a:solidFill>
              <a:round/>
            </a:ln>
            <a:effectLst/>
          </c:spPr>
          <c:marker>
            <c:symbol val="none"/>
          </c:marker>
          <c:val>
            <c:numRef>
              <c:f>'Insee (2024)'!$X$10:$AQ$10</c:f>
              <c:numCache>
                <c:formatCode>General</c:formatCode>
                <c:ptCount val="20"/>
                <c:pt idx="0">
                  <c:v>0.17808219178082194</c:v>
                </c:pt>
                <c:pt idx="1">
                  <c:v>0.15384615384615385</c:v>
                </c:pt>
                <c:pt idx="2">
                  <c:v>0.19791666666666666</c:v>
                </c:pt>
                <c:pt idx="3">
                  <c:v>0.22549019607843138</c:v>
                </c:pt>
                <c:pt idx="4">
                  <c:v>0.25925925925925924</c:v>
                </c:pt>
                <c:pt idx="5">
                  <c:v>0.26315789473684209</c:v>
                </c:pt>
                <c:pt idx="6">
                  <c:v>0.2857142857142857</c:v>
                </c:pt>
                <c:pt idx="7">
                  <c:v>0.29032258064516131</c:v>
                </c:pt>
                <c:pt idx="8">
                  <c:v>0.31007751937984496</c:v>
                </c:pt>
                <c:pt idx="9">
                  <c:v>0.30827067669172931</c:v>
                </c:pt>
                <c:pt idx="10">
                  <c:v>0.32374100719424459</c:v>
                </c:pt>
                <c:pt idx="11">
                  <c:v>0.31944444444444442</c:v>
                </c:pt>
                <c:pt idx="12">
                  <c:v>0.33112582781456956</c:v>
                </c:pt>
                <c:pt idx="13">
                  <c:v>0.33766233766233766</c:v>
                </c:pt>
                <c:pt idx="14">
                  <c:v>0.34591194968553457</c:v>
                </c:pt>
                <c:pt idx="15">
                  <c:v>0.34545454545454546</c:v>
                </c:pt>
                <c:pt idx="16">
                  <c:v>0.32369942196531787</c:v>
                </c:pt>
                <c:pt idx="17">
                  <c:v>0.34594594594594597</c:v>
                </c:pt>
                <c:pt idx="18">
                  <c:v>0.35</c:v>
                </c:pt>
                <c:pt idx="19">
                  <c:v>0.28231292517006806</c:v>
                </c:pt>
              </c:numCache>
            </c:numRef>
          </c:val>
          <c:smooth val="0"/>
          <c:extLst>
            <c:ext xmlns:c16="http://schemas.microsoft.com/office/drawing/2014/chart" uri="{C3380CC4-5D6E-409C-BE32-E72D297353CC}">
              <c16:uniqueId val="{00000000-8916-4CB9-80D1-CC10B8F9EDB0}"/>
            </c:ext>
          </c:extLst>
        </c:ser>
        <c:ser>
          <c:idx val="1"/>
          <c:order val="1"/>
          <c:spPr>
            <a:ln w="28575" cap="rnd">
              <a:solidFill>
                <a:schemeClr val="accent2"/>
              </a:solidFill>
              <a:round/>
            </a:ln>
            <a:effectLst/>
          </c:spPr>
          <c:marker>
            <c:symbol val="none"/>
          </c:marker>
          <c:val>
            <c:numRef>
              <c:f>'Insee (2024)'!$X$11:$AQ$11</c:f>
              <c:numCache>
                <c:formatCode>General</c:formatCode>
                <c:ptCount val="20"/>
                <c:pt idx="0">
                  <c:v>1</c:v>
                </c:pt>
                <c:pt idx="1">
                  <c:v>1</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numCache>
            </c:numRef>
          </c:val>
          <c:smooth val="0"/>
          <c:extLst>
            <c:ext xmlns:c16="http://schemas.microsoft.com/office/drawing/2014/chart" uri="{C3380CC4-5D6E-409C-BE32-E72D297353CC}">
              <c16:uniqueId val="{00000001-8916-4CB9-80D1-CC10B8F9EDB0}"/>
            </c:ext>
          </c:extLst>
        </c:ser>
        <c:ser>
          <c:idx val="2"/>
          <c:order val="2"/>
          <c:spPr>
            <a:ln w="28575" cap="rnd">
              <a:solidFill>
                <a:schemeClr val="accent3"/>
              </a:solidFill>
              <a:round/>
            </a:ln>
            <a:effectLst/>
          </c:spPr>
          <c:marker>
            <c:symbol val="none"/>
          </c:marker>
          <c:val>
            <c:numRef>
              <c:f>'Insee (2024)'!$X$12:$AQ$12</c:f>
              <c:numCache>
                <c:formatCode>General</c:formatCode>
                <c:ptCount val="20"/>
                <c:pt idx="0">
                  <c:v>0.28260869565217395</c:v>
                </c:pt>
                <c:pt idx="1">
                  <c:v>1.0769230769230769</c:v>
                </c:pt>
                <c:pt idx="2">
                  <c:v>1</c:v>
                </c:pt>
                <c:pt idx="3">
                  <c:v>0.88461538461538447</c:v>
                </c:pt>
                <c:pt idx="4">
                  <c:v>0.77777777777777768</c:v>
                </c:pt>
                <c:pt idx="5">
                  <c:v>0.7142857142857143</c:v>
                </c:pt>
                <c:pt idx="6">
                  <c:v>0.62962962962962954</c:v>
                </c:pt>
                <c:pt idx="7">
                  <c:v>0.57142857142857151</c:v>
                </c:pt>
                <c:pt idx="8">
                  <c:v>0.5714285714285714</c:v>
                </c:pt>
                <c:pt idx="9">
                  <c:v>0.53947368421052633</c:v>
                </c:pt>
                <c:pt idx="10">
                  <c:v>0.52941176470588236</c:v>
                </c:pt>
                <c:pt idx="11">
                  <c:v>0.46938775510204073</c:v>
                </c:pt>
                <c:pt idx="12">
                  <c:v>0.43859649122807015</c:v>
                </c:pt>
                <c:pt idx="13">
                  <c:v>0.39097744360902253</c:v>
                </c:pt>
                <c:pt idx="14">
                  <c:v>0.3716216216216216</c:v>
                </c:pt>
                <c:pt idx="15">
                  <c:v>0.33333333333333331</c:v>
                </c:pt>
                <c:pt idx="16">
                  <c:v>0.26291079812206569</c:v>
                </c:pt>
                <c:pt idx="17">
                  <c:v>0.23104693140794225</c:v>
                </c:pt>
                <c:pt idx="18">
                  <c:v>0.16799999999999998</c:v>
                </c:pt>
                <c:pt idx="19">
                  <c:v>5.5817081371889718E-2</c:v>
                </c:pt>
              </c:numCache>
            </c:numRef>
          </c:val>
          <c:smooth val="0"/>
          <c:extLst>
            <c:ext xmlns:c16="http://schemas.microsoft.com/office/drawing/2014/chart" uri="{C3380CC4-5D6E-409C-BE32-E72D297353CC}">
              <c16:uniqueId val="{00000002-8916-4CB9-80D1-CC10B8F9EDB0}"/>
            </c:ext>
          </c:extLst>
        </c:ser>
        <c:ser>
          <c:idx val="3"/>
          <c:order val="3"/>
          <c:spPr>
            <a:ln w="28575" cap="rnd">
              <a:solidFill>
                <a:schemeClr val="accent4"/>
              </a:solidFill>
              <a:round/>
            </a:ln>
            <a:effectLst/>
          </c:spPr>
          <c:marker>
            <c:symbol val="none"/>
          </c:marker>
          <c:val>
            <c:numRef>
              <c:f>'Insee (2024)'!$X$13:$AQ$13</c:f>
              <c:numCache>
                <c:formatCode>General</c:formatCode>
                <c:ptCount val="20"/>
                <c:pt idx="0">
                  <c:v>1.0833333333333335</c:v>
                </c:pt>
                <c:pt idx="1">
                  <c:v>0.73684210526315785</c:v>
                </c:pt>
                <c:pt idx="2">
                  <c:v>0.5757575757575758</c:v>
                </c:pt>
                <c:pt idx="3">
                  <c:v>0.51111111111111107</c:v>
                </c:pt>
                <c:pt idx="4">
                  <c:v>0.49122807017543857</c:v>
                </c:pt>
                <c:pt idx="5">
                  <c:v>0.45454545454545459</c:v>
                </c:pt>
                <c:pt idx="6">
                  <c:v>0.40476190476190471</c:v>
                </c:pt>
                <c:pt idx="7">
                  <c:v>0.35294117647058826</c:v>
                </c:pt>
                <c:pt idx="8">
                  <c:v>0.35714285714285715</c:v>
                </c:pt>
                <c:pt idx="9">
                  <c:v>0.31297709923664119</c:v>
                </c:pt>
                <c:pt idx="10">
                  <c:v>0.32374100719424459</c:v>
                </c:pt>
                <c:pt idx="11">
                  <c:v>0.2929936305732484</c:v>
                </c:pt>
                <c:pt idx="12">
                  <c:v>0.2857142857142857</c:v>
                </c:pt>
                <c:pt idx="13">
                  <c:v>0.28260869565217395</c:v>
                </c:pt>
                <c:pt idx="14">
                  <c:v>0.26570048309178745</c:v>
                </c:pt>
                <c:pt idx="15">
                  <c:v>0.24358974358974361</c:v>
                </c:pt>
                <c:pt idx="16">
                  <c:v>0.22222222222222221</c:v>
                </c:pt>
                <c:pt idx="17">
                  <c:v>0.22222222222222224</c:v>
                </c:pt>
                <c:pt idx="18">
                  <c:v>0.19626168224299065</c:v>
                </c:pt>
                <c:pt idx="19">
                  <c:v>0.18281938325991193</c:v>
                </c:pt>
              </c:numCache>
            </c:numRef>
          </c:val>
          <c:smooth val="0"/>
          <c:extLst>
            <c:ext xmlns:c16="http://schemas.microsoft.com/office/drawing/2014/chart" uri="{C3380CC4-5D6E-409C-BE32-E72D297353CC}">
              <c16:uniqueId val="{00000003-8916-4CB9-80D1-CC10B8F9EDB0}"/>
            </c:ext>
          </c:extLst>
        </c:ser>
        <c:ser>
          <c:idx val="4"/>
          <c:order val="4"/>
          <c:spPr>
            <a:ln w="28575" cap="rnd">
              <a:solidFill>
                <a:schemeClr val="accent5"/>
              </a:solidFill>
              <a:round/>
            </a:ln>
            <a:effectLst/>
          </c:spPr>
          <c:marker>
            <c:symbol val="none"/>
          </c:marker>
          <c:val>
            <c:numRef>
              <c:f>'Insee (2024)'!$X$14:$AQ$14</c:f>
              <c:numCache>
                <c:formatCode>General</c:formatCode>
                <c:ptCount val="20"/>
                <c:pt idx="0">
                  <c:v>1.3</c:v>
                </c:pt>
                <c:pt idx="1">
                  <c:v>1.1666666666666667</c:v>
                </c:pt>
                <c:pt idx="2">
                  <c:v>0.86363636363636354</c:v>
                </c:pt>
                <c:pt idx="3">
                  <c:v>0.8214285714285714</c:v>
                </c:pt>
                <c:pt idx="4">
                  <c:v>0.75675675675675669</c:v>
                </c:pt>
                <c:pt idx="5">
                  <c:v>0.75</c:v>
                </c:pt>
                <c:pt idx="6">
                  <c:v>0.69387755102040805</c:v>
                </c:pt>
                <c:pt idx="7">
                  <c:v>0.62068965517241381</c:v>
                </c:pt>
                <c:pt idx="8">
                  <c:v>0.61538461538461542</c:v>
                </c:pt>
                <c:pt idx="9">
                  <c:v>0.54666666666666663</c:v>
                </c:pt>
                <c:pt idx="10">
                  <c:v>0.55555555555555558</c:v>
                </c:pt>
                <c:pt idx="11">
                  <c:v>0.51111111111111107</c:v>
                </c:pt>
                <c:pt idx="12">
                  <c:v>0.5</c:v>
                </c:pt>
                <c:pt idx="13">
                  <c:v>0.47272727272727272</c:v>
                </c:pt>
                <c:pt idx="14">
                  <c:v>0.4263565891472868</c:v>
                </c:pt>
                <c:pt idx="15">
                  <c:v>0.38</c:v>
                </c:pt>
                <c:pt idx="16">
                  <c:v>0.33939393939393936</c:v>
                </c:pt>
                <c:pt idx="17">
                  <c:v>0.30188679245283023</c:v>
                </c:pt>
                <c:pt idx="18">
                  <c:v>0.24230769230769231</c:v>
                </c:pt>
                <c:pt idx="19">
                  <c:v>0.1971496437054632</c:v>
                </c:pt>
              </c:numCache>
            </c:numRef>
          </c:val>
          <c:smooth val="0"/>
          <c:extLst>
            <c:ext xmlns:c16="http://schemas.microsoft.com/office/drawing/2014/chart" uri="{C3380CC4-5D6E-409C-BE32-E72D297353CC}">
              <c16:uniqueId val="{00000004-8916-4CB9-80D1-CC10B8F9EDB0}"/>
            </c:ext>
          </c:extLst>
        </c:ser>
        <c:dLbls>
          <c:showLegendKey val="0"/>
          <c:showVal val="0"/>
          <c:showCatName val="0"/>
          <c:showSerName val="0"/>
          <c:showPercent val="0"/>
          <c:showBubbleSize val="0"/>
        </c:dLbls>
        <c:smooth val="0"/>
        <c:axId val="517298576"/>
        <c:axId val="517294000"/>
      </c:lineChart>
      <c:catAx>
        <c:axId val="517298576"/>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517294000"/>
        <c:crosses val="autoZero"/>
        <c:auto val="1"/>
        <c:lblAlgn val="ctr"/>
        <c:lblOffset val="100"/>
        <c:noMultiLvlLbl val="0"/>
      </c:catAx>
      <c:valAx>
        <c:axId val="51729400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51729857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spPr>
            <a:ln w="28575" cap="rnd">
              <a:solidFill>
                <a:schemeClr val="accent1"/>
              </a:solidFill>
              <a:round/>
            </a:ln>
            <a:effectLst/>
          </c:spPr>
          <c:marker>
            <c:symbol val="none"/>
          </c:marker>
          <c:val>
            <c:numRef>
              <c:f>'Insee (2024)'!$D$76:$V$76</c:f>
              <c:numCache>
                <c:formatCode>0.0%</c:formatCode>
                <c:ptCount val="19"/>
                <c:pt idx="0">
                  <c:v>0.21745314138947064</c:v>
                </c:pt>
                <c:pt idx="1">
                  <c:v>0.1868928487102702</c:v>
                </c:pt>
                <c:pt idx="2">
                  <c:v>0.16966477437423344</c:v>
                </c:pt>
                <c:pt idx="3">
                  <c:v>0.15736200486307073</c:v>
                </c:pt>
                <c:pt idx="4">
                  <c:v>0.15284768314315975</c:v>
                </c:pt>
                <c:pt idx="5">
                  <c:v>0.14514650379563324</c:v>
                </c:pt>
                <c:pt idx="6">
                  <c:v>0.14045684165961564</c:v>
                </c:pt>
                <c:pt idx="7">
                  <c:v>0.13675864060661858</c:v>
                </c:pt>
                <c:pt idx="8">
                  <c:v>0.13446136415111165</c:v>
                </c:pt>
                <c:pt idx="9">
                  <c:v>0.13298672519297969</c:v>
                </c:pt>
                <c:pt idx="10">
                  <c:v>0.12878569663006148</c:v>
                </c:pt>
                <c:pt idx="11">
                  <c:v>0.1259005286574903</c:v>
                </c:pt>
                <c:pt idx="12">
                  <c:v>0.11980684460081498</c:v>
                </c:pt>
                <c:pt idx="13">
                  <c:v>0.11540361451429167</c:v>
                </c:pt>
                <c:pt idx="14">
                  <c:v>0.10999046786939599</c:v>
                </c:pt>
                <c:pt idx="15">
                  <c:v>0.10360833954251536</c:v>
                </c:pt>
                <c:pt idx="16">
                  <c:v>9.5134131070168937E-2</c:v>
                </c:pt>
                <c:pt idx="17">
                  <c:v>7.7311104917831011E-2</c:v>
                </c:pt>
                <c:pt idx="18">
                  <c:v>5.6387538793325587E-2</c:v>
                </c:pt>
              </c:numCache>
            </c:numRef>
          </c:val>
          <c:smooth val="0"/>
          <c:extLst>
            <c:ext xmlns:c16="http://schemas.microsoft.com/office/drawing/2014/chart" uri="{C3380CC4-5D6E-409C-BE32-E72D297353CC}">
              <c16:uniqueId val="{00000000-4D73-4080-A73D-FDC9BEEECE32}"/>
            </c:ext>
          </c:extLst>
        </c:ser>
        <c:ser>
          <c:idx val="1"/>
          <c:order val="1"/>
          <c:spPr>
            <a:ln w="28575" cap="rnd">
              <a:solidFill>
                <a:schemeClr val="accent2"/>
              </a:solidFill>
              <a:round/>
            </a:ln>
            <a:effectLst/>
          </c:spPr>
          <c:marker>
            <c:symbol val="none"/>
          </c:marker>
          <c:val>
            <c:numRef>
              <c:f>'Insee (2024)'!$D$77:$V$77</c:f>
              <c:numCache>
                <c:formatCode>0.0%</c:formatCode>
                <c:ptCount val="19"/>
                <c:pt idx="0">
                  <c:v>5.1141811334801751E-2</c:v>
                </c:pt>
                <c:pt idx="1">
                  <c:v>5.422715263898796E-2</c:v>
                </c:pt>
                <c:pt idx="2">
                  <c:v>5.3049414573184281E-2</c:v>
                </c:pt>
                <c:pt idx="3">
                  <c:v>5.3454456505283646E-2</c:v>
                </c:pt>
                <c:pt idx="4">
                  <c:v>5.1403476269484452E-2</c:v>
                </c:pt>
                <c:pt idx="5">
                  <c:v>5.178099115928031E-2</c:v>
                </c:pt>
                <c:pt idx="6">
                  <c:v>4.9537060547132958E-2</c:v>
                </c:pt>
                <c:pt idx="7">
                  <c:v>5.0660235319554082E-2</c:v>
                </c:pt>
                <c:pt idx="8">
                  <c:v>4.8680137574533301E-2</c:v>
                </c:pt>
                <c:pt idx="9">
                  <c:v>5.0294487825739746E-2</c:v>
                </c:pt>
                <c:pt idx="10">
                  <c:v>4.7487175998820484E-2</c:v>
                </c:pt>
                <c:pt idx="11">
                  <c:v>4.7832611654910109E-2</c:v>
                </c:pt>
                <c:pt idx="12">
                  <c:v>4.6229710306899818E-2</c:v>
                </c:pt>
                <c:pt idx="13">
                  <c:v>4.5196399963441644E-2</c:v>
                </c:pt>
                <c:pt idx="14">
                  <c:v>4.2347705569061561E-2</c:v>
                </c:pt>
                <c:pt idx="15">
                  <c:v>3.7326972168957834E-2</c:v>
                </c:pt>
                <c:pt idx="16">
                  <c:v>3.6238753447255807E-2</c:v>
                </c:pt>
                <c:pt idx="17">
                  <c:v>2.9611415763069675E-2</c:v>
                </c:pt>
                <c:pt idx="18">
                  <c:v>1.6839870259049001E-2</c:v>
                </c:pt>
              </c:numCache>
            </c:numRef>
          </c:val>
          <c:smooth val="0"/>
          <c:extLst>
            <c:ext xmlns:c16="http://schemas.microsoft.com/office/drawing/2014/chart" uri="{C3380CC4-5D6E-409C-BE32-E72D297353CC}">
              <c16:uniqueId val="{00000001-4D73-4080-A73D-FDC9BEEECE32}"/>
            </c:ext>
          </c:extLst>
        </c:ser>
        <c:ser>
          <c:idx val="2"/>
          <c:order val="2"/>
          <c:spPr>
            <a:ln w="28575" cap="rnd">
              <a:solidFill>
                <a:schemeClr val="accent3"/>
              </a:solidFill>
              <a:round/>
            </a:ln>
            <a:effectLst/>
          </c:spPr>
          <c:marker>
            <c:symbol val="none"/>
          </c:marker>
          <c:val>
            <c:numRef>
              <c:f>'Insee (2024)'!$D$78:$V$78</c:f>
              <c:numCache>
                <c:formatCode>0.0%</c:formatCode>
                <c:ptCount val="19"/>
                <c:pt idx="0">
                  <c:v>4.7488824810887342E-2</c:v>
                </c:pt>
                <c:pt idx="1">
                  <c:v>5.422715263898796E-2</c:v>
                </c:pt>
                <c:pt idx="2">
                  <c:v>5.9968903430556157E-2</c:v>
                </c:pt>
                <c:pt idx="3">
                  <c:v>6.8727158363936114E-2</c:v>
                </c:pt>
                <c:pt idx="4">
                  <c:v>7.196486677727823E-2</c:v>
                </c:pt>
                <c:pt idx="5">
                  <c:v>8.2240397723562855E-2</c:v>
                </c:pt>
                <c:pt idx="6">
                  <c:v>8.6689855957482673E-2</c:v>
                </c:pt>
                <c:pt idx="7">
                  <c:v>8.8655411809219639E-2</c:v>
                </c:pt>
                <c:pt idx="8">
                  <c:v>9.0236352577183682E-2</c:v>
                </c:pt>
                <c:pt idx="9">
                  <c:v>9.5000699226397298E-2</c:v>
                </c:pt>
                <c:pt idx="10">
                  <c:v>0.101168331475748</c:v>
                </c:pt>
                <c:pt idx="11">
                  <c:v>0.10905835457319506</c:v>
                </c:pt>
                <c:pt idx="12">
                  <c:v>0.11824137443880146</c:v>
                </c:pt>
                <c:pt idx="13">
                  <c:v>0.12161940353798843</c:v>
                </c:pt>
                <c:pt idx="14">
                  <c:v>0.12704311670718471</c:v>
                </c:pt>
                <c:pt idx="15">
                  <c:v>0.14197580485692893</c:v>
                </c:pt>
                <c:pt idx="16">
                  <c:v>0.15684585476390403</c:v>
                </c:pt>
                <c:pt idx="17">
                  <c:v>0.17625842716112902</c:v>
                </c:pt>
                <c:pt idx="18">
                  <c:v>0.30169743464103449</c:v>
                </c:pt>
              </c:numCache>
            </c:numRef>
          </c:val>
          <c:smooth val="0"/>
          <c:extLst>
            <c:ext xmlns:c16="http://schemas.microsoft.com/office/drawing/2014/chart" uri="{C3380CC4-5D6E-409C-BE32-E72D297353CC}">
              <c16:uniqueId val="{00000002-4D73-4080-A73D-FDC9BEEECE32}"/>
            </c:ext>
          </c:extLst>
        </c:ser>
        <c:ser>
          <c:idx val="3"/>
          <c:order val="3"/>
          <c:spPr>
            <a:ln w="28575" cap="rnd">
              <a:solidFill>
                <a:schemeClr val="accent4"/>
              </a:solidFill>
              <a:round/>
            </a:ln>
            <a:effectLst/>
          </c:spPr>
          <c:marker>
            <c:symbol val="none"/>
          </c:marker>
          <c:val>
            <c:numRef>
              <c:f>'Insee (2024)'!$D$79:$V$79</c:f>
              <c:numCache>
                <c:formatCode>0.0%</c:formatCode>
                <c:ptCount val="19"/>
                <c:pt idx="0">
                  <c:v>0.11324258224134673</c:v>
                </c:pt>
                <c:pt idx="1">
                  <c:v>0.15697333658654411</c:v>
                </c:pt>
                <c:pt idx="2">
                  <c:v>0.16837422886271536</c:v>
                </c:pt>
                <c:pt idx="3">
                  <c:v>0.17945424683916653</c:v>
                </c:pt>
                <c:pt idx="4">
                  <c:v>0.1816256161521784</c:v>
                </c:pt>
                <c:pt idx="5">
                  <c:v>0.20255505365247886</c:v>
                </c:pt>
                <c:pt idx="6">
                  <c:v>0.22016471354281314</c:v>
                </c:pt>
                <c:pt idx="7">
                  <c:v>0.2241715412890268</c:v>
                </c:pt>
                <c:pt idx="8">
                  <c:v>0.24458800830131369</c:v>
                </c:pt>
                <c:pt idx="9">
                  <c:v>0.24588416270361654</c:v>
                </c:pt>
                <c:pt idx="10">
                  <c:v>0.25498548851540564</c:v>
                </c:pt>
                <c:pt idx="11">
                  <c:v>0.26307936410200561</c:v>
                </c:pt>
                <c:pt idx="12">
                  <c:v>0.26137566981208743</c:v>
                </c:pt>
                <c:pt idx="13">
                  <c:v>0.27610891614029809</c:v>
                </c:pt>
                <c:pt idx="14">
                  <c:v>0.28528980593894104</c:v>
                </c:pt>
                <c:pt idx="15">
                  <c:v>0.27795263204384679</c:v>
                </c:pt>
                <c:pt idx="16">
                  <c:v>0.28311526130668596</c:v>
                </c:pt>
                <c:pt idx="17">
                  <c:v>0.27308305648164261</c:v>
                </c:pt>
                <c:pt idx="18">
                  <c:v>0.17752875273093827</c:v>
                </c:pt>
              </c:numCache>
            </c:numRef>
          </c:val>
          <c:smooth val="0"/>
          <c:extLst>
            <c:ext xmlns:c16="http://schemas.microsoft.com/office/drawing/2014/chart" uri="{C3380CC4-5D6E-409C-BE32-E72D297353CC}">
              <c16:uniqueId val="{00000003-4D73-4080-A73D-FDC9BEEECE32}"/>
            </c:ext>
          </c:extLst>
        </c:ser>
        <c:dLbls>
          <c:showLegendKey val="0"/>
          <c:showVal val="0"/>
          <c:showCatName val="0"/>
          <c:showSerName val="0"/>
          <c:showPercent val="0"/>
          <c:showBubbleSize val="0"/>
        </c:dLbls>
        <c:smooth val="0"/>
        <c:axId val="669499376"/>
        <c:axId val="669499792"/>
      </c:lineChart>
      <c:catAx>
        <c:axId val="669499376"/>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669499792"/>
        <c:crosses val="autoZero"/>
        <c:auto val="1"/>
        <c:lblAlgn val="ctr"/>
        <c:lblOffset val="100"/>
        <c:noMultiLvlLbl val="0"/>
      </c:catAx>
      <c:valAx>
        <c:axId val="669499792"/>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66949937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2" Type="http://schemas.openxmlformats.org/officeDocument/2006/relationships/chart" Target="../charts/chart7.xml"/><Relationship Id="rId1" Type="http://schemas.openxmlformats.org/officeDocument/2006/relationships/chart" Target="../charts/chart6.xml"/></Relationships>
</file>

<file path=xl/drawings/drawing1.xml><?xml version="1.0" encoding="utf-8"?>
<xdr:wsDr xmlns:xdr="http://schemas.openxmlformats.org/drawingml/2006/spreadsheetDrawing" xmlns:a="http://schemas.openxmlformats.org/drawingml/2006/main">
  <xdr:twoCellAnchor>
    <xdr:from>
      <xdr:col>22</xdr:col>
      <xdr:colOff>321616</xdr:colOff>
      <xdr:row>1</xdr:row>
      <xdr:rowOff>37601</xdr:rowOff>
    </xdr:from>
    <xdr:to>
      <xdr:col>32</xdr:col>
      <xdr:colOff>89647</xdr:colOff>
      <xdr:row>23</xdr:row>
      <xdr:rowOff>142401</xdr:rowOff>
    </xdr:to>
    <xdr:graphicFrame macro="">
      <xdr:nvGraphicFramePr>
        <xdr:cNvPr id="6" name="Graphique 5">
          <a:extLst>
            <a:ext uri="{FF2B5EF4-FFF2-40B4-BE49-F238E27FC236}">
              <a16:creationId xmlns:a16="http://schemas.microsoft.com/office/drawing/2014/main" id="{13E1C901-3768-48E0-BBEA-254CCA101D3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22</xdr:col>
      <xdr:colOff>299413</xdr:colOff>
      <xdr:row>1</xdr:row>
      <xdr:rowOff>28181</xdr:rowOff>
    </xdr:from>
    <xdr:to>
      <xdr:col>28</xdr:col>
      <xdr:colOff>78849</xdr:colOff>
      <xdr:row>24</xdr:row>
      <xdr:rowOff>37796</xdr:rowOff>
    </xdr:to>
    <xdr:graphicFrame macro="">
      <xdr:nvGraphicFramePr>
        <xdr:cNvPr id="2" name="Graphique 1">
          <a:extLst>
            <a:ext uri="{FF2B5EF4-FFF2-40B4-BE49-F238E27FC236}">
              <a16:creationId xmlns:a16="http://schemas.microsoft.com/office/drawing/2014/main" id="{DA8C2AE7-FB04-4103-B723-2BFDA7F6855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22</xdr:col>
      <xdr:colOff>429085</xdr:colOff>
      <xdr:row>0</xdr:row>
      <xdr:rowOff>180778</xdr:rowOff>
    </xdr:from>
    <xdr:to>
      <xdr:col>28</xdr:col>
      <xdr:colOff>196632</xdr:colOff>
      <xdr:row>24</xdr:row>
      <xdr:rowOff>59671</xdr:rowOff>
    </xdr:to>
    <xdr:graphicFrame macro="">
      <xdr:nvGraphicFramePr>
        <xdr:cNvPr id="2" name="Graphique 1">
          <a:extLst>
            <a:ext uri="{FF2B5EF4-FFF2-40B4-BE49-F238E27FC236}">
              <a16:creationId xmlns:a16="http://schemas.microsoft.com/office/drawing/2014/main" id="{5D9D0E77-B0AD-44CE-8B97-9491BB519DC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22</xdr:col>
      <xdr:colOff>339681</xdr:colOff>
      <xdr:row>1</xdr:row>
      <xdr:rowOff>8473</xdr:rowOff>
    </xdr:from>
    <xdr:to>
      <xdr:col>28</xdr:col>
      <xdr:colOff>122928</xdr:colOff>
      <xdr:row>24</xdr:row>
      <xdr:rowOff>18088</xdr:rowOff>
    </xdr:to>
    <xdr:graphicFrame macro="">
      <xdr:nvGraphicFramePr>
        <xdr:cNvPr id="2" name="Graphique 1">
          <a:extLst>
            <a:ext uri="{FF2B5EF4-FFF2-40B4-BE49-F238E27FC236}">
              <a16:creationId xmlns:a16="http://schemas.microsoft.com/office/drawing/2014/main" id="{5C4B1CA9-B5D2-4FD7-A954-872A4DF937F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22</xdr:col>
      <xdr:colOff>364592</xdr:colOff>
      <xdr:row>1</xdr:row>
      <xdr:rowOff>27229</xdr:rowOff>
    </xdr:from>
    <xdr:to>
      <xdr:col>28</xdr:col>
      <xdr:colOff>155459</xdr:colOff>
      <xdr:row>24</xdr:row>
      <xdr:rowOff>34939</xdr:rowOff>
    </xdr:to>
    <xdr:graphicFrame macro="">
      <xdr:nvGraphicFramePr>
        <xdr:cNvPr id="2" name="Graphique 1">
          <a:extLst>
            <a:ext uri="{FF2B5EF4-FFF2-40B4-BE49-F238E27FC236}">
              <a16:creationId xmlns:a16="http://schemas.microsoft.com/office/drawing/2014/main" id="{85300771-29F8-4788-B9AD-60944ECCC29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27</xdr:col>
      <xdr:colOff>780489</xdr:colOff>
      <xdr:row>15</xdr:row>
      <xdr:rowOff>158001</xdr:rowOff>
    </xdr:from>
    <xdr:to>
      <xdr:col>37</xdr:col>
      <xdr:colOff>315670</xdr:colOff>
      <xdr:row>39</xdr:row>
      <xdr:rowOff>141866</xdr:rowOff>
    </xdr:to>
    <xdr:graphicFrame macro="">
      <xdr:nvGraphicFramePr>
        <xdr:cNvPr id="10" name="Graphique 9">
          <a:extLst>
            <a:ext uri="{FF2B5EF4-FFF2-40B4-BE49-F238E27FC236}">
              <a16:creationId xmlns:a16="http://schemas.microsoft.com/office/drawing/2014/main" id="{589DC9AA-2D0C-442E-961F-8AE1F697885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27</xdr:col>
      <xdr:colOff>778698</xdr:colOff>
      <xdr:row>40</xdr:row>
      <xdr:rowOff>171897</xdr:rowOff>
    </xdr:from>
    <xdr:to>
      <xdr:col>37</xdr:col>
      <xdr:colOff>347383</xdr:colOff>
      <xdr:row>73</xdr:row>
      <xdr:rowOff>108248</xdr:rowOff>
    </xdr:to>
    <xdr:graphicFrame macro="">
      <xdr:nvGraphicFramePr>
        <xdr:cNvPr id="11" name="Graphique 10">
          <a:extLst>
            <a:ext uri="{FF2B5EF4-FFF2-40B4-BE49-F238E27FC236}">
              <a16:creationId xmlns:a16="http://schemas.microsoft.com/office/drawing/2014/main" id="{545BC666-384A-4BE4-9E41-536A2171FA3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7.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2E67E3-ED89-40FD-A6A8-5FC44FD01F6F}">
  <dimension ref="A2:C61"/>
  <sheetViews>
    <sheetView zoomScale="115" zoomScaleNormal="115" workbookViewId="0">
      <selection activeCell="G16" sqref="G16"/>
    </sheetView>
  </sheetViews>
  <sheetFormatPr baseColWidth="10" defaultRowHeight="14.4"/>
  <cols>
    <col min="1" max="1" width="12.44140625" customWidth="1"/>
  </cols>
  <sheetData>
    <row r="2" spans="1:1">
      <c r="A2" s="43" t="s">
        <v>163</v>
      </c>
    </row>
    <row r="4" spans="1:1" ht="21">
      <c r="A4" s="56" t="s">
        <v>76</v>
      </c>
    </row>
    <row r="6" spans="1:1">
      <c r="A6" t="s">
        <v>217</v>
      </c>
    </row>
    <row r="8" spans="1:1">
      <c r="A8" s="48" t="s">
        <v>107</v>
      </c>
    </row>
    <row r="9" spans="1:1" s="85" customFormat="1">
      <c r="A9" s="48" t="s">
        <v>387</v>
      </c>
    </row>
    <row r="10" spans="1:1">
      <c r="A10" s="48" t="s">
        <v>216</v>
      </c>
    </row>
    <row r="11" spans="1:1">
      <c r="A11" s="48" t="s">
        <v>196</v>
      </c>
    </row>
    <row r="12" spans="1:1">
      <c r="A12" s="48" t="s">
        <v>108</v>
      </c>
    </row>
    <row r="13" spans="1:1">
      <c r="A13" s="55" t="s">
        <v>109</v>
      </c>
    </row>
    <row r="14" spans="1:1">
      <c r="A14" s="48" t="s">
        <v>140</v>
      </c>
    </row>
    <row r="16" spans="1:1" ht="21">
      <c r="A16" s="56" t="s">
        <v>102</v>
      </c>
    </row>
    <row r="17" spans="1:3" ht="15.6" customHeight="1">
      <c r="A17" s="56"/>
    </row>
    <row r="18" spans="1:3">
      <c r="A18" t="s">
        <v>103</v>
      </c>
    </row>
    <row r="20" spans="1:3">
      <c r="B20" t="s">
        <v>164</v>
      </c>
    </row>
    <row r="21" spans="1:3">
      <c r="B21" t="s">
        <v>105</v>
      </c>
    </row>
    <row r="23" spans="1:3">
      <c r="B23" t="s">
        <v>165</v>
      </c>
    </row>
    <row r="25" spans="1:3">
      <c r="C25" s="43" t="s">
        <v>154</v>
      </c>
    </row>
    <row r="26" spans="1:3" s="85" customFormat="1">
      <c r="C26" s="55" t="s">
        <v>251</v>
      </c>
    </row>
    <row r="27" spans="1:3" s="85" customFormat="1">
      <c r="C27" s="55" t="s">
        <v>478</v>
      </c>
    </row>
    <row r="28" spans="1:3" s="85" customFormat="1">
      <c r="C28" s="55" t="s">
        <v>252</v>
      </c>
    </row>
    <row r="29" spans="1:3" s="85" customFormat="1">
      <c r="C29" s="55"/>
    </row>
    <row r="30" spans="1:3" s="85" customFormat="1">
      <c r="C30" s="43" t="s">
        <v>250</v>
      </c>
    </row>
    <row r="31" spans="1:3">
      <c r="C31" t="s">
        <v>152</v>
      </c>
    </row>
    <row r="32" spans="1:3" s="85" customFormat="1">
      <c r="C32" s="85" t="s">
        <v>156</v>
      </c>
    </row>
    <row r="33" spans="2:3" s="85" customFormat="1">
      <c r="C33" s="85" t="s">
        <v>477</v>
      </c>
    </row>
    <row r="34" spans="2:3" s="85" customFormat="1">
      <c r="C34" s="85" t="s">
        <v>153</v>
      </c>
    </row>
    <row r="35" spans="2:3" s="85" customFormat="1">
      <c r="C35" s="85" t="s">
        <v>479</v>
      </c>
    </row>
    <row r="36" spans="2:3" s="85" customFormat="1">
      <c r="C36" s="85" t="s">
        <v>480</v>
      </c>
    </row>
    <row r="38" spans="2:3">
      <c r="C38" t="s">
        <v>155</v>
      </c>
    </row>
    <row r="39" spans="2:3">
      <c r="C39" s="55" t="s">
        <v>248</v>
      </c>
    </row>
    <row r="40" spans="2:3">
      <c r="C40" t="s">
        <v>141</v>
      </c>
    </row>
    <row r="42" spans="2:3">
      <c r="B42" t="s">
        <v>174</v>
      </c>
    </row>
    <row r="43" spans="2:3">
      <c r="B43" s="55" t="s">
        <v>175</v>
      </c>
    </row>
    <row r="44" spans="2:3" s="85" customFormat="1">
      <c r="B44" s="55"/>
    </row>
    <row r="45" spans="2:3" s="85" customFormat="1">
      <c r="B45" s="85" t="s">
        <v>173</v>
      </c>
    </row>
    <row r="46" spans="2:3">
      <c r="B46" t="s">
        <v>172</v>
      </c>
    </row>
    <row r="47" spans="2:3" s="85" customFormat="1">
      <c r="B47" s="85" t="s">
        <v>249</v>
      </c>
    </row>
    <row r="48" spans="2:3">
      <c r="B48" t="s">
        <v>279</v>
      </c>
    </row>
    <row r="49" spans="1:2" s="85" customFormat="1">
      <c r="B49" s="85" t="s">
        <v>280</v>
      </c>
    </row>
    <row r="50" spans="1:2" s="85" customFormat="1"/>
    <row r="51" spans="1:2">
      <c r="A51" t="s">
        <v>104</v>
      </c>
    </row>
    <row r="53" spans="1:2" ht="21">
      <c r="A53" s="56" t="s">
        <v>157</v>
      </c>
    </row>
    <row r="55" spans="1:2">
      <c r="A55" t="s">
        <v>159</v>
      </c>
    </row>
    <row r="56" spans="1:2">
      <c r="A56" t="s">
        <v>158</v>
      </c>
    </row>
    <row r="57" spans="1:2">
      <c r="A57" t="s">
        <v>160</v>
      </c>
    </row>
    <row r="59" spans="1:2" ht="21">
      <c r="A59" s="56" t="s">
        <v>162</v>
      </c>
    </row>
    <row r="61" spans="1:2">
      <c r="A61" t="s">
        <v>161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42F3BD-2B74-4271-922F-DB105769CAD1}">
  <sheetPr codeName="Feuil6">
    <tabColor theme="4" tint="-0.249977111117893"/>
  </sheetPr>
  <dimension ref="A1:Z34"/>
  <sheetViews>
    <sheetView zoomScaleNormal="100" workbookViewId="0">
      <selection activeCell="O25" sqref="O25"/>
    </sheetView>
  </sheetViews>
  <sheetFormatPr baseColWidth="10" defaultRowHeight="14.4"/>
  <cols>
    <col min="1" max="2" width="11.44140625" customWidth="1"/>
    <col min="3" max="3" width="11.44140625" style="85" customWidth="1"/>
    <col min="4" max="9" width="11.44140625" customWidth="1"/>
    <col min="10" max="11" width="11.44140625" style="85" customWidth="1"/>
    <col min="12" max="12" width="11.44140625" style="85"/>
    <col min="13" max="14" width="11.44140625" style="85" customWidth="1"/>
    <col min="15" max="16" width="11.44140625" customWidth="1"/>
    <col min="17" max="19" width="11.44140625" style="85" customWidth="1"/>
    <col min="20" max="22" width="11.44140625" customWidth="1"/>
  </cols>
  <sheetData>
    <row r="1" spans="1:26" s="28" customFormat="1" ht="15" customHeight="1">
      <c r="A1" s="29"/>
      <c r="B1" s="29"/>
      <c r="C1" s="29"/>
      <c r="D1" s="29"/>
      <c r="E1" s="29"/>
      <c r="F1" s="29"/>
      <c r="G1" s="29"/>
      <c r="H1" s="29"/>
      <c r="I1" s="29"/>
      <c r="J1" s="29"/>
      <c r="K1" s="29"/>
      <c r="L1" s="29"/>
      <c r="M1" s="29"/>
      <c r="N1" s="29"/>
      <c r="O1" s="29"/>
      <c r="P1" s="29"/>
      <c r="Q1" s="29"/>
      <c r="R1" s="29"/>
      <c r="S1" s="29"/>
      <c r="T1" s="29"/>
      <c r="U1" s="29"/>
      <c r="V1" s="29"/>
    </row>
    <row r="2" spans="1:26" s="28" customFormat="1" ht="15" customHeight="1">
      <c r="B2" s="253" t="s">
        <v>135</v>
      </c>
      <c r="C2" s="253"/>
      <c r="D2" s="253"/>
      <c r="E2" s="253"/>
      <c r="F2" s="253"/>
      <c r="G2" s="253"/>
      <c r="H2" s="255" t="s">
        <v>127</v>
      </c>
      <c r="I2" s="255"/>
      <c r="J2" s="255"/>
      <c r="K2" s="255"/>
      <c r="L2" s="256" t="s">
        <v>132</v>
      </c>
      <c r="M2" s="256"/>
      <c r="N2" s="256"/>
      <c r="O2" s="256"/>
      <c r="P2" s="256"/>
      <c r="Q2" s="256"/>
      <c r="R2" s="256"/>
      <c r="S2" s="256"/>
      <c r="T2" s="256"/>
      <c r="U2" s="256"/>
      <c r="V2" s="256"/>
      <c r="W2" s="252"/>
      <c r="X2" s="252"/>
      <c r="Y2" s="252"/>
    </row>
    <row r="3" spans="1:26" ht="45" customHeight="1">
      <c r="A3" s="39" t="s">
        <v>7</v>
      </c>
      <c r="B3" s="45" t="s">
        <v>177</v>
      </c>
      <c r="C3" s="45" t="s">
        <v>94</v>
      </c>
      <c r="D3" s="77" t="s">
        <v>17</v>
      </c>
      <c r="E3" s="77" t="s">
        <v>16</v>
      </c>
      <c r="F3" s="42" t="s">
        <v>55</v>
      </c>
      <c r="G3" s="42" t="s">
        <v>56</v>
      </c>
      <c r="H3" s="75" t="s">
        <v>60</v>
      </c>
      <c r="I3" s="161" t="s">
        <v>276</v>
      </c>
      <c r="J3" s="161" t="s">
        <v>277</v>
      </c>
      <c r="K3" s="161" t="s">
        <v>275</v>
      </c>
      <c r="L3" s="150" t="s">
        <v>278</v>
      </c>
      <c r="M3" s="77" t="s">
        <v>17</v>
      </c>
      <c r="N3" s="77" t="s">
        <v>16</v>
      </c>
      <c r="O3" s="45" t="s">
        <v>180</v>
      </c>
      <c r="P3" s="39" t="s">
        <v>178</v>
      </c>
      <c r="Q3" s="39" t="s">
        <v>179</v>
      </c>
      <c r="R3" s="39" t="s">
        <v>138</v>
      </c>
      <c r="S3" s="39" t="s">
        <v>176</v>
      </c>
      <c r="T3" s="45" t="s">
        <v>129</v>
      </c>
      <c r="U3" s="39" t="s">
        <v>128</v>
      </c>
      <c r="V3" s="45" t="s">
        <v>181</v>
      </c>
      <c r="W3" s="42"/>
      <c r="X3" s="42"/>
      <c r="Y3" s="42"/>
      <c r="Z3" s="44"/>
    </row>
    <row r="4" spans="1:26" ht="15" customHeight="1">
      <c r="A4" s="38" t="s">
        <v>18</v>
      </c>
      <c r="B4" s="108">
        <f>'Bach et al. (2025)'!C4-'Bach et al. (2025)'!C5</f>
        <v>3783411</v>
      </c>
      <c r="C4" s="24">
        <f>('Bach et al. (2025)'!F4-'Bach et al. (2025)'!F5)/100</f>
        <v>1.5000000000000568E-3</v>
      </c>
      <c r="D4" s="52"/>
      <c r="E4" s="52"/>
      <c r="F4" s="90">
        <f>'Insee (2024)'!C68</f>
        <v>0.53945600640079028</v>
      </c>
      <c r="G4" s="8"/>
      <c r="H4" s="76"/>
      <c r="I4" s="76"/>
      <c r="J4" s="76"/>
      <c r="K4" s="76"/>
      <c r="L4" s="151"/>
      <c r="M4" s="76"/>
      <c r="N4" s="76"/>
      <c r="P4" s="5"/>
      <c r="Q4" s="5"/>
      <c r="R4" s="5"/>
      <c r="S4" s="5"/>
      <c r="T4" s="64"/>
      <c r="U4" s="65"/>
      <c r="W4" s="37"/>
      <c r="X4" s="40"/>
      <c r="Y4" s="34"/>
    </row>
    <row r="5" spans="1:26" s="85" customFormat="1" ht="15" customHeight="1">
      <c r="A5" s="38" t="s">
        <v>19</v>
      </c>
      <c r="B5" s="108">
        <f>'Bach et al. (2025)'!C5-'Bach et al. (2025)'!C6</f>
        <v>3783612</v>
      </c>
      <c r="C5" s="24">
        <f>('Bach et al. (2025)'!F5-'Bach et al. (2025)'!F6)/100</f>
        <v>2.0999999999999942E-2</v>
      </c>
      <c r="D5" s="52"/>
      <c r="E5" s="52"/>
      <c r="F5" s="20">
        <f>'Insee (2024)'!E68</f>
        <v>0.47170758846371585</v>
      </c>
      <c r="G5" s="8"/>
      <c r="H5" s="76"/>
      <c r="I5" s="76"/>
      <c r="J5" s="76"/>
      <c r="K5" s="76"/>
      <c r="L5" s="151"/>
      <c r="M5" s="76"/>
      <c r="N5" s="76"/>
      <c r="P5" s="5"/>
      <c r="Q5" s="5"/>
      <c r="R5" s="5"/>
      <c r="S5" s="5"/>
      <c r="T5" s="64">
        <f>F5</f>
        <v>0.47170758846371585</v>
      </c>
      <c r="U5" s="65">
        <f>T5</f>
        <v>0.47170758846371585</v>
      </c>
      <c r="W5" s="37"/>
      <c r="X5" s="40"/>
      <c r="Y5" s="34"/>
    </row>
    <row r="6" spans="1:26" s="85" customFormat="1" ht="15" customHeight="1">
      <c r="A6" s="38" t="s">
        <v>20</v>
      </c>
      <c r="B6" s="108">
        <f>'Bach et al. (2025)'!C6-'Bach et al. (2025)'!C7</f>
        <v>3783029</v>
      </c>
      <c r="C6" s="24">
        <f>('Bach et al. (2025)'!F6-'Bach et al. (2025)'!F7)/100</f>
        <v>3.7099999999999939E-2</v>
      </c>
      <c r="D6" s="52"/>
      <c r="E6" s="52"/>
      <c r="F6" s="20">
        <f>'Insee (2024)'!G68</f>
        <v>0.4750595364928063</v>
      </c>
      <c r="G6" s="8"/>
      <c r="H6" s="76"/>
      <c r="I6" s="76"/>
      <c r="J6" s="76"/>
      <c r="K6" s="76"/>
      <c r="L6" s="151"/>
      <c r="M6" s="76"/>
      <c r="N6" s="76"/>
      <c r="P6" s="5"/>
      <c r="Q6" s="5"/>
      <c r="R6" s="5"/>
      <c r="S6" s="5"/>
      <c r="T6" s="64">
        <f>F6</f>
        <v>0.4750595364928063</v>
      </c>
      <c r="U6" s="65">
        <f t="shared" ref="U6:U8" si="0">T6</f>
        <v>0.4750595364928063</v>
      </c>
      <c r="W6" s="37"/>
      <c r="X6" s="40"/>
      <c r="Y6" s="34"/>
    </row>
    <row r="7" spans="1:26" s="85" customFormat="1" ht="15" customHeight="1">
      <c r="A7" s="38" t="s">
        <v>21</v>
      </c>
      <c r="B7" s="108">
        <f>'Bach et al. (2025)'!C7-'Bach et al. (2025)'!C8</f>
        <v>3783555</v>
      </c>
      <c r="C7" s="24">
        <f>('Bach et al. (2025)'!F7-'Bach et al. (2025)'!F8)/100</f>
        <v>4.8599999999999997E-2</v>
      </c>
      <c r="D7" s="52"/>
      <c r="E7" s="52"/>
      <c r="F7" s="20">
        <f>'Insee (2024)'!I68</f>
        <v>0.50290122275916216</v>
      </c>
      <c r="G7" s="8"/>
      <c r="H7" s="76"/>
      <c r="I7" s="76"/>
      <c r="J7" s="76"/>
      <c r="K7" s="76"/>
      <c r="L7" s="151"/>
      <c r="M7" s="76"/>
      <c r="N7" s="76"/>
      <c r="P7" s="5"/>
      <c r="Q7" s="5"/>
      <c r="R7" s="5"/>
      <c r="S7" s="5"/>
      <c r="T7" s="64">
        <f>F7</f>
        <v>0.50290122275916216</v>
      </c>
      <c r="U7" s="65">
        <f t="shared" si="0"/>
        <v>0.50290122275916216</v>
      </c>
      <c r="W7" s="37"/>
      <c r="X7" s="40"/>
      <c r="Y7" s="34"/>
    </row>
    <row r="8" spans="1:26" s="85" customFormat="1" ht="15" customHeight="1">
      <c r="A8" s="38" t="s">
        <v>22</v>
      </c>
      <c r="B8" s="108">
        <f>'Bach et al. (2025)'!C8-'Bach et al. (2025)'!C9</f>
        <v>3783954</v>
      </c>
      <c r="C8" s="24">
        <f>('Bach et al. (2025)'!F8-'Bach et al. (2025)'!F9)/100</f>
        <v>6.2000000000000027E-2</v>
      </c>
      <c r="D8" s="52"/>
      <c r="E8" s="52"/>
      <c r="F8" s="20">
        <f>'Insee (2024)'!K68</f>
        <v>0.52044572056350691</v>
      </c>
      <c r="G8" s="8"/>
      <c r="H8" s="76"/>
      <c r="I8" s="76"/>
      <c r="J8" s="76"/>
      <c r="K8" s="76"/>
      <c r="L8" s="151"/>
      <c r="M8" s="76"/>
      <c r="N8" s="76"/>
      <c r="P8" s="5"/>
      <c r="Q8" s="5"/>
      <c r="R8" s="5"/>
      <c r="S8" s="5"/>
      <c r="T8" s="64">
        <f>F8</f>
        <v>0.52044572056350691</v>
      </c>
      <c r="U8" s="65">
        <f t="shared" si="0"/>
        <v>0.52044572056350691</v>
      </c>
      <c r="W8" s="37"/>
      <c r="X8" s="40"/>
      <c r="Y8" s="34"/>
    </row>
    <row r="9" spans="1:26" ht="15" customHeight="1">
      <c r="A9" s="38" t="s">
        <v>23</v>
      </c>
      <c r="B9" s="108">
        <f>'Bach et al. (2025)'!C9-'Bach et al. (2025)'!C10</f>
        <v>3782935</v>
      </c>
      <c r="C9" s="24">
        <f>('Bach et al. (2025)'!F9-'Bach et al. (2025)'!F10)/100</f>
        <v>7.3599999999999999E-2</v>
      </c>
      <c r="D9" s="52"/>
      <c r="E9" s="52"/>
      <c r="F9" s="20">
        <f>'Insee (2024)'!M68</f>
        <v>0.53790736327355126</v>
      </c>
      <c r="G9" s="8"/>
      <c r="H9" s="76"/>
      <c r="I9" s="76"/>
      <c r="J9" s="76"/>
      <c r="K9" s="76"/>
      <c r="L9" s="151"/>
      <c r="M9" s="76"/>
      <c r="N9" s="76"/>
      <c r="P9" s="5"/>
      <c r="Q9" s="5"/>
      <c r="R9" s="5"/>
      <c r="S9" s="5"/>
      <c r="T9" s="64">
        <f>F9</f>
        <v>0.53790736327355126</v>
      </c>
      <c r="U9" s="65">
        <f>T9</f>
        <v>0.53790736327355126</v>
      </c>
      <c r="W9" s="37"/>
      <c r="X9" s="40"/>
      <c r="Y9" s="34"/>
    </row>
    <row r="10" spans="1:26" s="85" customFormat="1" ht="15" customHeight="1">
      <c r="A10" s="38" t="s">
        <v>24</v>
      </c>
      <c r="B10" s="108">
        <f>'Bach et al. (2025)'!C10-'Bach et al. (2025)'!C11</f>
        <v>3783286</v>
      </c>
      <c r="C10" s="24">
        <f>('Bach et al. (2025)'!F10-'Bach et al. (2025)'!F11)/100</f>
        <v>9.1500000000000054E-2</v>
      </c>
      <c r="D10" s="52"/>
      <c r="E10" s="52"/>
      <c r="F10" s="20">
        <f>'Insee (2024)'!O68</f>
        <v>0.55584408244918992</v>
      </c>
      <c r="G10" s="8"/>
      <c r="H10" s="76"/>
      <c r="I10" s="76"/>
      <c r="J10" s="76"/>
      <c r="K10" s="76"/>
      <c r="L10" s="151"/>
      <c r="M10" s="76"/>
      <c r="N10" s="76"/>
      <c r="P10" s="5"/>
      <c r="Q10" s="5"/>
      <c r="R10" s="5"/>
      <c r="S10" s="5"/>
      <c r="T10" s="64">
        <f>F10</f>
        <v>0.55584408244918992</v>
      </c>
      <c r="U10" s="65">
        <f t="shared" ref="U10:U12" si="1">T10</f>
        <v>0.55584408244918992</v>
      </c>
      <c r="W10" s="37"/>
      <c r="X10" s="40"/>
      <c r="Y10" s="34"/>
    </row>
    <row r="11" spans="1:26" s="85" customFormat="1" ht="15" customHeight="1">
      <c r="A11" s="38" t="s">
        <v>25</v>
      </c>
      <c r="B11" s="108">
        <f>'Bach et al. (2025)'!C11-'Bach et al. (2025)'!C12</f>
        <v>3783032</v>
      </c>
      <c r="C11" s="24">
        <f>('Bach et al. (2025)'!F11-'Bach et al. (2025)'!F12)/100</f>
        <v>0.11699999999999995</v>
      </c>
      <c r="D11" s="52"/>
      <c r="E11" s="52"/>
      <c r="F11" s="20">
        <f>'Insee (2024)'!Q68</f>
        <v>0.56838821697171826</v>
      </c>
      <c r="G11" s="8"/>
      <c r="H11" s="76"/>
      <c r="I11" s="76"/>
      <c r="J11" s="76"/>
      <c r="K11" s="76"/>
      <c r="L11" s="151"/>
      <c r="M11" s="76"/>
      <c r="N11" s="76"/>
      <c r="P11" s="5"/>
      <c r="Q11" s="5"/>
      <c r="R11" s="5"/>
      <c r="S11" s="5"/>
      <c r="T11" s="64">
        <f>F11</f>
        <v>0.56838821697171826</v>
      </c>
      <c r="U11" s="65">
        <f t="shared" si="1"/>
        <v>0.56838821697171826</v>
      </c>
      <c r="W11" s="37"/>
      <c r="X11" s="40"/>
      <c r="Y11" s="34"/>
    </row>
    <row r="12" spans="1:26" s="85" customFormat="1" ht="15" customHeight="1">
      <c r="A12" s="38" t="s">
        <v>26</v>
      </c>
      <c r="B12" s="108">
        <f>'Bach et al. (2025)'!C12-'Bach et al. (2025)'!C13</f>
        <v>3783370</v>
      </c>
      <c r="C12" s="24">
        <f>('Bach et al. (2025)'!F12-'Bach et al. (2025)'!F13)/100</f>
        <v>0.15860000000000007</v>
      </c>
      <c r="D12" s="51"/>
      <c r="E12" s="52"/>
      <c r="F12" s="20">
        <f>'Insee (2024)'!S68</f>
        <v>0.5740596241971625</v>
      </c>
      <c r="G12" s="8"/>
      <c r="H12" s="76"/>
      <c r="I12" s="76"/>
      <c r="J12" s="76"/>
      <c r="K12" s="76"/>
      <c r="L12" s="151"/>
      <c r="M12" s="76"/>
      <c r="N12" s="76"/>
      <c r="P12" s="5"/>
      <c r="Q12" s="5"/>
      <c r="R12" s="5"/>
      <c r="S12" s="5"/>
      <c r="T12" s="64">
        <f>F12</f>
        <v>0.5740596241971625</v>
      </c>
      <c r="U12" s="65">
        <f t="shared" si="1"/>
        <v>0.5740596241971625</v>
      </c>
      <c r="W12" s="37"/>
      <c r="X12" s="40"/>
      <c r="Y12" s="34"/>
    </row>
    <row r="13" spans="1:26" ht="15" customHeight="1">
      <c r="A13" s="38" t="s">
        <v>27</v>
      </c>
      <c r="B13" s="108">
        <f>'Bach et al. (2025)'!C13-'Bach et al. (2025)'!C15</f>
        <v>3404985</v>
      </c>
      <c r="C13" s="24">
        <f>('Bach et al. (2025)'!F13-'Bach et al. (2025)'!F15)/100</f>
        <v>0.25079999999999997</v>
      </c>
      <c r="D13" s="51"/>
      <c r="E13" s="52"/>
      <c r="F13" s="20">
        <f xml:space="preserve"> SUMPRODUCT('Bach et al. (2025)'!W4:W12,'Bach et al. (2025)'!Q4:Q12)/SUM('Bach et al. (2025)'!Q4:Q12)*0 + 'Insee (2024)'!U68*1</f>
        <v>0.55669836069335299</v>
      </c>
      <c r="G13" s="8"/>
      <c r="H13" s="76"/>
      <c r="I13" s="76"/>
      <c r="J13" s="76"/>
      <c r="K13" s="76"/>
      <c r="L13" s="151"/>
      <c r="M13" s="76"/>
      <c r="N13" s="76"/>
      <c r="P13" s="5"/>
      <c r="Q13" s="5"/>
      <c r="R13" s="5"/>
      <c r="S13" s="5"/>
      <c r="T13" s="64">
        <f>F13</f>
        <v>0.55669836069335299</v>
      </c>
      <c r="U13" s="65">
        <f>T13</f>
        <v>0.55669836069335299</v>
      </c>
      <c r="W13" s="37"/>
      <c r="X13" s="40"/>
      <c r="Y13" s="34"/>
    </row>
    <row r="14" spans="1:26" ht="15" customHeight="1">
      <c r="A14" s="38" t="s">
        <v>28</v>
      </c>
      <c r="B14" s="22">
        <f>'Bach et al. (2025)'!C15 - 'Bach et al. (2025)'!C16</f>
        <v>340500</v>
      </c>
      <c r="C14" s="24">
        <f>('Bach et al. (2025)'!F15-'Bach et al. (2025)'!F16)/100</f>
        <v>7.6399999999999996E-2</v>
      </c>
      <c r="D14" s="51">
        <f>('Bach et al. (2025)'!C15*'Bach et al. (2025)'!E15 - 'Bach et al. (2025)'!E16*'Bach et al. (2025)'!C16)/('Bach et al. (2025)'!C15-'Bach et al. (2025)'!C16)</f>
        <v>279445.99118942732</v>
      </c>
      <c r="E14" s="51">
        <f>'Bach et al. (2025)'!D15</f>
        <v>180000</v>
      </c>
      <c r="F14" s="73">
        <f xml:space="preserve"> SUMPRODUCT('Bach et al. (2025)'!W13:W21,'Bach et al. (2025)'!Q13:Q21)/SUM('Bach et al. (2025)'!Q13:Q21)</f>
        <v>0.52588459602724225</v>
      </c>
      <c r="G14" s="8">
        <f>(SUMPRODUCT('Bach et al. (2025)'!I13:I21,'Bach et al. (2025)'!Q13:Q21) + SUMPRODUCT('Bach et al. (2025)'!J13:J21,'Bach et al. (2025)'!Q13:Q21) + SUMPRODUCT('Bach et al. (2025)'!L13:L21,'Bach et al. (2025)'!Q13:Q21) + SUMPRODUCT('Bach et al. (2025)'!U13:U21,'Bach et al. (2025)'!Q13:Q21))/SUM('Bach et al. (2025)'!Q13:Q21)</f>
        <v>0.24326655935587399</v>
      </c>
      <c r="H14" s="96">
        <v>0.13</v>
      </c>
      <c r="I14" s="96">
        <f>WID!O5</f>
        <v>3.1988820813529939E-2</v>
      </c>
      <c r="J14" s="96">
        <f>WID!O36</f>
        <v>2.3686217993555081E-2</v>
      </c>
      <c r="K14" s="96">
        <f>WID!O$66</f>
        <v>5.452234777918008E-3</v>
      </c>
      <c r="L14" s="152">
        <f>H14*G14</f>
        <v>3.1624652716263621E-2</v>
      </c>
      <c r="M14" s="159">
        <f>D14*(1+I14)^9</f>
        <v>370999.0679554565</v>
      </c>
      <c r="N14" s="159">
        <f>E14*(1+J14)^9</f>
        <v>222215.43031424173</v>
      </c>
      <c r="O14" s="89">
        <f>(N14/H14)/1000000</f>
        <v>1.7093494639557054</v>
      </c>
      <c r="P14" s="98">
        <f>M14/(M14-N14)</f>
        <v>2.4935475018436133</v>
      </c>
      <c r="Q14" s="98">
        <f>P14*(1-(N14/N15)^(P14-1))</f>
        <v>2.2288296809307693</v>
      </c>
      <c r="R14" s="99">
        <f>MIN(1,MAX((M$22^(-Q14+1)-O15^(-Q14+1))/(O14^(-Q14+1)-O15^(-Q14+1)),0))</f>
        <v>0</v>
      </c>
      <c r="S14" s="162">
        <f>MIN(1,MAX((M$22^(-Q14)-O15^(-Q14))/(O14^(-Q14)-O15^(-Q14)),0))*B14*(1+K14)^9</f>
        <v>0</v>
      </c>
      <c r="T14" s="64">
        <f>F14</f>
        <v>0.52588459602724225</v>
      </c>
      <c r="U14" s="65">
        <f>F14+MAX(0,M$23/H14-G14)*R14</f>
        <v>0.52588459602724225</v>
      </c>
      <c r="V14" s="164">
        <f>(U14-T14)*M14*B14*(1+K14)^9/1000000</f>
        <v>0</v>
      </c>
      <c r="W14" s="37"/>
      <c r="X14" s="40"/>
      <c r="Y14" s="34"/>
    </row>
    <row r="15" spans="1:26" ht="15" customHeight="1">
      <c r="A15" s="38" t="s">
        <v>29</v>
      </c>
      <c r="B15" s="22">
        <f>'Bach et al. (2025)'!C16 - 'Bach et al. (2025)'!C17</f>
        <v>34050</v>
      </c>
      <c r="C15" s="24">
        <f>('Bach et al. (2025)'!F16-'Bach et al. (2025)'!F17)/100</f>
        <v>2.8800000000000003E-2</v>
      </c>
      <c r="D15" s="51">
        <f>('Bach et al. (2025)'!C16*'Bach et al. (2025)'!E16 - 'Bach et al. (2025)'!E17*'Bach et al. (2025)'!C17)/('Bach et al. (2025)'!C16-'Bach et al. (2025)'!C17)</f>
        <v>1052864.3171806168</v>
      </c>
      <c r="E15" s="51">
        <f>'Bach et al. (2025)'!D16</f>
        <v>626000</v>
      </c>
      <c r="F15" s="73">
        <f xml:space="preserve"> SUMPRODUCT('Bach et al. (2025)'!W22:W30, 'Bach et al. (2025)'!Q22:Q30)/ SUM('Bach et al. (2025)'!Q22:Q30)</f>
        <v>0.50877222245842335</v>
      </c>
      <c r="G15" s="8">
        <f>(SUMPRODUCT('Bach et al. (2025)'!I22:I30,'Bach et al. (2025)'!Q22:Q30) + SUMPRODUCT('Bach et al. (2025)'!J22:J30,'Bach et al. (2025)'!Q22:Q30) + SUMPRODUCT('Bach et al. (2025)'!L22:L30,'Bach et al. (2025)'!Q22:Q30)  + SUMPRODUCT('Bach et al. (2025)'!U22:U30,'Bach et al. (2025)'!Q22:Q30) )/SUM('Bach et al. (2025)'!Q22:Q30)</f>
        <v>0.23590773894193987</v>
      </c>
      <c r="H15" s="96">
        <v>0.108</v>
      </c>
      <c r="I15" s="96">
        <f>WID!O6</f>
        <v>5.1621534096552013E-2</v>
      </c>
      <c r="J15" s="96">
        <f>WID!O37</f>
        <v>5.3136388737166973E-2</v>
      </c>
      <c r="K15" s="96">
        <f>WID!O$66</f>
        <v>5.452234777918008E-3</v>
      </c>
      <c r="L15" s="152">
        <f t="shared" ref="L15:L18" si="2">H15*G15</f>
        <v>2.5478035805729504E-2</v>
      </c>
      <c r="M15" s="159">
        <f>D15*(1+I15)^9</f>
        <v>1656180.4068797808</v>
      </c>
      <c r="N15" s="159">
        <f>E15*(1+J15)^9</f>
        <v>997552.82991401909</v>
      </c>
      <c r="O15" s="89">
        <f t="shared" ref="O15:O18" si="3">(N15/H15)/1000000</f>
        <v>9.23660027698166</v>
      </c>
      <c r="P15" s="98">
        <f>M15/(M15-N15)</f>
        <v>2.5145931704069477</v>
      </c>
      <c r="Q15" s="98">
        <f t="shared" ref="Q15:Q17" si="4">P15*(1-(N15/N16)^(P15-1))</f>
        <v>2.2606245337993567</v>
      </c>
      <c r="R15" s="99">
        <f>MIN(1,MAX((M$22^(-Q15+1)-O16^(-Q15+1))/(O15^(-Q15+1)-O16^(-Q15+1)),0))</f>
        <v>0</v>
      </c>
      <c r="S15" s="162">
        <f>MIN(1,MAX((M$22^(-Q15)-O16^(-Q15))/(O15^(-Q15)-O16^(-Q15)),0))*B15*(1+K15)^9</f>
        <v>0</v>
      </c>
      <c r="T15" s="64">
        <f>F15</f>
        <v>0.50877222245842335</v>
      </c>
      <c r="U15" s="65">
        <f>F15+MAX(0,M$23/H15-G15)*R15</f>
        <v>0.50877222245842335</v>
      </c>
      <c r="V15" s="164">
        <f>(U15-T15)*M15*B15*(1+K15)^9/1000000</f>
        <v>0</v>
      </c>
      <c r="W15" s="37"/>
      <c r="X15" s="40"/>
      <c r="Y15" s="34"/>
    </row>
    <row r="16" spans="1:26" ht="15" customHeight="1">
      <c r="A16" s="38" t="s">
        <v>8</v>
      </c>
      <c r="B16" s="22">
        <f>'Bach et al. (2025)'!C17 - 'Bach et al. (2025)'!C18</f>
        <v>3405</v>
      </c>
      <c r="C16" s="24">
        <f>('Bach et al. (2025)'!F17-'Bach et al. (2025)'!F18)/100</f>
        <v>1.34E-2</v>
      </c>
      <c r="D16" s="54">
        <f>('Bach et al. (2025)'!C17*'Bach et al. (2025)'!E17 - 'Bach et al. (2025)'!E18*'Bach et al. (2025)'!C18)/('Bach et al. (2025)'!C17-'Bach et al. (2025)'!C18)</f>
        <v>4892164.7577092508</v>
      </c>
      <c r="E16" s="51">
        <f>'Bach et al. (2025)'!D17</f>
        <v>2592000</v>
      </c>
      <c r="F16" s="20">
        <f xml:space="preserve"> SUMPRODUCT('Bach et al. (2025)'!W31:W39,'Bach et al. (2025)'!Q31:Q39)/SUM('Bach et al. (2025)'!Q31:Q39)</f>
        <v>0.4380084766044548</v>
      </c>
      <c r="G16" s="20">
        <f>(SUMPRODUCT('Bach et al. (2025)'!I31:I39,'Bach et al. (2025)'!Q31:Q39) +SUMPRODUCT('Bach et al. (2025)'!J31:J39,'Bach et al. (2025)'!Q31:Q39) + SUMPRODUCT('Bach et al. (2025)'!L31:L39,'Bach et al. (2025)'!Q31:Q39) + + SUMPRODUCT('Bach et al. (2025)'!U31:U39,'Bach et al. (2025)'!Q31:Q39))/SUM('Bach et al. (2025)'!Q31:Q39)</f>
        <v>0.16326935047832869</v>
      </c>
      <c r="H16" s="96">
        <v>8.3000000000000004E-2</v>
      </c>
      <c r="I16" s="96">
        <f>WID!O7</f>
        <v>6.7228318747607929E-2</v>
      </c>
      <c r="J16" s="96">
        <f>WID!O38</f>
        <v>6.406053093993247E-2</v>
      </c>
      <c r="K16" s="96">
        <f>WID!O$66</f>
        <v>5.452234777918008E-3</v>
      </c>
      <c r="L16" s="152">
        <f t="shared" si="2"/>
        <v>1.3551356089701282E-2</v>
      </c>
      <c r="M16" s="159">
        <f>D16*(1+I16)^9</f>
        <v>8786524.8313944284</v>
      </c>
      <c r="N16" s="159">
        <f>E16*(1+J16)^9</f>
        <v>4532439.3935598843</v>
      </c>
      <c r="O16" s="89">
        <f t="shared" si="3"/>
        <v>54.607703536866076</v>
      </c>
      <c r="P16" s="98">
        <f>M16/(M16-N16)</f>
        <v>2.0654321498223203</v>
      </c>
      <c r="Q16" s="98">
        <f t="shared" si="4"/>
        <v>1.8302844816851287</v>
      </c>
      <c r="R16" s="99">
        <f>MIN(1,MAX((M$22^(-Q16+1)-O17^(-Q16+1))/(O16^(-Q16+1)-O17^(-Q16+1)),0))</f>
        <v>0.52585225635814559</v>
      </c>
      <c r="S16" s="162">
        <f>MIN(1,MAX((M$22^(-Q16)-O17^(-Q16))/(O16^(-Q16)-O17^(-Q16)),0))*B16*(1+K16)^9</f>
        <v>1134.2491891316806</v>
      </c>
      <c r="T16" s="64">
        <f>F16</f>
        <v>0.4380084766044548</v>
      </c>
      <c r="U16" s="65">
        <f>F16+MAX(0,M$23/H16-G16)*R16</f>
        <v>0.4380084766044548</v>
      </c>
      <c r="V16" s="164">
        <f>(U16-T16)*M16*B16*(1+K16)^9/1000000</f>
        <v>0</v>
      </c>
      <c r="W16" s="37"/>
      <c r="X16" s="40"/>
      <c r="Y16" s="34"/>
    </row>
    <row r="17" spans="1:25" s="85" customFormat="1" ht="15" customHeight="1">
      <c r="A17" s="38" t="s">
        <v>195</v>
      </c>
      <c r="B17" s="22">
        <f>'Bach et al. (2025)'!C18 - 'Bach et al. (2025)'!C19</f>
        <v>303</v>
      </c>
      <c r="C17" s="24">
        <f>('Bach et al. (2025)'!F18-'Bach et al. (2025)'!F19)/100</f>
        <v>6.5999999999999991E-3</v>
      </c>
      <c r="D17" s="54">
        <f>('Bach et al. (2025)'!C18*'Bach et al. (2025)'!E18 - 'Bach et al. (2025)'!E19*'Bach et al. (2025)'!C19)/('Bach et al. (2025)'!C18-'Bach et al. (2025)'!C19)</f>
        <v>27015277.227722771</v>
      </c>
      <c r="E17" s="51">
        <f>'Bach et al. (2025)'!D18</f>
        <v>14876000</v>
      </c>
      <c r="F17" s="20">
        <f xml:space="preserve"> AVERAGE('Bach et al. (2025)'!W40:W44)</f>
        <v>0.32008638847721715</v>
      </c>
      <c r="G17" s="20">
        <f xml:space="preserve"> AVERAGE('Bach et al. (2025)'!I40:I44) + AVERAGE('Bach et al. (2025)'!J40:J44) + AVERAGE('Bach et al. (2025)'!L40:L44) + + AVERAGE('Bach et al. (2025)'!U40:U44)</f>
        <v>7.3443388477217139E-2</v>
      </c>
      <c r="H17" s="96">
        <v>7.3999999999999996E-2</v>
      </c>
      <c r="I17" s="96">
        <f>WID!O8</f>
        <v>0.10834128077179117</v>
      </c>
      <c r="J17" s="96">
        <f>WID!O39</f>
        <v>9.9163811673651514E-2</v>
      </c>
      <c r="K17" s="96">
        <f>WID!O$66</f>
        <v>5.452234777918008E-3</v>
      </c>
      <c r="L17" s="152">
        <f t="shared" si="2"/>
        <v>5.4348107473140683E-3</v>
      </c>
      <c r="M17" s="159">
        <f>D17*(1+I17)^9</f>
        <v>68182199.988809556</v>
      </c>
      <c r="N17" s="159">
        <f>E17*(1+J17)^9</f>
        <v>34837578.696328811</v>
      </c>
      <c r="O17" s="89">
        <f t="shared" si="3"/>
        <v>470.77809049092991</v>
      </c>
      <c r="P17" s="98">
        <f>M17/(M17-N17)</f>
        <v>2.0447735600519397</v>
      </c>
      <c r="Q17" s="98">
        <f t="shared" si="4"/>
        <v>1.5809387611677876</v>
      </c>
      <c r="R17" s="99">
        <f>MIN(1,MAX((M$22^(-Q17+1)-O18^(-Q17+1))/(O17^(-Q17+1)-O18^(-Q17+1)),0))</f>
        <v>1</v>
      </c>
      <c r="S17" s="162">
        <f>MIN(1,MAX((M$22^(-Q17)-O18^(-Q17))/(O17^(-Q17)-O18^(-Q17)),0))*B17*(1+K17)^9</f>
        <v>318.19666399993014</v>
      </c>
      <c r="T17" s="64">
        <f>F17</f>
        <v>0.32008638847721715</v>
      </c>
      <c r="U17" s="65">
        <f>F17+MAX(0,M$23/H17-G17)*R17</f>
        <v>0.32008638847721715</v>
      </c>
      <c r="V17" s="164">
        <f>(U17-T17)*M17*B17*(1+K17)^9/1000000</f>
        <v>0</v>
      </c>
      <c r="W17" s="37"/>
      <c r="X17" s="40"/>
      <c r="Y17" s="34"/>
    </row>
    <row r="18" spans="1:25" ht="15" customHeight="1">
      <c r="A18" s="38" t="s">
        <v>197</v>
      </c>
      <c r="B18" s="22">
        <f>'Bach et al. (2025)'!C19</f>
        <v>75</v>
      </c>
      <c r="C18" s="24">
        <f>'Bach et al. (2025)'!F19/100</f>
        <v>1.3100000000000001E-2</v>
      </c>
      <c r="D18" s="74">
        <f>'Bach et al. (2025)'!E19</f>
        <v>217289000</v>
      </c>
      <c r="E18" s="51">
        <f>'Bach et al. (2025)'!D19</f>
        <v>61540000</v>
      </c>
      <c r="F18" s="20">
        <f>'Bach et al. (2025)'!W45</f>
        <v>0.25565606750339703</v>
      </c>
      <c r="G18" s="20">
        <f xml:space="preserve"> 'Bach et al. (2025)'!I45 + 'Bach et al. (2025)'!J45 + 'Bach et al. (2025)'!L45 + 'Bach et al. (2025)'!U45</f>
        <v>2.1091067503397044E-2</v>
      </c>
      <c r="H18" s="96">
        <v>7.0000000000000007E-2</v>
      </c>
      <c r="I18" s="96">
        <f>WID!O8</f>
        <v>0.10834128077179117</v>
      </c>
      <c r="J18" s="96">
        <f>WID!O39</f>
        <v>9.9163811673651514E-2</v>
      </c>
      <c r="K18" s="96">
        <f>WID!O$66</f>
        <v>5.452234777918008E-3</v>
      </c>
      <c r="L18" s="152">
        <f t="shared" si="2"/>
        <v>1.4763747252377933E-3</v>
      </c>
      <c r="M18" s="160">
        <f>D18*(1+I18)^9</f>
        <v>548402369.83262217</v>
      </c>
      <c r="N18" s="160">
        <f>E18*(1+J18)^9</f>
        <v>144118351.23501444</v>
      </c>
      <c r="O18" s="89">
        <f t="shared" si="3"/>
        <v>2058.8335890716344</v>
      </c>
      <c r="P18" s="98">
        <f>M18/(M18-N18)</f>
        <v>1.3564779823227651</v>
      </c>
      <c r="Q18" s="98"/>
      <c r="R18" s="99">
        <f>IF(M$22&lt;=O18, 1, (O18/M$22)^(P18-1))</f>
        <v>1</v>
      </c>
      <c r="S18" s="163">
        <f>IF(M$22&lt;=O18, 1, (O18/M$22)^P18)*B18*(1+K18)^9</f>
        <v>78.761550495032225</v>
      </c>
      <c r="T18" s="64">
        <v>0.26</v>
      </c>
      <c r="U18" s="65">
        <f>T18+MAX(0,M$23/H18-G18)*R18</f>
        <v>0.26</v>
      </c>
      <c r="V18" s="164">
        <f>(U18-T18)*M18*B18*(1+K18)^9/1000000</f>
        <v>0</v>
      </c>
      <c r="W18" s="37"/>
      <c r="X18" s="40"/>
      <c r="Y18" s="34"/>
    </row>
    <row r="19" spans="1:25" ht="15" customHeight="1">
      <c r="A19" s="38"/>
      <c r="G19" s="34"/>
      <c r="H19" s="94"/>
      <c r="Q19" s="97"/>
      <c r="R19" s="97"/>
      <c r="S19" s="72">
        <f>SUM(S14:S18)</f>
        <v>1531.2074036266431</v>
      </c>
      <c r="V19" s="72">
        <f>SUM(V14:V18)</f>
        <v>0</v>
      </c>
      <c r="W19" s="37"/>
      <c r="X19" s="40"/>
      <c r="Y19" s="34"/>
    </row>
    <row r="20" spans="1:25" ht="15" customHeight="1">
      <c r="B20" s="6" t="s">
        <v>374</v>
      </c>
      <c r="C20" s="6"/>
      <c r="D20" s="6"/>
      <c r="E20" s="6"/>
      <c r="F20" s="6"/>
      <c r="G20" s="6"/>
      <c r="H20" s="95"/>
      <c r="V20" s="46"/>
      <c r="W20" s="37"/>
      <c r="X20" s="40"/>
      <c r="Y20" s="33"/>
    </row>
    <row r="21" spans="1:25" ht="15" customHeight="1">
      <c r="B21" t="s">
        <v>377</v>
      </c>
      <c r="G21" s="34"/>
      <c r="L21" s="254" t="s">
        <v>61</v>
      </c>
      <c r="M21" s="254"/>
      <c r="T21" s="254" t="s">
        <v>211</v>
      </c>
      <c r="U21" s="254"/>
      <c r="V21" s="254"/>
      <c r="W21" s="37"/>
      <c r="X21" s="40"/>
      <c r="Y21" s="33"/>
    </row>
    <row r="22" spans="1:25" ht="15" customHeight="1">
      <c r="B22" t="s">
        <v>383</v>
      </c>
      <c r="G22" s="34"/>
      <c r="L22" s="38" t="s">
        <v>58</v>
      </c>
      <c r="M22" s="3">
        <v>100</v>
      </c>
      <c r="T22" s="119">
        <f>+V19</f>
        <v>0</v>
      </c>
      <c r="U22" s="5">
        <v>0.02</v>
      </c>
      <c r="V22" s="5">
        <v>0.03</v>
      </c>
      <c r="W22" s="37"/>
      <c r="X22" s="40"/>
      <c r="Y22" s="33"/>
    </row>
    <row r="23" spans="1:25" ht="15" customHeight="1">
      <c r="D23" s="31"/>
      <c r="E23" s="31"/>
      <c r="F23" s="31"/>
      <c r="G23" s="34"/>
      <c r="I23" s="107"/>
      <c r="L23" s="38" t="s">
        <v>59</v>
      </c>
      <c r="M23" s="9">
        <v>0</v>
      </c>
      <c r="T23" s="22">
        <v>100</v>
      </c>
      <c r="U23" s="66">
        <f t="dataTable" ref="U23:V24" dt2D="1" dtr="1" r1="M23" r2="M22"/>
        <v>16983.738265907796</v>
      </c>
      <c r="V23" s="66">
        <v>28076.522816203</v>
      </c>
      <c r="W23" s="37"/>
      <c r="X23" s="40"/>
      <c r="Y23" s="33"/>
    </row>
    <row r="24" spans="1:25" ht="15" customHeight="1">
      <c r="D24" s="3"/>
      <c r="E24" s="3"/>
      <c r="F24" s="10"/>
      <c r="G24" s="32"/>
      <c r="I24" s="107"/>
      <c r="T24" s="22">
        <v>1000</v>
      </c>
      <c r="U24" s="66">
        <v>13070.686827883683</v>
      </c>
      <c r="V24" s="66">
        <v>20367.647263003084</v>
      </c>
      <c r="W24" s="40"/>
      <c r="X24" s="40"/>
      <c r="Y24" s="33"/>
    </row>
    <row r="25" spans="1:25" ht="14.4" customHeight="1">
      <c r="D25" s="9"/>
      <c r="E25" s="9"/>
      <c r="F25" s="9"/>
      <c r="G25" s="32"/>
      <c r="I25" s="107"/>
      <c r="W25" s="40"/>
      <c r="X25" s="40"/>
      <c r="Y25" s="33"/>
    </row>
    <row r="26" spans="1:25">
      <c r="A26" s="36"/>
      <c r="B26" s="35"/>
      <c r="C26" s="35"/>
      <c r="D26" s="35"/>
      <c r="E26" s="205"/>
      <c r="F26" s="35"/>
      <c r="G26" s="32"/>
      <c r="H26" s="26"/>
      <c r="I26" s="107"/>
      <c r="W26" s="40"/>
      <c r="X26" s="40"/>
      <c r="Y26" s="33"/>
    </row>
    <row r="27" spans="1:25">
      <c r="A27" s="43"/>
      <c r="B27" s="43"/>
      <c r="C27" s="43"/>
      <c r="D27" s="43"/>
      <c r="E27" s="43"/>
      <c r="F27" s="43"/>
      <c r="G27" s="43"/>
      <c r="H27" s="26"/>
      <c r="I27" s="107"/>
      <c r="K27" s="43"/>
      <c r="L27" s="43"/>
      <c r="M27" s="43"/>
      <c r="N27" s="43"/>
      <c r="O27" s="43"/>
      <c r="P27" s="43"/>
      <c r="Q27" s="43"/>
      <c r="R27" s="43"/>
      <c r="S27" s="43"/>
      <c r="T27" s="43"/>
      <c r="U27" s="43"/>
      <c r="V27" s="43"/>
    </row>
    <row r="28" spans="1:25">
      <c r="D28" s="81"/>
      <c r="H28" s="26"/>
      <c r="I28" s="107"/>
    </row>
    <row r="29" spans="1:25">
      <c r="B29" s="210"/>
    </row>
    <row r="30" spans="1:25">
      <c r="A30" s="41"/>
      <c r="B30" s="43"/>
      <c r="C30" s="187"/>
      <c r="D30" s="43"/>
      <c r="E30" s="43"/>
      <c r="F30" s="43"/>
      <c r="G30" s="43"/>
      <c r="H30" s="43"/>
      <c r="I30" s="43"/>
      <c r="J30" s="43"/>
      <c r="K30" s="43"/>
      <c r="L30" s="43"/>
      <c r="M30" s="43"/>
      <c r="N30" s="43"/>
      <c r="O30" s="43"/>
      <c r="P30" s="43"/>
      <c r="Q30" s="43"/>
      <c r="R30" s="43"/>
      <c r="S30" s="43"/>
      <c r="T30" s="43"/>
      <c r="U30" s="43"/>
      <c r="V30" s="43"/>
    </row>
    <row r="31" spans="1:25">
      <c r="A31" s="43"/>
      <c r="B31" s="43"/>
      <c r="C31" s="43"/>
      <c r="D31" s="43"/>
      <c r="E31" s="43"/>
      <c r="F31" s="43"/>
      <c r="G31" s="43"/>
      <c r="H31" s="43"/>
      <c r="I31" s="43"/>
      <c r="J31" s="43"/>
      <c r="K31" s="43"/>
      <c r="L31" s="43"/>
      <c r="M31" s="43"/>
      <c r="N31" s="43"/>
      <c r="O31" s="43"/>
      <c r="P31" s="43"/>
      <c r="Q31" s="43"/>
      <c r="R31" s="43"/>
      <c r="S31" s="43"/>
      <c r="T31" s="43"/>
      <c r="U31" s="43"/>
      <c r="V31" s="43"/>
    </row>
    <row r="32" spans="1:25">
      <c r="A32" s="43"/>
      <c r="B32" s="43"/>
      <c r="C32" s="43"/>
      <c r="D32" s="43"/>
      <c r="E32" s="43"/>
      <c r="F32" s="43"/>
      <c r="G32" s="43"/>
      <c r="V32" s="43"/>
    </row>
    <row r="33" spans="1:22">
      <c r="A33" s="43"/>
      <c r="B33" s="43"/>
      <c r="C33" s="43"/>
      <c r="D33" s="43"/>
      <c r="E33" s="43"/>
      <c r="F33" s="43"/>
      <c r="G33" s="43"/>
      <c r="H33" s="47"/>
      <c r="I33" s="47"/>
      <c r="J33" s="47"/>
      <c r="K33" s="47"/>
      <c r="L33" s="47"/>
      <c r="M33" s="47"/>
      <c r="N33" s="47"/>
      <c r="O33" s="47"/>
      <c r="P33" s="47"/>
      <c r="Q33" s="47"/>
      <c r="R33" s="47"/>
      <c r="S33" s="47"/>
      <c r="T33" s="47"/>
      <c r="U33" s="47"/>
      <c r="V33" s="43"/>
    </row>
    <row r="34" spans="1:22">
      <c r="H34" s="43"/>
      <c r="I34" s="43"/>
      <c r="J34" s="43"/>
      <c r="K34" s="43"/>
      <c r="L34" s="43"/>
      <c r="M34" s="43"/>
      <c r="N34" s="43"/>
      <c r="O34" s="43"/>
      <c r="P34" s="43"/>
      <c r="Q34" s="43"/>
      <c r="R34" s="43"/>
      <c r="S34" s="43"/>
      <c r="T34" s="43"/>
      <c r="U34" s="43"/>
    </row>
  </sheetData>
  <mergeCells count="6">
    <mergeCell ref="W2:Y2"/>
    <mergeCell ref="B2:G2"/>
    <mergeCell ref="T21:V21"/>
    <mergeCell ref="H2:K2"/>
    <mergeCell ref="L2:V2"/>
    <mergeCell ref="L21:M21"/>
  </mergeCells>
  <pageMargins left="0.7" right="0.7" top="0.75" bottom="0.75" header="0.3" footer="0.3"/>
  <pageSetup paperSize="9" orientation="portrait" r:id="rId1"/>
  <ignoredErrors>
    <ignoredError sqref="G4 G9 G13:G18 F14:F18" formulaRange="1"/>
  </ignoredErrors>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B5188E-3A99-448A-8F7F-E68564FA703B}">
  <sheetPr>
    <tabColor theme="5"/>
  </sheetPr>
  <dimension ref="A1:V34"/>
  <sheetViews>
    <sheetView zoomScaleNormal="100" workbookViewId="0">
      <selection activeCell="G26" sqref="G26"/>
    </sheetView>
  </sheetViews>
  <sheetFormatPr baseColWidth="10" defaultRowHeight="14.4"/>
  <cols>
    <col min="2" max="2" width="11.44140625" customWidth="1"/>
    <col min="3" max="3" width="11.44140625" style="85" customWidth="1"/>
    <col min="4" max="6" width="11.44140625" customWidth="1"/>
    <col min="9" max="10" width="11.44140625" style="85"/>
    <col min="12" max="12" width="11.44140625" style="85"/>
    <col min="15" max="17" width="11.44140625" style="85"/>
    <col min="19" max="19" width="11.44140625" style="85"/>
  </cols>
  <sheetData>
    <row r="1" spans="1:22" ht="15" customHeight="1">
      <c r="L1" s="29"/>
    </row>
    <row r="2" spans="1:22" ht="15" customHeight="1">
      <c r="A2" s="28"/>
      <c r="B2" s="253" t="s">
        <v>134</v>
      </c>
      <c r="C2" s="253"/>
      <c r="D2" s="253"/>
      <c r="E2" s="253"/>
      <c r="F2" s="253"/>
      <c r="G2" s="253"/>
      <c r="H2" s="255" t="s">
        <v>127</v>
      </c>
      <c r="I2" s="255"/>
      <c r="J2" s="255"/>
      <c r="K2" s="255"/>
      <c r="L2" s="256" t="s">
        <v>133</v>
      </c>
      <c r="M2" s="256"/>
      <c r="N2" s="256"/>
      <c r="O2" s="256"/>
      <c r="P2" s="256"/>
      <c r="Q2" s="256"/>
      <c r="R2" s="256"/>
      <c r="S2" s="256"/>
      <c r="T2" s="256"/>
      <c r="U2" s="256"/>
      <c r="V2" s="256"/>
    </row>
    <row r="3" spans="1:22" ht="45" customHeight="1">
      <c r="A3" s="39" t="s">
        <v>7</v>
      </c>
      <c r="B3" s="45" t="s">
        <v>177</v>
      </c>
      <c r="C3" s="45" t="s">
        <v>94</v>
      </c>
      <c r="D3" s="77" t="s">
        <v>17</v>
      </c>
      <c r="E3" s="77" t="s">
        <v>16</v>
      </c>
      <c r="F3" s="42" t="s">
        <v>55</v>
      </c>
      <c r="G3" s="42" t="s">
        <v>56</v>
      </c>
      <c r="H3" s="75" t="s">
        <v>60</v>
      </c>
      <c r="I3" s="161" t="s">
        <v>276</v>
      </c>
      <c r="J3" s="161" t="s">
        <v>277</v>
      </c>
      <c r="K3" s="161" t="s">
        <v>275</v>
      </c>
      <c r="L3" s="150" t="s">
        <v>278</v>
      </c>
      <c r="M3" s="77" t="s">
        <v>17</v>
      </c>
      <c r="N3" s="77" t="s">
        <v>16</v>
      </c>
      <c r="O3" s="105" t="s">
        <v>180</v>
      </c>
      <c r="P3" s="39" t="s">
        <v>178</v>
      </c>
      <c r="Q3" s="39" t="s">
        <v>179</v>
      </c>
      <c r="R3" s="39" t="s">
        <v>138</v>
      </c>
      <c r="S3" s="39" t="s">
        <v>176</v>
      </c>
      <c r="T3" s="105" t="s">
        <v>129</v>
      </c>
      <c r="U3" s="39" t="s">
        <v>128</v>
      </c>
      <c r="V3" s="105" t="s">
        <v>181</v>
      </c>
    </row>
    <row r="4" spans="1:22" ht="15" customHeight="1">
      <c r="A4" s="38" t="s">
        <v>18</v>
      </c>
      <c r="B4" s="112">
        <f>'Bruil et al. (2025)'!J5/5</f>
        <v>1333236.8</v>
      </c>
      <c r="C4" s="20">
        <f>'Bruil et al. (2025)'!$M$5*('Bach et al. (2025)'!F4-'Bach et al. (2025)'!F5)/('Bach et al. (2025)'!$F$4-'Bach et al. (2025)'!$F$9)</f>
        <v>1.8948296122209887E-3</v>
      </c>
      <c r="D4" s="62"/>
      <c r="E4" s="62"/>
      <c r="G4" s="8"/>
      <c r="H4" s="22"/>
      <c r="I4" s="22"/>
      <c r="J4" s="22"/>
      <c r="K4" s="22"/>
      <c r="L4" s="151"/>
      <c r="M4" s="76"/>
      <c r="N4" s="76"/>
      <c r="P4" s="5"/>
      <c r="Q4" s="5"/>
      <c r="R4" s="5"/>
      <c r="S4" s="5"/>
      <c r="T4" s="64"/>
      <c r="U4" s="65"/>
      <c r="V4" s="85"/>
    </row>
    <row r="5" spans="1:22" s="85" customFormat="1" ht="15" customHeight="1">
      <c r="A5" s="38" t="s">
        <v>19</v>
      </c>
      <c r="B5" s="112">
        <f>'Bruil et al. (2025)'!J5/5</f>
        <v>1333236.8</v>
      </c>
      <c r="C5" s="20">
        <f>'Bruil et al. (2025)'!$M$5*('Bach et al. (2025)'!F5-'Bach et al. (2025)'!F6)/('Bach et al. (2025)'!$F$4-'Bach et al. (2025)'!$F$9)</f>
        <v>2.6527614571092768E-2</v>
      </c>
      <c r="D5" s="62"/>
      <c r="E5" s="62"/>
      <c r="F5" s="20">
        <f>'Bruil et al. (2025)'!G4</f>
        <v>0.5066480362196637</v>
      </c>
      <c r="G5" s="8"/>
      <c r="H5" s="22"/>
      <c r="I5" s="22"/>
      <c r="J5" s="22"/>
      <c r="K5" s="22"/>
      <c r="L5" s="151"/>
      <c r="M5" s="76"/>
      <c r="N5" s="76"/>
      <c r="P5" s="5"/>
      <c r="Q5" s="5"/>
      <c r="R5" s="5"/>
      <c r="S5" s="5"/>
      <c r="T5" s="111">
        <f t="shared" ref="T5:T17" si="0">F5</f>
        <v>0.5066480362196637</v>
      </c>
      <c r="U5" s="60">
        <f>T5</f>
        <v>0.5066480362196637</v>
      </c>
    </row>
    <row r="6" spans="1:22" s="85" customFormat="1" ht="15" customHeight="1">
      <c r="A6" s="38" t="s">
        <v>20</v>
      </c>
      <c r="B6" s="112">
        <f>'Bruil et al. (2025)'!J5/5</f>
        <v>1333236.8</v>
      </c>
      <c r="C6" s="20">
        <f>'Bruil et al. (2025)'!$M$5*('Bach et al. (2025)'!F6-'Bach et al. (2025)'!F7)/('Bach et al. (2025)'!$F$4-'Bach et al. (2025)'!$F$9)</f>
        <v>4.68654524089306E-2</v>
      </c>
      <c r="D6" s="62"/>
      <c r="E6" s="62"/>
      <c r="F6" s="20">
        <f>'Bruil et al. (2025)'!G5</f>
        <v>0.45769898635449813</v>
      </c>
      <c r="G6" s="8"/>
      <c r="H6" s="22"/>
      <c r="I6" s="22"/>
      <c r="J6" s="22"/>
      <c r="K6" s="22"/>
      <c r="L6" s="151"/>
      <c r="M6" s="76"/>
      <c r="N6" s="76"/>
      <c r="P6" s="5"/>
      <c r="Q6" s="5"/>
      <c r="R6" s="5"/>
      <c r="S6" s="5"/>
      <c r="T6" s="111">
        <f t="shared" si="0"/>
        <v>0.45769898635449813</v>
      </c>
      <c r="U6" s="60">
        <f t="shared" ref="U6:U8" si="1">T6</f>
        <v>0.45769898635449813</v>
      </c>
    </row>
    <row r="7" spans="1:22" s="85" customFormat="1" ht="15" customHeight="1">
      <c r="A7" s="38" t="s">
        <v>21</v>
      </c>
      <c r="B7" s="112">
        <f>'Bruil et al. (2025)'!J5/5</f>
        <v>1333236.8</v>
      </c>
      <c r="C7" s="20">
        <f>'Bruil et al. (2025)'!$M$5*('Bach et al. (2025)'!F7-'Bach et al. (2025)'!F8)/('Bach et al. (2025)'!$F$4-'Bach et al. (2025)'!$F$9)</f>
        <v>6.1392479435957707E-2</v>
      </c>
      <c r="D7" s="62"/>
      <c r="E7" s="62"/>
      <c r="F7" s="20">
        <f>'Bruil et al. (2025)'!G6</f>
        <v>0.45706849211498607</v>
      </c>
      <c r="G7" s="8"/>
      <c r="H7" s="22"/>
      <c r="I7" s="22"/>
      <c r="J7" s="22"/>
      <c r="K7" s="22"/>
      <c r="L7" s="151"/>
      <c r="M7" s="76"/>
      <c r="N7" s="76"/>
      <c r="P7" s="5"/>
      <c r="Q7" s="5"/>
      <c r="R7" s="5"/>
      <c r="S7" s="5"/>
      <c r="T7" s="111">
        <f t="shared" si="0"/>
        <v>0.45706849211498607</v>
      </c>
      <c r="U7" s="60">
        <f t="shared" si="1"/>
        <v>0.45706849211498607</v>
      </c>
    </row>
    <row r="8" spans="1:22" s="85" customFormat="1" ht="15" customHeight="1">
      <c r="A8" s="38" t="s">
        <v>22</v>
      </c>
      <c r="B8" s="112">
        <f>'Bruil et al. (2025)'!J5/5</f>
        <v>1333236.8</v>
      </c>
      <c r="C8" s="20">
        <f>'Bruil et al. (2025)'!$M$5*('Bach et al. (2025)'!F8-'Bach et al. (2025)'!F9)/('Bach et al. (2025)'!$F$4-'Bach et al. (2025)'!$F$9)</f>
        <v>7.8319623971797939E-2</v>
      </c>
      <c r="D8" s="62"/>
      <c r="E8" s="62"/>
      <c r="F8" s="20">
        <f>'Bruil et al. (2025)'!G7</f>
        <v>0.46145334091653567</v>
      </c>
      <c r="G8" s="8"/>
      <c r="H8" s="22"/>
      <c r="I8" s="22"/>
      <c r="J8" s="22"/>
      <c r="K8" s="22"/>
      <c r="L8" s="151"/>
      <c r="M8" s="76"/>
      <c r="N8" s="76"/>
      <c r="P8" s="5"/>
      <c r="Q8" s="5"/>
      <c r="R8" s="5"/>
      <c r="S8" s="5"/>
      <c r="T8" s="111">
        <f t="shared" si="0"/>
        <v>0.46145334091653567</v>
      </c>
      <c r="U8" s="60">
        <f t="shared" si="1"/>
        <v>0.46145334091653567</v>
      </c>
    </row>
    <row r="9" spans="1:22" ht="15" customHeight="1">
      <c r="A9" s="38" t="s">
        <v>23</v>
      </c>
      <c r="B9" s="112">
        <f>'Bruil et al. (2025)'!J6/4</f>
        <v>1333236.75</v>
      </c>
      <c r="C9" s="20">
        <f>'Bruil et al. (2025)'!$M$6*('Bach et al. (2025)'!F9-'Bach et al. (2025)'!F10)/('Bach et al. (2025)'!$F$9-'Bach et al. (2025)'!$F$13)</f>
        <v>7.231404583616971E-2</v>
      </c>
      <c r="D9" s="62"/>
      <c r="E9" s="62"/>
      <c r="F9" s="20">
        <f>'Bruil et al. (2025)'!G8</f>
        <v>0.46669341193504599</v>
      </c>
      <c r="G9" s="8"/>
      <c r="H9" s="22"/>
      <c r="I9" s="22"/>
      <c r="J9" s="22"/>
      <c r="K9" s="22"/>
      <c r="L9" s="151"/>
      <c r="M9" s="76"/>
      <c r="N9" s="76"/>
      <c r="P9" s="5"/>
      <c r="Q9" s="5"/>
      <c r="R9" s="5"/>
      <c r="S9" s="5"/>
      <c r="T9" s="111">
        <f t="shared" si="0"/>
        <v>0.46669341193504599</v>
      </c>
      <c r="U9" s="60">
        <f>T9</f>
        <v>0.46669341193504599</v>
      </c>
      <c r="V9" s="85"/>
    </row>
    <row r="10" spans="1:22" s="85" customFormat="1" ht="15" customHeight="1">
      <c r="A10" s="38" t="s">
        <v>24</v>
      </c>
      <c r="B10" s="112">
        <f>'Bruil et al. (2025)'!J6/4</f>
        <v>1333236.75</v>
      </c>
      <c r="C10" s="20">
        <f>'Bruil et al. (2025)'!$M$6*('Bach et al. (2025)'!F10-'Bach et al. (2025)'!F11)/('Bach et al. (2025)'!$F$9-'Bach et al. (2025)'!$F$13)</f>
        <v>8.9901293396868656E-2</v>
      </c>
      <c r="D10" s="62"/>
      <c r="E10" s="62"/>
      <c r="F10" s="20">
        <f>'Bruil et al. (2025)'!G9</f>
        <v>0.4742014576072241</v>
      </c>
      <c r="G10" s="8"/>
      <c r="H10" s="22"/>
      <c r="I10" s="22"/>
      <c r="J10" s="22"/>
      <c r="K10" s="22"/>
      <c r="L10" s="151"/>
      <c r="M10" s="76"/>
      <c r="N10" s="76"/>
      <c r="P10" s="5"/>
      <c r="Q10" s="5"/>
      <c r="R10" s="5"/>
      <c r="S10" s="5"/>
      <c r="T10" s="111">
        <f t="shared" si="0"/>
        <v>0.4742014576072241</v>
      </c>
      <c r="U10" s="60">
        <f t="shared" ref="U10:U12" si="2">T10</f>
        <v>0.4742014576072241</v>
      </c>
    </row>
    <row r="11" spans="1:22" s="85" customFormat="1" ht="15" customHeight="1">
      <c r="A11" s="38" t="s">
        <v>25</v>
      </c>
      <c r="B11" s="112">
        <f>'Bruil et al. (2025)'!J6/4</f>
        <v>1333236.75</v>
      </c>
      <c r="C11" s="20">
        <f>'Bruil et al. (2025)'!$M$6*('Bach et al. (2025)'!F11-'Bach et al. (2025)'!F12)/('Bach et al. (2025)'!$F$9-'Bach et al. (2025)'!$F$13)</f>
        <v>0.11495575221238931</v>
      </c>
      <c r="D11" s="62"/>
      <c r="E11" s="62"/>
      <c r="F11" s="20">
        <f>'Bruil et al. (2025)'!G10</f>
        <v>0.4830582560814779</v>
      </c>
      <c r="G11" s="8"/>
      <c r="H11" s="22"/>
      <c r="I11" s="22"/>
      <c r="J11" s="22"/>
      <c r="K11" s="22"/>
      <c r="L11" s="151"/>
      <c r="M11" s="76"/>
      <c r="N11" s="76"/>
      <c r="P11" s="5"/>
      <c r="Q11" s="5"/>
      <c r="R11" s="5"/>
      <c r="S11" s="5"/>
      <c r="T11" s="111">
        <f t="shared" si="0"/>
        <v>0.4830582560814779</v>
      </c>
      <c r="U11" s="60">
        <f t="shared" si="2"/>
        <v>0.4830582560814779</v>
      </c>
    </row>
    <row r="12" spans="1:22" s="85" customFormat="1" ht="15" customHeight="1">
      <c r="A12" s="38" t="s">
        <v>26</v>
      </c>
      <c r="B12" s="112">
        <f>'Bruil et al. (2025)'!J6/4</f>
        <v>1333236.75</v>
      </c>
      <c r="C12" s="20">
        <f>'Bruil et al. (2025)'!$M$6*('Bach et al. (2025)'!F12-'Bach et al. (2025)'!F13)/('Bach et al. (2025)'!$F$9-'Bach et al. (2025)'!$F$13)</f>
        <v>0.15582890855457229</v>
      </c>
      <c r="D12" s="62"/>
      <c r="E12" s="62"/>
      <c r="F12" s="20">
        <f>'Bruil et al. (2025)'!G11</f>
        <v>0.48627090260930617</v>
      </c>
      <c r="G12" s="8"/>
      <c r="H12" s="22"/>
      <c r="I12" s="22"/>
      <c r="J12" s="22"/>
      <c r="K12" s="22"/>
      <c r="L12" s="151"/>
      <c r="M12" s="76"/>
      <c r="N12" s="76"/>
      <c r="P12" s="5"/>
      <c r="Q12" s="5"/>
      <c r="R12" s="5"/>
      <c r="S12" s="5"/>
      <c r="T12" s="111">
        <f t="shared" si="0"/>
        <v>0.48627090260930617</v>
      </c>
      <c r="U12" s="60">
        <f t="shared" si="2"/>
        <v>0.48627090260930617</v>
      </c>
    </row>
    <row r="13" spans="1:22" ht="15" customHeight="1">
      <c r="A13" s="38" t="s">
        <v>27</v>
      </c>
      <c r="B13" s="112">
        <f>'Bruil et al. (2025)'!J7-'Bruil et al. (2025)'!J8</f>
        <v>1199913</v>
      </c>
      <c r="C13" s="20">
        <f>'Bruil et al. (2025)'!M7-'Bruil et al. (2025)'!M8</f>
        <v>0.21199999999999999</v>
      </c>
      <c r="D13" s="62"/>
      <c r="E13" s="62"/>
      <c r="F13" s="20">
        <f>'Bruil et al. (2025)'!G12</f>
        <v>0.43747518924444834</v>
      </c>
      <c r="G13" s="8"/>
      <c r="H13" s="22"/>
      <c r="I13" s="22"/>
      <c r="J13" s="22"/>
      <c r="K13" s="22"/>
      <c r="L13" s="151"/>
      <c r="M13" s="76"/>
      <c r="N13" s="76"/>
      <c r="P13" s="5"/>
      <c r="Q13" s="5"/>
      <c r="R13" s="5"/>
      <c r="S13" s="5"/>
      <c r="T13" s="111">
        <f t="shared" si="0"/>
        <v>0.43747518924444834</v>
      </c>
      <c r="U13" s="60">
        <f>T13</f>
        <v>0.43747518924444834</v>
      </c>
      <c r="V13" s="85"/>
    </row>
    <row r="14" spans="1:22" ht="15" customHeight="1">
      <c r="A14" s="38" t="s">
        <v>28</v>
      </c>
      <c r="B14" s="112">
        <f>'Bruil et al. (2025)'!J8-'Bruil et al. (2025)'!J9</f>
        <v>119991</v>
      </c>
      <c r="C14" s="20">
        <f>'Bruil et al. (2025)'!M8-'Bruil et al. (2025)'!M9</f>
        <v>7.9999999999999988E-2</v>
      </c>
      <c r="D14" s="62">
        <f>('Bruil et al. (2025)'!L8*'Bruil et al. (2025)'!J8-'Bruil et al. (2025)'!L9*'Bruil et al. (2025)'!J9)/('Bruil et al. (2025)'!J8-'Bruil et al. (2025)'!J9)</f>
        <v>395560.72587110702</v>
      </c>
      <c r="E14" s="62">
        <f>'Bruil et al. (2025)'!K8</f>
        <v>226162</v>
      </c>
      <c r="F14" s="20">
        <f>'Bruil et al. (2025)'!G13</f>
        <v>0.27181550522587439</v>
      </c>
      <c r="G14" s="20">
        <f>'Bruil et al. (2025)'!C13</f>
        <v>0.112275580459926</v>
      </c>
      <c r="H14" s="96">
        <v>0.13</v>
      </c>
      <c r="I14" s="96">
        <f>WID!O15</f>
        <v>5.2374180986976215E-2</v>
      </c>
      <c r="J14" s="96">
        <f>WID!O46</f>
        <v>5.2430927660569226E-2</v>
      </c>
      <c r="K14" s="20">
        <f>WID!O$68</f>
        <v>1.0294291033525527E-2</v>
      </c>
      <c r="L14" s="152">
        <f>H14*G14</f>
        <v>1.4595825459790381E-2</v>
      </c>
      <c r="M14" s="159">
        <f>D14*(1+I14)^9</f>
        <v>626245.79966620111</v>
      </c>
      <c r="N14" s="159">
        <f>E14*(1+J14)^9</f>
        <v>358230.08450106235</v>
      </c>
      <c r="O14" s="89">
        <f>(N14/H14)/1000000</f>
        <v>2.7556160346235563</v>
      </c>
      <c r="P14" s="98">
        <f>M14/(M14-N14)</f>
        <v>2.3366010432647117</v>
      </c>
      <c r="Q14" s="98">
        <f>P14*(1-(N14/N15)^(P14-1))</f>
        <v>1.9986133128952874</v>
      </c>
      <c r="R14" s="99">
        <f>MIN(1,MAX((M$22^(-Q14+1)-O15^(-Q14+1))/(O14^(-Q14+1)-O15^(-Q14+1)),0))</f>
        <v>0</v>
      </c>
      <c r="S14" s="162">
        <f>MIN(1,MAX((M$22^(-Q14)-O15^(-Q14))/(O14^(-Q14)-O15^(-Q14)),0))*B14*(1+K14)^9</f>
        <v>0</v>
      </c>
      <c r="T14" s="111">
        <f t="shared" si="0"/>
        <v>0.27181550522587439</v>
      </c>
      <c r="U14" s="60">
        <f>F14+MAX(0,M$23/H14-G14)*R14</f>
        <v>0.27181550522587439</v>
      </c>
      <c r="V14" s="164">
        <f>(U14-T14)*M14*B14*(1+K14)^9/1000000</f>
        <v>0</v>
      </c>
    </row>
    <row r="15" spans="1:22" ht="15" customHeight="1">
      <c r="A15" s="38" t="s">
        <v>29</v>
      </c>
      <c r="B15" s="112">
        <f>'Bruil et al. (2025)'!J9-'Bruil et al. (2025)'!J10</f>
        <v>11999</v>
      </c>
      <c r="C15" s="20">
        <f>'Bruil et al. (2025)'!M9-'Bruil et al. (2025)'!M10</f>
        <v>3.5999999999999997E-2</v>
      </c>
      <c r="D15" s="62">
        <f>('Bruil et al. (2025)'!L9*'Bruil et al. (2025)'!J9-'Bruil et al. (2025)'!L10*'Bruil et al. (2025)'!J10)/('Bruil et al. (2025)'!J9-'Bruil et al. (2025)'!J10)</f>
        <v>1780094.097341445</v>
      </c>
      <c r="E15" s="62">
        <f>'Bruil et al. (2025)'!K9</f>
        <v>1023879</v>
      </c>
      <c r="F15" s="20">
        <f>'Bruil et al. (2025)'!G14</f>
        <v>0.21413333398558623</v>
      </c>
      <c r="G15" s="20">
        <f>'Bruil et al. (2025)'!C14</f>
        <v>6.18723823742399E-2</v>
      </c>
      <c r="H15" s="96">
        <v>0.108</v>
      </c>
      <c r="I15" s="96">
        <f>WID!O16</f>
        <v>4.4324266203125129E-2</v>
      </c>
      <c r="J15" s="96">
        <f>WID!O47</f>
        <v>4.5024033244391193E-2</v>
      </c>
      <c r="K15" s="20">
        <f>WID!O$68</f>
        <v>1.0294291033525527E-2</v>
      </c>
      <c r="L15" s="152">
        <f t="shared" ref="L15:L18" si="3">H15*G15</f>
        <v>6.6822172964179092E-3</v>
      </c>
      <c r="M15" s="159">
        <f t="shared" ref="M15:M18" si="4">D15*(1+I15)^9</f>
        <v>2630033.5321973893</v>
      </c>
      <c r="N15" s="159">
        <f t="shared" ref="N15:N18" si="5">E15*(1+J15)^9</f>
        <v>1521896.5796325987</v>
      </c>
      <c r="O15" s="89">
        <f t="shared" ref="O15:O18" si="6">(N15/H15)/1000000</f>
        <v>14.091634996598136</v>
      </c>
      <c r="P15" s="98">
        <f>M15/(M15-N15)</f>
        <v>2.3733831148849953</v>
      </c>
      <c r="Q15" s="98">
        <f t="shared" ref="Q15:Q17" si="7">P15*(1-(N15/N16)^(P15-1))</f>
        <v>2.0478618170217007</v>
      </c>
      <c r="R15" s="99">
        <f>MIN(1,MAX((M$22^(-Q15+1)-O16^(-Q15+1))/(O15^(-Q15+1)-O16^(-Q15+1)),0))</f>
        <v>0</v>
      </c>
      <c r="S15" s="162">
        <f t="shared" ref="S15:S17" si="8">MIN(1,MAX((M$22^(-Q15)-O16^(-Q15))/(O15^(-Q15)-O16^(-Q15)),0))*B15*(1+K15)^9</f>
        <v>0</v>
      </c>
      <c r="T15" s="111">
        <f t="shared" si="0"/>
        <v>0.21413333398558623</v>
      </c>
      <c r="U15" s="60">
        <f>F15+MAX(0,M$23/H15-G15)*R15</f>
        <v>0.21413333398558623</v>
      </c>
      <c r="V15" s="164">
        <f t="shared" ref="V15:V18" si="9">(U15-T15)*M15*B15*(1+K15)^9/1000000</f>
        <v>0</v>
      </c>
    </row>
    <row r="16" spans="1:22" ht="15" customHeight="1">
      <c r="A16" s="38" t="s">
        <v>8</v>
      </c>
      <c r="B16" s="112">
        <f>'Bruil et al. (2025)'!J10-'Bruil et al. (2025)'!J11</f>
        <v>1200</v>
      </c>
      <c r="C16" s="20">
        <f>'Bruil et al. (2025)'!M10-'Bruil et al. (2025)'!M11</f>
        <v>1.6E-2</v>
      </c>
      <c r="D16" s="62">
        <f>('Bruil et al. (2025)'!L10*'Bruil et al. (2025)'!J10-'Bruil et al. (2025)'!L11*'Bruil et al. (2025)'!J11)/('Bruil et al. (2025)'!J10-'Bruil et al. (2025)'!J11)</f>
        <v>7606596.0483333329</v>
      </c>
      <c r="E16" s="62">
        <f>'Bruil et al. (2025)'!K10</f>
        <v>4372218</v>
      </c>
      <c r="F16" s="20">
        <f>'Bruil et al. (2025)'!G15</f>
        <v>0.1906130185859887</v>
      </c>
      <c r="G16" s="20">
        <f>'Bruil et al. (2025)'!C15</f>
        <v>4.4620931902958703E-2</v>
      </c>
      <c r="H16" s="96">
        <v>8.3000000000000004E-2</v>
      </c>
      <c r="I16" s="96">
        <f>WID!O17</f>
        <v>4.6466517123606277E-2</v>
      </c>
      <c r="J16" s="96">
        <f>WID!O48</f>
        <v>4.4427469339446857E-2</v>
      </c>
      <c r="K16" s="20">
        <f>WID!O$68</f>
        <v>1.0294291033525527E-2</v>
      </c>
      <c r="L16" s="152">
        <f t="shared" si="3"/>
        <v>3.7035373479455728E-3</v>
      </c>
      <c r="M16" s="159">
        <f t="shared" si="4"/>
        <v>11447703.904953305</v>
      </c>
      <c r="N16" s="159">
        <f t="shared" si="5"/>
        <v>6465563.4560158988</v>
      </c>
      <c r="O16" s="89">
        <f t="shared" si="6"/>
        <v>77.898354891757819</v>
      </c>
      <c r="P16" s="98">
        <f>M16/(M16-N16)</f>
        <v>2.2977481310055961</v>
      </c>
      <c r="Q16" s="98">
        <f t="shared" si="7"/>
        <v>1.930749442962638</v>
      </c>
      <c r="R16" s="99">
        <f>MIN(1,MAX((M$22^(-Q16+1)-O17^(-Q16+1))/(O16^(-Q16+1)-O17^(-Q16+1)),0))</f>
        <v>0.72666454426102223</v>
      </c>
      <c r="S16" s="162">
        <f t="shared" si="8"/>
        <v>784.63366388216991</v>
      </c>
      <c r="T16" s="111">
        <f t="shared" si="0"/>
        <v>0.1906130185859887</v>
      </c>
      <c r="U16" s="60">
        <f>F16+MAX(0,M$23/H16-G16)*R16</f>
        <v>0.33328845962360198</v>
      </c>
      <c r="V16" s="164">
        <f t="shared" si="9"/>
        <v>2149.2154188074751</v>
      </c>
    </row>
    <row r="17" spans="1:22" s="85" customFormat="1" ht="15" customHeight="1">
      <c r="A17" s="38" t="s">
        <v>195</v>
      </c>
      <c r="B17" s="112">
        <f>'Bruil et al. (2025)'!J11-'Bruil et al. (2025)'!J12</f>
        <v>120</v>
      </c>
      <c r="C17" s="20">
        <f>'Bruil et al. (2025)'!M11-'Bruil et al. (2025)'!M12</f>
        <v>6.000000000000001E-3</v>
      </c>
      <c r="D17" s="62">
        <f>('Bruil et al. (2025)'!L11*'Bruil et al. (2025)'!J11-'Bruil et al. (2025)'!L12*'Bruil et al. (2025)'!J12)/('Bruil et al. (2025)'!J11-'Bruil et al. (2025)'!J12)</f>
        <v>32324144.550000001</v>
      </c>
      <c r="E17" s="62">
        <f>'Bruil et al. (2025)'!K11</f>
        <v>18828918</v>
      </c>
      <c r="F17" s="20">
        <f>'Bruil et al. (2025)'!G16</f>
        <v>0.18179299414493499</v>
      </c>
      <c r="G17" s="20">
        <f>'Bruil et al. (2025)'!C16</f>
        <v>2.2128670383768902E-2</v>
      </c>
      <c r="H17" s="96">
        <v>7.3999999999999996E-2</v>
      </c>
      <c r="I17" s="96">
        <f>WID!O18</f>
        <v>3.6261401702052831E-2</v>
      </c>
      <c r="J17" s="96">
        <f>WID!O49</f>
        <v>3.9027330446761654E-2</v>
      </c>
      <c r="K17" s="20">
        <f>WID!O$68</f>
        <v>1.0294291033525527E-2</v>
      </c>
      <c r="L17" s="152">
        <f t="shared" si="3"/>
        <v>1.6375216083988986E-3</v>
      </c>
      <c r="M17" s="159">
        <f t="shared" si="4"/>
        <v>44540074.414910331</v>
      </c>
      <c r="N17" s="159">
        <f t="shared" si="5"/>
        <v>26574683.821830183</v>
      </c>
      <c r="O17" s="89">
        <f t="shared" si="6"/>
        <v>359.11734894365117</v>
      </c>
      <c r="P17" s="98">
        <f>M17/(M17-N17)</f>
        <v>2.4792154773448751</v>
      </c>
      <c r="Q17" s="98">
        <f t="shared" si="7"/>
        <v>2.2331689541972684</v>
      </c>
      <c r="R17" s="99">
        <f>MIN(1,MAX((M$22^(-Q17+1)-O18^(-Q17+1))/(O17^(-Q17+1)-O18^(-Q17+1)),0))</f>
        <v>1</v>
      </c>
      <c r="S17" s="162">
        <f t="shared" si="8"/>
        <v>131.58680314765448</v>
      </c>
      <c r="T17" s="111">
        <f t="shared" si="0"/>
        <v>0.18179299414493499</v>
      </c>
      <c r="U17" s="60">
        <f>F17+MAX(0,M$23/H17-G17)*R17</f>
        <v>0.42993459403143641</v>
      </c>
      <c r="V17" s="164">
        <f t="shared" si="9"/>
        <v>1454.3296298387334</v>
      </c>
    </row>
    <row r="18" spans="1:22" ht="15" customHeight="1">
      <c r="A18" s="38" t="s">
        <v>197</v>
      </c>
      <c r="B18" s="112">
        <f>'Bruil et al. (2025)'!J12</f>
        <v>14</v>
      </c>
      <c r="C18" s="20">
        <f>'Bruil et al. (2025)'!M12</f>
        <v>3.0000000000000001E-3</v>
      </c>
      <c r="D18" s="78">
        <f>'Bruil et al. (2025)'!L12</f>
        <v>111562388</v>
      </c>
      <c r="E18" s="62">
        <f>'Bruil et al. (2025)'!K12</f>
        <v>89761129</v>
      </c>
      <c r="F18" s="20">
        <f>'Bruil et al. (2025)'!G17</f>
        <v>0.16443377239026136</v>
      </c>
      <c r="G18" s="20">
        <f>'Bruil et al. (2025)'!C17</f>
        <v>2.30090312504326E-3</v>
      </c>
      <c r="H18" s="96">
        <v>7.0000000000000007E-2</v>
      </c>
      <c r="I18" s="96">
        <f>WID!O18</f>
        <v>3.6261401702052831E-2</v>
      </c>
      <c r="J18" s="96">
        <f>WID!O49</f>
        <v>3.9027330446761654E-2</v>
      </c>
      <c r="K18" s="20">
        <f>WID!O$68</f>
        <v>1.0294291033525527E-2</v>
      </c>
      <c r="L18" s="152">
        <f t="shared" si="3"/>
        <v>1.6106321875302822E-4</v>
      </c>
      <c r="M18" s="159">
        <f t="shared" si="4"/>
        <v>153724008.24835128</v>
      </c>
      <c r="N18" s="159">
        <f t="shared" si="5"/>
        <v>126686707.25877675</v>
      </c>
      <c r="O18" s="89">
        <f t="shared" si="6"/>
        <v>1809.8101036968105</v>
      </c>
      <c r="P18" s="98">
        <f>M18/(M18-N18)</f>
        <v>5.6856269901950149</v>
      </c>
      <c r="Q18" s="98"/>
      <c r="R18" s="99">
        <f>IF(M$22&lt;=O18, 1, (O18/M$22)^(P18-1))</f>
        <v>1</v>
      </c>
      <c r="S18" s="163">
        <f>IF(M$22&lt;=O18, 1, (O18/M$22)^P18)*B18*(1+K18)^9</f>
        <v>15.351793700559689</v>
      </c>
      <c r="T18" s="111">
        <v>0.26</v>
      </c>
      <c r="U18" s="60">
        <f>T18+MAX(0,M$23/H18-G18)*R18</f>
        <v>0.54341338258924243</v>
      </c>
      <c r="V18" s="164">
        <f t="shared" si="9"/>
        <v>668.8383687932203</v>
      </c>
    </row>
    <row r="19" spans="1:22" ht="15" customHeight="1">
      <c r="A19" s="38"/>
      <c r="G19" s="34"/>
      <c r="H19" s="94"/>
      <c r="I19" s="94"/>
      <c r="J19" s="94"/>
      <c r="S19" s="100">
        <f>SUM(S14:S18)</f>
        <v>931.57226073038407</v>
      </c>
      <c r="V19" s="50">
        <f>SUM(V14:V18)</f>
        <v>4272.3834174394287</v>
      </c>
    </row>
    <row r="20" spans="1:22" ht="15" customHeight="1">
      <c r="B20" s="6" t="s">
        <v>101</v>
      </c>
      <c r="C20" s="6"/>
      <c r="D20" s="6"/>
      <c r="E20" s="6"/>
      <c r="F20" s="6"/>
      <c r="G20" s="6"/>
      <c r="H20" s="95"/>
      <c r="I20" s="95"/>
      <c r="J20" s="95"/>
    </row>
    <row r="21" spans="1:22" ht="15" customHeight="1">
      <c r="B21" t="s">
        <v>381</v>
      </c>
      <c r="G21" s="34"/>
      <c r="L21" s="254" t="s">
        <v>61</v>
      </c>
      <c r="M21" s="254"/>
      <c r="O21" s="3"/>
      <c r="P21" s="3"/>
      <c r="Q21" s="3"/>
      <c r="T21" s="254" t="s">
        <v>211</v>
      </c>
      <c r="U21" s="254"/>
      <c r="V21" s="254"/>
    </row>
    <row r="22" spans="1:22" ht="15" customHeight="1">
      <c r="D22" s="31"/>
      <c r="E22" s="31"/>
      <c r="F22" s="31"/>
      <c r="G22" s="34"/>
      <c r="L22" s="38" t="s">
        <v>58</v>
      </c>
      <c r="M22" s="3">
        <v>100</v>
      </c>
      <c r="O22" s="10"/>
      <c r="P22" s="10"/>
      <c r="Q22" s="10"/>
      <c r="T22" s="119">
        <f>+V19</f>
        <v>4272.3834174394287</v>
      </c>
      <c r="U22" s="5">
        <v>0.02</v>
      </c>
      <c r="V22" s="5">
        <v>0.03</v>
      </c>
    </row>
    <row r="23" spans="1:22" ht="15" customHeight="1">
      <c r="D23" s="3"/>
      <c r="E23" s="3"/>
      <c r="F23" s="3"/>
      <c r="G23" s="34"/>
      <c r="L23" s="38" t="s">
        <v>59</v>
      </c>
      <c r="M23" s="10">
        <v>0.02</v>
      </c>
      <c r="T23" s="22">
        <v>100</v>
      </c>
      <c r="U23" s="66">
        <f t="dataTable" ref="U23:V24" dt2D="1" dtr="1" r1="M23" r2="M22"/>
        <v>4272.3834174394287</v>
      </c>
      <c r="V23" s="66">
        <v>6720.352491302363</v>
      </c>
    </row>
    <row r="24" spans="1:22" ht="15" customHeight="1">
      <c r="D24" s="10"/>
      <c r="E24" s="10"/>
      <c r="F24" s="10"/>
      <c r="G24" s="32"/>
      <c r="T24" s="22">
        <v>1000</v>
      </c>
      <c r="U24" s="66">
        <v>915.87085762606876</v>
      </c>
      <c r="V24" s="66">
        <v>1387.5361635151992</v>
      </c>
    </row>
    <row r="27" spans="1:22">
      <c r="L27" s="43"/>
    </row>
    <row r="30" spans="1:22">
      <c r="L30" s="43"/>
    </row>
    <row r="31" spans="1:22">
      <c r="L31" s="43"/>
    </row>
    <row r="33" spans="12:12">
      <c r="L33" s="47"/>
    </row>
    <row r="34" spans="12:12">
      <c r="L34" s="43"/>
    </row>
  </sheetData>
  <mergeCells count="5">
    <mergeCell ref="L21:M21"/>
    <mergeCell ref="B2:G2"/>
    <mergeCell ref="H2:K2"/>
    <mergeCell ref="T21:V21"/>
    <mergeCell ref="L2:V2"/>
  </mergeCells>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633BE4-AA32-4C69-9C41-A44C9BCF9157}">
  <sheetPr>
    <tabColor rgb="FFC00000"/>
  </sheetPr>
  <dimension ref="A1:V34"/>
  <sheetViews>
    <sheetView tabSelected="1" zoomScaleNormal="100" workbookViewId="0">
      <selection activeCell="H24" sqref="H24"/>
    </sheetView>
  </sheetViews>
  <sheetFormatPr baseColWidth="10" defaultRowHeight="14.4"/>
  <cols>
    <col min="2" max="2" width="11.44140625" customWidth="1"/>
    <col min="3" max="3" width="11.44140625" style="85" customWidth="1"/>
    <col min="4" max="6" width="11.44140625" customWidth="1"/>
    <col min="7" max="7" width="11.44140625" style="85" customWidth="1"/>
    <col min="9" max="9" width="11.44140625" style="85"/>
    <col min="11" max="12" width="11.44140625" style="85"/>
    <col min="14" max="15" width="11.44140625" style="85"/>
    <col min="17" max="17" width="11.44140625" style="85"/>
    <col min="19" max="19" width="11.44140625" style="85"/>
  </cols>
  <sheetData>
    <row r="1" spans="1:22" ht="15" customHeight="1">
      <c r="L1" s="29"/>
    </row>
    <row r="2" spans="1:22" ht="15" customHeight="1">
      <c r="A2" s="28"/>
      <c r="B2" s="253" t="s">
        <v>131</v>
      </c>
      <c r="C2" s="253"/>
      <c r="D2" s="253"/>
      <c r="E2" s="253"/>
      <c r="F2" s="253"/>
      <c r="G2" s="253"/>
      <c r="H2" s="255" t="s">
        <v>127</v>
      </c>
      <c r="I2" s="255"/>
      <c r="J2" s="255"/>
      <c r="K2" s="255"/>
      <c r="L2" s="256" t="s">
        <v>132</v>
      </c>
      <c r="M2" s="256"/>
      <c r="N2" s="256"/>
      <c r="O2" s="256"/>
      <c r="P2" s="256"/>
      <c r="Q2" s="256"/>
      <c r="R2" s="256"/>
      <c r="S2" s="256"/>
      <c r="T2" s="256"/>
      <c r="U2" s="256"/>
      <c r="V2" s="256"/>
    </row>
    <row r="3" spans="1:22" ht="45" customHeight="1">
      <c r="A3" s="39" t="s">
        <v>7</v>
      </c>
      <c r="B3" s="45" t="s">
        <v>177</v>
      </c>
      <c r="C3" s="45" t="s">
        <v>94</v>
      </c>
      <c r="D3" s="77" t="s">
        <v>17</v>
      </c>
      <c r="E3" s="77" t="s">
        <v>16</v>
      </c>
      <c r="F3" s="42" t="s">
        <v>55</v>
      </c>
      <c r="G3" s="42" t="s">
        <v>56</v>
      </c>
      <c r="H3" s="75" t="s">
        <v>60</v>
      </c>
      <c r="I3" s="161" t="s">
        <v>276</v>
      </c>
      <c r="J3" s="161" t="s">
        <v>277</v>
      </c>
      <c r="K3" s="161" t="s">
        <v>275</v>
      </c>
      <c r="L3" s="150" t="s">
        <v>278</v>
      </c>
      <c r="M3" s="77" t="s">
        <v>17</v>
      </c>
      <c r="N3" s="77" t="s">
        <v>16</v>
      </c>
      <c r="O3" s="105" t="s">
        <v>180</v>
      </c>
      <c r="P3" s="39" t="s">
        <v>178</v>
      </c>
      <c r="Q3" s="39" t="s">
        <v>179</v>
      </c>
      <c r="R3" s="39" t="s">
        <v>138</v>
      </c>
      <c r="S3" s="39" t="s">
        <v>176</v>
      </c>
      <c r="T3" s="105" t="s">
        <v>129</v>
      </c>
      <c r="U3" s="39" t="s">
        <v>128</v>
      </c>
      <c r="V3" s="105" t="s">
        <v>181</v>
      </c>
    </row>
    <row r="4" spans="1:22" ht="15" customHeight="1">
      <c r="A4" s="38" t="s">
        <v>18</v>
      </c>
      <c r="B4" s="108">
        <f>SUM('Piketty, Saez, Zucman (2018)'!C4:C13)</f>
        <v>16329141</v>
      </c>
      <c r="C4" s="24">
        <f>SUM('Piketty, Saez, Zucman (2018)'!E4:E13)</f>
        <v>1.0550000122748315E-2</v>
      </c>
      <c r="E4" s="62"/>
      <c r="F4" s="8">
        <f>SUMPRODUCT('Piketty, Saez, Zucman (2018)'!H4:H13, 'Piketty, Saez, Zucman (2018)'!$F4:$F13)/SUM('Piketty, Saez, Zucman (2018)'!$F4:$F13)</f>
        <v>0.2643237869811238</v>
      </c>
      <c r="G4" s="8"/>
      <c r="H4" s="8"/>
      <c r="I4" s="8"/>
      <c r="J4" s="8"/>
      <c r="K4" s="8"/>
      <c r="L4" s="151"/>
      <c r="M4" s="76"/>
      <c r="N4" s="76"/>
      <c r="P4" s="5"/>
      <c r="Q4" s="5"/>
      <c r="R4" s="5"/>
      <c r="S4" s="5"/>
      <c r="T4" s="64"/>
      <c r="U4" s="65"/>
      <c r="V4" s="85"/>
    </row>
    <row r="5" spans="1:22" s="85" customFormat="1" ht="15" customHeight="1">
      <c r="A5" s="38" t="s">
        <v>19</v>
      </c>
      <c r="B5" s="108">
        <f>SUM('Piketty, Saez, Zucman (2018)'!C14:C23)</f>
        <v>16331018</v>
      </c>
      <c r="C5" s="24">
        <f>SUM('Piketty, Saez, Zucman (2018)'!E14:E23)</f>
        <v>1.7220000037923455E-2</v>
      </c>
      <c r="E5" s="62"/>
      <c r="F5" s="8">
        <f>SUMPRODUCT('Piketty, Saez, Zucman (2018)'!H14:H23, 'Piketty, Saez, Zucman (2018)'!$F14:$F23)/SUM('Piketty, Saez, Zucman (2018)'!$F14:$F23)</f>
        <v>0.23915495268939158</v>
      </c>
      <c r="G5" s="8"/>
      <c r="H5" s="5"/>
      <c r="I5" s="5"/>
      <c r="J5" s="5"/>
      <c r="K5" s="5"/>
      <c r="L5" s="151"/>
      <c r="M5" s="76"/>
      <c r="N5" s="76"/>
      <c r="P5" s="5"/>
      <c r="Q5" s="5"/>
      <c r="R5" s="5"/>
      <c r="S5" s="5"/>
      <c r="T5" s="59">
        <f t="shared" ref="T5:T17" si="0">F5</f>
        <v>0.23915495268939158</v>
      </c>
      <c r="U5" s="61">
        <f>T5</f>
        <v>0.23915495268939158</v>
      </c>
    </row>
    <row r="6" spans="1:22" s="85" customFormat="1" ht="15" customHeight="1">
      <c r="A6" s="38" t="s">
        <v>20</v>
      </c>
      <c r="B6" s="102">
        <f>SUM('Piketty, Saez, Zucman (2018)'!C24:C33)</f>
        <v>16329728</v>
      </c>
      <c r="C6" s="109">
        <f>SUM('Piketty, Saez, Zucman (2018)'!E24:E33)</f>
        <v>2.4019999895244837E-2</v>
      </c>
      <c r="D6" s="62"/>
      <c r="E6" s="62"/>
      <c r="F6" s="8">
        <f>SUMPRODUCT('Piketty, Saez, Zucman (2018)'!H24:H33, 'Piketty, Saez, Zucman (2018)'!$F24:$F33)/SUM('Piketty, Saez, Zucman (2018)'!$F24:$F33)</f>
        <v>0.25425502450722759</v>
      </c>
      <c r="H6" s="5"/>
      <c r="I6" s="5"/>
      <c r="J6" s="5"/>
      <c r="K6" s="5"/>
      <c r="L6" s="151"/>
      <c r="M6" s="76"/>
      <c r="N6" s="76"/>
      <c r="P6" s="5"/>
      <c r="Q6" s="5"/>
      <c r="R6" s="5"/>
      <c r="S6" s="5"/>
      <c r="T6" s="59">
        <f t="shared" si="0"/>
        <v>0.25425502450722759</v>
      </c>
      <c r="U6" s="61">
        <f t="shared" ref="U6:U8" si="1">T6</f>
        <v>0.25425502450722759</v>
      </c>
    </row>
    <row r="7" spans="1:22" s="85" customFormat="1" ht="15" customHeight="1">
      <c r="A7" s="38" t="s">
        <v>21</v>
      </c>
      <c r="B7" s="102">
        <f>SUM('Piketty, Saez, Zucman (2018)'!C34:C43)</f>
        <v>16331093</v>
      </c>
      <c r="C7" s="109">
        <f>SUM('Piketty, Saez, Zucman (2018)'!E34:E43)</f>
        <v>3.2919999677687883E-2</v>
      </c>
      <c r="D7" s="62"/>
      <c r="E7" s="62"/>
      <c r="F7" s="8">
        <f>SUMPRODUCT('Piketty, Saez, Zucman (2018)'!H34:H43, 'Piketty, Saez, Zucman (2018)'!$F34:$F43)/SUM('Piketty, Saez, Zucman (2018)'!$F34:$F43)</f>
        <v>0.25874279663847394</v>
      </c>
      <c r="G7" s="8"/>
      <c r="H7" s="8"/>
      <c r="I7" s="8"/>
      <c r="J7" s="5"/>
      <c r="K7" s="5"/>
      <c r="L7" s="151"/>
      <c r="M7" s="76"/>
      <c r="N7" s="76"/>
      <c r="P7" s="5"/>
      <c r="Q7" s="5"/>
      <c r="R7" s="5"/>
      <c r="S7" s="5"/>
      <c r="T7" s="59">
        <f t="shared" si="0"/>
        <v>0.25874279663847394</v>
      </c>
      <c r="U7" s="61">
        <f t="shared" si="1"/>
        <v>0.25874279663847394</v>
      </c>
    </row>
    <row r="8" spans="1:22" s="85" customFormat="1" ht="15" customHeight="1">
      <c r="A8" s="38" t="s">
        <v>22</v>
      </c>
      <c r="B8" s="102">
        <f>SUM('Piketty, Saez, Zucman (2018)'!C44:C53)</f>
        <v>16330010</v>
      </c>
      <c r="C8" s="109">
        <f>SUM('Piketty, Saez, Zucman (2018)'!E44:E53)</f>
        <v>4.3160000583156943E-2</v>
      </c>
      <c r="D8" s="62"/>
      <c r="E8" s="62"/>
      <c r="F8" s="8">
        <f>SUMPRODUCT('Piketty, Saez, Zucman (2018)'!H44:H53, 'Piketty, Saez, Zucman (2018)'!$F44:$F53)/SUM('Piketty, Saez, Zucman (2018)'!$F44:$F53)</f>
        <v>0.26364736777138803</v>
      </c>
      <c r="G8" s="8"/>
      <c r="H8" s="5"/>
      <c r="I8" s="5"/>
      <c r="J8" s="5"/>
      <c r="K8" s="5"/>
      <c r="L8" s="151"/>
      <c r="M8" s="76"/>
      <c r="N8" s="76"/>
      <c r="P8" s="5"/>
      <c r="Q8" s="5"/>
      <c r="R8" s="5"/>
      <c r="S8" s="5"/>
      <c r="T8" s="59">
        <f t="shared" si="0"/>
        <v>0.26364736777138803</v>
      </c>
      <c r="U8" s="61">
        <f t="shared" si="1"/>
        <v>0.26364736777138803</v>
      </c>
    </row>
    <row r="9" spans="1:22" ht="15" customHeight="1">
      <c r="A9" s="38" t="s">
        <v>23</v>
      </c>
      <c r="B9" s="102">
        <f>SUM('Piketty, Saez, Zucman (2018)'!C54:C63)</f>
        <v>16330018</v>
      </c>
      <c r="C9" s="109">
        <f>SUM('Piketty, Saez, Zucman (2018)'!E54:E63)</f>
        <v>5.5990000255405903E-2</v>
      </c>
      <c r="D9" s="110"/>
      <c r="E9" s="62"/>
      <c r="F9" s="8">
        <f>SUMPRODUCT('Piketty, Saez, Zucman (2018)'!H54:H63, 'Piketty, Saez, Zucman (2018)'!$F54:$F63)/SUM('Piketty, Saez, Zucman (2018)'!$F54:$F63)</f>
        <v>0.27047732013979231</v>
      </c>
      <c r="G9" s="8"/>
      <c r="H9" s="5"/>
      <c r="I9" s="5"/>
      <c r="J9" s="5"/>
      <c r="K9" s="5"/>
      <c r="L9" s="151"/>
      <c r="M9" s="76"/>
      <c r="N9" s="76"/>
      <c r="P9" s="5"/>
      <c r="Q9" s="5"/>
      <c r="R9" s="5"/>
      <c r="S9" s="5"/>
      <c r="T9" s="59">
        <f t="shared" si="0"/>
        <v>0.27047732013979231</v>
      </c>
      <c r="U9" s="61">
        <f>T9</f>
        <v>0.27047732013979231</v>
      </c>
      <c r="V9" s="85"/>
    </row>
    <row r="10" spans="1:22" s="85" customFormat="1" ht="15" customHeight="1">
      <c r="A10" s="38" t="s">
        <v>24</v>
      </c>
      <c r="B10" s="102">
        <f>SUM('Piketty, Saez, Zucman (2018)'!C64:C73)</f>
        <v>16331661</v>
      </c>
      <c r="C10" s="109">
        <f>SUM('Piketty, Saez, Zucman (2018)'!E64:E73)</f>
        <v>7.504000049084425E-2</v>
      </c>
      <c r="D10" s="110"/>
      <c r="E10" s="62"/>
      <c r="F10" s="8">
        <f>SUMPRODUCT('Piketty, Saez, Zucman (2018)'!H64:H73, 'Piketty, Saez, Zucman (2018)'!$F64:$F73)/SUM('Piketty, Saez, Zucman (2018)'!$F64:$F73)</f>
        <v>0.28528463802486209</v>
      </c>
      <c r="G10" s="8"/>
      <c r="H10" s="5"/>
      <c r="I10" s="5"/>
      <c r="J10" s="5"/>
      <c r="K10" s="5"/>
      <c r="L10" s="151"/>
      <c r="M10" s="76"/>
      <c r="N10" s="76"/>
      <c r="P10" s="5"/>
      <c r="Q10" s="5"/>
      <c r="R10" s="5"/>
      <c r="S10" s="5"/>
      <c r="T10" s="59">
        <f t="shared" si="0"/>
        <v>0.28528463802486209</v>
      </c>
      <c r="U10" s="61">
        <f t="shared" ref="U10:U12" si="2">T10</f>
        <v>0.28528463802486209</v>
      </c>
    </row>
    <row r="11" spans="1:22" s="85" customFormat="1" ht="15" customHeight="1">
      <c r="A11" s="38" t="s">
        <v>25</v>
      </c>
      <c r="B11" s="102">
        <f>SUM('Piketty, Saez, Zucman (2018)'!C74:C83)</f>
        <v>16329289</v>
      </c>
      <c r="C11" s="109">
        <f>SUM('Piketty, Saez, Zucman (2018)'!E74:E83)</f>
        <v>0.10425000078976154</v>
      </c>
      <c r="D11" s="110"/>
      <c r="E11" s="62"/>
      <c r="F11" s="8">
        <f>SUMPRODUCT('Piketty, Saez, Zucman (2018)'!H74:H83, 'Piketty, Saez, Zucman (2018)'!$F74:$F83)/SUM('Piketty, Saez, Zucman (2018)'!$F74:$F83)</f>
        <v>0.29118119107585216</v>
      </c>
      <c r="G11" s="8"/>
      <c r="H11" s="5"/>
      <c r="I11" s="5"/>
      <c r="J11" s="5"/>
      <c r="K11" s="5"/>
      <c r="L11" s="151"/>
      <c r="M11" s="76"/>
      <c r="N11" s="76"/>
      <c r="P11" s="5"/>
      <c r="Q11" s="5"/>
      <c r="R11" s="5"/>
      <c r="S11" s="5"/>
      <c r="T11" s="59">
        <f t="shared" si="0"/>
        <v>0.29118119107585216</v>
      </c>
      <c r="U11" s="61">
        <f t="shared" si="2"/>
        <v>0.29118119107585216</v>
      </c>
    </row>
    <row r="12" spans="1:22" s="85" customFormat="1" ht="15" customHeight="1">
      <c r="A12" s="38" t="s">
        <v>26</v>
      </c>
      <c r="B12" s="89">
        <f>SUM('Piketty, Saez, Zucman (2018)'!C84:C93)</f>
        <v>16331338</v>
      </c>
      <c r="C12" s="90">
        <f>SUM('Piketty, Saez, Zucman (2018)'!E84:E93)</f>
        <v>0.15435000136494637</v>
      </c>
      <c r="D12" s="110"/>
      <c r="E12" s="62"/>
      <c r="F12" s="8">
        <f>SUMPRODUCT('Piketty, Saez, Zucman (2018)'!H84:H93, 'Piketty, Saez, Zucman (2018)'!$F84:$F93)/SUM('Piketty, Saez, Zucman (2018)'!$F84:$F93)</f>
        <v>0.29565389859794372</v>
      </c>
      <c r="G12" s="8"/>
      <c r="H12" s="5"/>
      <c r="I12" s="5"/>
      <c r="J12" s="5"/>
      <c r="K12" s="5"/>
      <c r="L12" s="151"/>
      <c r="M12" s="76"/>
      <c r="N12" s="76"/>
      <c r="P12" s="5"/>
      <c r="Q12" s="5"/>
      <c r="R12" s="5"/>
      <c r="S12" s="5"/>
      <c r="T12" s="59">
        <f t="shared" si="0"/>
        <v>0.29565389859794372</v>
      </c>
      <c r="U12" s="61">
        <f t="shared" si="2"/>
        <v>0.29565389859794372</v>
      </c>
    </row>
    <row r="13" spans="1:22" ht="15" customHeight="1">
      <c r="A13" s="38" t="s">
        <v>27</v>
      </c>
      <c r="B13" s="102">
        <f>SUM('Piketty, Saez, Zucman (2018)'!C94:C102)</f>
        <v>14697899</v>
      </c>
      <c r="C13" s="109">
        <f>SUM('Piketty, Saez, Zucman (2018)'!E94:E102)</f>
        <v>0.28209000080823898</v>
      </c>
      <c r="D13" s="62"/>
      <c r="E13" s="62"/>
      <c r="F13" s="8">
        <f>SUMPRODUCT('Piketty, Saez, Zucman (2018)'!H94:H102, 'Piketty, Saez, Zucman (2018)'!$F94:$F102)/SUM('Piketty, Saez, Zucman (2018)'!$F94:$F102)</f>
        <v>0.2960802780956443</v>
      </c>
      <c r="G13" s="8"/>
      <c r="H13" s="5"/>
      <c r="I13" s="5"/>
      <c r="J13" s="5"/>
      <c r="K13" s="5"/>
      <c r="L13" s="151"/>
      <c r="M13" s="76"/>
      <c r="N13" s="76"/>
      <c r="P13" s="5"/>
      <c r="Q13" s="5"/>
      <c r="R13" s="5"/>
      <c r="S13" s="5"/>
      <c r="T13" s="59">
        <f t="shared" si="0"/>
        <v>0.2960802780956443</v>
      </c>
      <c r="U13" s="61">
        <f>T13</f>
        <v>0.2960802780956443</v>
      </c>
      <c r="V13" s="85"/>
    </row>
    <row r="14" spans="1:22" ht="15" customHeight="1">
      <c r="A14" s="38" t="s">
        <v>28</v>
      </c>
      <c r="B14" s="102">
        <f>SUM('Piketty, Saez, Zucman (2018)'!C103:C111)</f>
        <v>1469767</v>
      </c>
      <c r="C14" s="109">
        <f>SUM('Piketty, Saez, Zucman (2018)'!E103:E111)</f>
        <v>0.11147999949753284</v>
      </c>
      <c r="D14" s="62">
        <f>AVERAGE('Piketty, Saez, Zucman (2018)'!$F103:$F111)</f>
        <v>1384903</v>
      </c>
      <c r="E14" s="62">
        <f>'Piketty, Saez, Zucman (2018)'!D103</f>
        <v>803000</v>
      </c>
      <c r="F14" s="20">
        <f>SUMPRODUCT('Piketty, Saez, Zucman (2018)'!H103:H111, 'Piketty, Saez, Zucman (2018)'!$F103:$F111)/SUM('Piketty, Saez, Zucman (2018)'!$F103:$F111)</f>
        <v>0.3164467108150214</v>
      </c>
      <c r="G14" s="20">
        <f>SUMPRODUCT('Piketty, Saez, Zucman (2018)'!L103:L111, 'Piketty, Saez, Zucman (2018)'!$F103:$F111)/SUM('Piketty, Saez, Zucman (2018)'!$F103:$F111)</f>
        <v>0.19810348438194011</v>
      </c>
      <c r="H14" s="96">
        <v>0.13</v>
      </c>
      <c r="I14" s="96">
        <f>WID!O10</f>
        <v>5.3230665114281539E-2</v>
      </c>
      <c r="J14" s="20">
        <f>WID!O41</f>
        <v>4.5142211981690661E-2</v>
      </c>
      <c r="K14" s="20">
        <f>WID!O$67</f>
        <v>7.7574348370168522E-3</v>
      </c>
      <c r="L14" s="152">
        <f>H14*G14</f>
        <v>2.5753452969652216E-2</v>
      </c>
      <c r="M14" s="159">
        <f>D14*(1+I14)^6</f>
        <v>1890428.8104959778</v>
      </c>
      <c r="N14" s="159">
        <f>E14*(1+J14)^6</f>
        <v>1046569.0264140472</v>
      </c>
      <c r="O14" s="89">
        <f>(N14/H14)/1000000</f>
        <v>8.0505309724157481</v>
      </c>
      <c r="P14" s="98">
        <f>M14/(M14-N14)</f>
        <v>2.2402167352395543</v>
      </c>
      <c r="Q14" s="98">
        <f>P14*(1-(N14/N15)^(P14-1))</f>
        <v>1.9167689349029706</v>
      </c>
      <c r="R14" s="99">
        <f>MIN(1,MAX((M$22^(-Q14+1)-O15^(-Q14+1))/(O14^(-Q14+1)-O15^(-Q14+1)),0))</f>
        <v>0</v>
      </c>
      <c r="S14" s="162">
        <f>MIN(1,MAX((M$22^(-Q14)-O15^(-Q14))/(O14^(-Q14)-O15^(-Q14)),0))*B14*(1+K14)^6</f>
        <v>0</v>
      </c>
      <c r="T14" s="59">
        <f t="shared" si="0"/>
        <v>0.3164467108150214</v>
      </c>
      <c r="U14" s="61">
        <f>F14+MAX(0,M$23/H14-G14)*R14</f>
        <v>0.3164467108150214</v>
      </c>
      <c r="V14" s="164">
        <f>(U14-T14)*M14*B14*(1+K14)^6/1000000</f>
        <v>0</v>
      </c>
    </row>
    <row r="15" spans="1:22" ht="15" customHeight="1">
      <c r="A15" s="38" t="s">
        <v>29</v>
      </c>
      <c r="B15" s="102">
        <f>SUM('Piketty, Saez, Zucman (2018)'!C112:C120)</f>
        <v>146974</v>
      </c>
      <c r="C15" s="109">
        <f>SUM('Piketty, Saez, Zucman (2018)'!E112:E120)</f>
        <v>4.9140000017359853E-2</v>
      </c>
      <c r="D15" s="62">
        <f>AVERAGE('Piketty, Saez, Zucman (2018)'!$F112:$F120)</f>
        <v>6105038.777777778</v>
      </c>
      <c r="E15" s="62">
        <f>'Piketty, Saez, Zucman (2018)'!D112</f>
        <v>3470000</v>
      </c>
      <c r="F15" s="20">
        <f>SUMPRODUCT('Piketty, Saez, Zucman (2018)'!H112:H120, 'Piketty, Saez, Zucman (2018)'!$F112:$F120)/SUM('Piketty, Saez, Zucman (2018)'!$F112:$F120)</f>
        <v>0.35944871230125769</v>
      </c>
      <c r="G15" s="20">
        <f>SUMPRODUCT('Piketty, Saez, Zucman (2018)'!L112:L120, 'Piketty, Saez, Zucman (2018)'!$F112:$F120)/SUM('Piketty, Saez, Zucman (2018)'!$F112:$F120)</f>
        <v>0.23848058606305322</v>
      </c>
      <c r="H15" s="96">
        <v>0.108</v>
      </c>
      <c r="I15" s="96">
        <f>WID!O11</f>
        <v>6.9676855940272286E-2</v>
      </c>
      <c r="J15" s="20">
        <f>WID!O42</f>
        <v>6.2156516965497399E-2</v>
      </c>
      <c r="K15" s="20">
        <f>WID!O$67</f>
        <v>7.7574348370168522E-3</v>
      </c>
      <c r="L15" s="152">
        <f t="shared" ref="L15:L18" si="3">H15*G15</f>
        <v>2.5755903294809746E-2</v>
      </c>
      <c r="M15" s="159">
        <f t="shared" ref="M15:M18" si="4">D15*(1+I15)^6</f>
        <v>9145427.7391208913</v>
      </c>
      <c r="N15" s="159">
        <f t="shared" ref="N15:N18" si="5">E15*(1+J15)^6</f>
        <v>4982652.3136558766</v>
      </c>
      <c r="O15" s="89">
        <f t="shared" ref="O15:O18" si="6">(N15/H15)/1000000</f>
        <v>46.135669570887742</v>
      </c>
      <c r="P15" s="98">
        <f>M15/(M15-N15)</f>
        <v>2.1969543884532938</v>
      </c>
      <c r="Q15" s="98">
        <f t="shared" ref="Q15:Q17" si="7">P15*(1-(N15/N16)^(P15-1))</f>
        <v>1.853473155877303</v>
      </c>
      <c r="R15" s="99">
        <f>MIN(1,MAX((M$22^(-Q15+1)-O16^(-Q15+1))/(O15^(-Q15+1)-O16^(-Q15+1)),0))</f>
        <v>0.38617217180011282</v>
      </c>
      <c r="S15" s="162">
        <f t="shared" ref="S15:S17" si="8">MIN(1,MAX((M$22^(-Q15)-O16^(-Q15))/(O15^(-Q15)-O16^(-Q15)),0))*B15*(1+K15)^6</f>
        <v>32488.48340087058</v>
      </c>
      <c r="T15" s="59">
        <f t="shared" si="0"/>
        <v>0.35944871230125769</v>
      </c>
      <c r="U15" s="61">
        <f>F15+MAX(0,M$23/H15-G15)*R15</f>
        <v>0.35944871230125769</v>
      </c>
      <c r="V15" s="164">
        <f t="shared" ref="V15:V18" si="9">(U15-T15)*M15*B15*(1+K15)^6/1000000</f>
        <v>0</v>
      </c>
    </row>
    <row r="16" spans="1:22" ht="15" customHeight="1">
      <c r="A16" s="38" t="s">
        <v>8</v>
      </c>
      <c r="B16" s="102">
        <f>SUM('Piketty, Saez, Zucman (2018)'!C121:C129)</f>
        <v>14558</v>
      </c>
      <c r="C16" s="109">
        <f>SUM('Piketty, Saez, Zucman (2018)'!E121:E129)</f>
        <v>2.0940000074915588E-2</v>
      </c>
      <c r="D16" s="97">
        <f>AVERAGE('Piketty, Saez, Zucman (2018)'!$F121:$F129)</f>
        <v>26546126.444444444</v>
      </c>
      <c r="E16" s="62">
        <f>'Piketty, Saez, Zucman (2018)'!D121</f>
        <v>15000000</v>
      </c>
      <c r="F16" s="20">
        <f>SUMPRODUCT('Piketty, Saez, Zucman (2018)'!H121:H129, 'Piketty, Saez, Zucman (2018)'!$F121:$F129)/SUM('Piketty, Saez, Zucman (2018)'!$F121:$F129)</f>
        <v>0.39375864569321983</v>
      </c>
      <c r="G16" s="20">
        <f>SUMPRODUCT('Piketty, Saez, Zucman (2018)'!L121:L129, 'Piketty, Saez, Zucman (2018)'!$F121:$F129)/SUM('Piketty, Saez, Zucman (2018)'!$F121:$F129)</f>
        <v>0.26188246405066939</v>
      </c>
      <c r="H16" s="96">
        <v>8.3000000000000004E-2</v>
      </c>
      <c r="I16" s="96">
        <f>WID!O12</f>
        <v>8.4639075850964085E-2</v>
      </c>
      <c r="J16" s="20">
        <f>WID!O43</f>
        <v>7.7571484349869602E-2</v>
      </c>
      <c r="K16" s="20">
        <f>WID!O$67</f>
        <v>7.7574348370168522E-3</v>
      </c>
      <c r="L16" s="152">
        <f t="shared" si="3"/>
        <v>2.1736244516205559E-2</v>
      </c>
      <c r="M16" s="159">
        <f t="shared" si="4"/>
        <v>43222774.179308124</v>
      </c>
      <c r="N16" s="159">
        <f t="shared" si="5"/>
        <v>23483769.021341067</v>
      </c>
      <c r="O16" s="89">
        <f t="shared" si="6"/>
        <v>282.93697616073575</v>
      </c>
      <c r="P16" s="98">
        <f>M16/(M16-N16)</f>
        <v>2.1897139107774408</v>
      </c>
      <c r="Q16" s="98">
        <f t="shared" si="7"/>
        <v>1.8898777798295316</v>
      </c>
      <c r="R16" s="99">
        <f>MIN(1,MAX((M$22^(-Q16+1)-O17^(-Q16+1))/(O16^(-Q16+1)-O17^(-Q16+1)),0))</f>
        <v>1</v>
      </c>
      <c r="S16" s="162">
        <f t="shared" si="8"/>
        <v>15248.874157409242</v>
      </c>
      <c r="T16" s="59">
        <f t="shared" si="0"/>
        <v>0.39375864569321983</v>
      </c>
      <c r="U16" s="61">
        <f>F16+MAX(0,M$23/H16-G16)*R16</f>
        <v>0.39375864569321983</v>
      </c>
      <c r="V16" s="164">
        <f t="shared" si="9"/>
        <v>0</v>
      </c>
    </row>
    <row r="17" spans="1:22" s="85" customFormat="1" ht="15" customHeight="1">
      <c r="A17" s="38" t="s">
        <v>195</v>
      </c>
      <c r="B17" s="102">
        <f>'Piketty, Saez, Zucman (2018)'!C130</f>
        <v>1379</v>
      </c>
      <c r="C17" s="109">
        <f>'Piketty, Saez, Zucman (2018)'!E130</f>
        <v>6.6499998793005943E-3</v>
      </c>
      <c r="D17" s="97">
        <f>'Piketty, Saez, Zucman (2018)'!F130</f>
        <v>88108712</v>
      </c>
      <c r="E17" s="62">
        <f>'Piketty, Saez, Zucman (2018)'!D130</f>
        <v>68400000</v>
      </c>
      <c r="F17" s="20">
        <f>'Piketty, Saez, Zucman (2018)'!H130</f>
        <v>0.36016398668289185</v>
      </c>
      <c r="G17" s="20">
        <f>'Piketty, Saez, Zucman (2018)'!L130</f>
        <v>0.21704509854316711</v>
      </c>
      <c r="H17" s="96">
        <v>7.3999999999999996E-2</v>
      </c>
      <c r="I17" s="96">
        <f>WID!O13</f>
        <v>0.10965318286575365</v>
      </c>
      <c r="J17" s="20">
        <f>WID!O44</f>
        <v>0.1055707795385401</v>
      </c>
      <c r="K17" s="20">
        <f>WID!O$67</f>
        <v>7.7574348370168522E-3</v>
      </c>
      <c r="L17" s="152">
        <f t="shared" si="3"/>
        <v>1.6061337292194364E-2</v>
      </c>
      <c r="M17" s="159">
        <f t="shared" si="4"/>
        <v>164491110.2122215</v>
      </c>
      <c r="N17" s="159">
        <f t="shared" si="5"/>
        <v>124903731.13785081</v>
      </c>
      <c r="O17" s="89">
        <f t="shared" si="6"/>
        <v>1687.8882586196055</v>
      </c>
      <c r="P17" s="98">
        <f>M17/(M17-N17)</f>
        <v>4.1551402001936228</v>
      </c>
      <c r="Q17" s="98">
        <f t="shared" si="7"/>
        <v>3.3508375824214864</v>
      </c>
      <c r="R17" s="99">
        <f>MIN(1,MAX((M$22^(-Q17+1)-O18^(-Q17+1))/(O17^(-Q17+1)-O18^(-Q17+1)),0))</f>
        <v>1</v>
      </c>
      <c r="S17" s="162">
        <f t="shared" si="8"/>
        <v>1444.442743719422</v>
      </c>
      <c r="T17" s="59">
        <f t="shared" si="0"/>
        <v>0.36016398668289185</v>
      </c>
      <c r="U17" s="61">
        <f>F17+MAX(0,M$23/H17-G17)*R17</f>
        <v>0.41338915840999502</v>
      </c>
      <c r="V17" s="164">
        <f t="shared" si="9"/>
        <v>12646.193849165864</v>
      </c>
    </row>
    <row r="18" spans="1:22" ht="15" customHeight="1">
      <c r="A18" s="38" t="s">
        <v>197</v>
      </c>
      <c r="B18" s="102">
        <f>'Piketty, Saez, Zucman (2018)'!C131</f>
        <v>411</v>
      </c>
      <c r="C18" s="109">
        <f>D18*B18/(D14*B14/C14)</f>
        <v>8.9128911210072936E-3</v>
      </c>
      <c r="D18" s="78">
        <f>'Balkir et al. (2025)'!D10</f>
        <v>395956675.74931878</v>
      </c>
      <c r="E18" s="78">
        <f>D18/3.44</f>
        <v>115103684.81084849</v>
      </c>
      <c r="F18" s="20">
        <f>'Balkir et al. (2025)'!F10</f>
        <v>0.27186661216479113</v>
      </c>
      <c r="G18" s="20">
        <f>'Balkir et al. (2025)'!G10*('Piketty, Saez, Zucman (2018)'!L130)/('Piketty, Saez, Zucman (2018)'!L130+'Piketty, Saez, Zucman (2018)'!K130)</f>
        <v>0.12278228109962637</v>
      </c>
      <c r="H18" s="96">
        <v>4.9000000000000002E-2</v>
      </c>
      <c r="I18" s="96">
        <f>WID!O13</f>
        <v>0.10965318286575365</v>
      </c>
      <c r="J18" s="20">
        <f>WID!O44</f>
        <v>0.1055707795385401</v>
      </c>
      <c r="K18" s="20">
        <f>WID!O$67</f>
        <v>7.7574348370168522E-3</v>
      </c>
      <c r="L18" s="152">
        <f t="shared" si="3"/>
        <v>6.016331773881692E-3</v>
      </c>
      <c r="M18" s="159">
        <f t="shared" si="4"/>
        <v>739215813.18707788</v>
      </c>
      <c r="N18" s="159">
        <f t="shared" si="5"/>
        <v>210188299.71623012</v>
      </c>
      <c r="O18" s="89">
        <f t="shared" si="6"/>
        <v>4289.5571370659209</v>
      </c>
      <c r="P18" s="98">
        <f>M18/(M18-N18)</f>
        <v>1.3973107151596429</v>
      </c>
      <c r="Q18" s="98"/>
      <c r="R18" s="99">
        <f>IF(M$22&lt;=O18, 1, (O18/M$22)^(P18-1))</f>
        <v>1</v>
      </c>
      <c r="S18" s="163">
        <f>IF(M$22&lt;=O18, 1, (O18/M$22)^P18)*B18*(1+K18)^6</f>
        <v>430.50469011507062</v>
      </c>
      <c r="T18" s="59">
        <v>0.26</v>
      </c>
      <c r="U18" s="61">
        <f>T18+MAX(0,M$23/H18-G18)*R18</f>
        <v>0.54538098420649606</v>
      </c>
      <c r="V18" s="164">
        <f t="shared" si="9"/>
        <v>90818.467098671987</v>
      </c>
    </row>
    <row r="19" spans="1:22" ht="15" customHeight="1">
      <c r="A19" s="38"/>
      <c r="H19" s="94"/>
      <c r="I19" s="94"/>
      <c r="P19" s="85"/>
      <c r="Q19" s="97"/>
      <c r="R19" s="97"/>
      <c r="S19" s="80">
        <f>SUM(S14:S18)</f>
        <v>49612.304992114317</v>
      </c>
      <c r="T19" s="85"/>
      <c r="U19" s="85"/>
      <c r="V19" s="72">
        <f>SUM(V14:V18)</f>
        <v>103464.66094783785</v>
      </c>
    </row>
    <row r="20" spans="1:22" ht="15" customHeight="1">
      <c r="B20" s="6" t="s">
        <v>203</v>
      </c>
      <c r="C20" s="6"/>
      <c r="D20" s="6"/>
      <c r="E20" s="6"/>
      <c r="F20" s="6"/>
      <c r="G20" s="6"/>
      <c r="H20" s="95"/>
      <c r="I20" s="95"/>
    </row>
    <row r="21" spans="1:22" ht="15" customHeight="1">
      <c r="B21" t="s">
        <v>382</v>
      </c>
      <c r="H21" s="7"/>
      <c r="I21" s="7"/>
      <c r="L21" s="254" t="s">
        <v>61</v>
      </c>
      <c r="M21" s="254"/>
      <c r="N21" s="10"/>
      <c r="O21" s="10"/>
      <c r="Q21" s="3"/>
      <c r="T21" s="254" t="s">
        <v>211</v>
      </c>
      <c r="U21" s="254"/>
      <c r="V21" s="254"/>
    </row>
    <row r="22" spans="1:22" ht="15" customHeight="1">
      <c r="B22" t="s">
        <v>139</v>
      </c>
      <c r="D22" s="31"/>
      <c r="E22" s="31"/>
      <c r="F22" s="31"/>
      <c r="G22" s="31"/>
      <c r="H22" s="7"/>
      <c r="I22" s="7"/>
      <c r="L22" s="38" t="s">
        <v>58</v>
      </c>
      <c r="M22" s="3">
        <v>100</v>
      </c>
      <c r="N22" s="3"/>
      <c r="O22" s="3"/>
      <c r="Q22" s="10"/>
      <c r="T22" s="119">
        <f>+V19</f>
        <v>103464.66094783785</v>
      </c>
      <c r="U22" s="5">
        <v>0.02</v>
      </c>
      <c r="V22" s="5">
        <v>0.03</v>
      </c>
    </row>
    <row r="23" spans="1:22" ht="15" customHeight="1">
      <c r="D23" s="3"/>
      <c r="E23" s="3"/>
      <c r="F23" s="3"/>
      <c r="G23" s="3"/>
      <c r="H23" s="7"/>
      <c r="I23" s="7"/>
      <c r="L23" s="38" t="s">
        <v>59</v>
      </c>
      <c r="M23" s="10">
        <v>0.02</v>
      </c>
      <c r="N23" s="10"/>
      <c r="O23" s="10"/>
      <c r="T23" s="22">
        <v>100</v>
      </c>
      <c r="U23" s="66">
        <f t="dataTable" ref="U23:V24" dt2D="1" dtr="1" r1="M23" r2="M22"/>
        <v>103464.66094783785</v>
      </c>
      <c r="V23" s="66">
        <v>287506.63648968103</v>
      </c>
    </row>
    <row r="24" spans="1:22" ht="15" customHeight="1">
      <c r="D24" s="10"/>
      <c r="E24" s="10"/>
      <c r="F24" s="10"/>
      <c r="G24" s="10"/>
      <c r="H24" s="7"/>
      <c r="I24" s="7"/>
      <c r="T24" s="22">
        <v>1000</v>
      </c>
      <c r="U24" s="66">
        <v>103464.66094783785</v>
      </c>
      <c r="V24" s="66">
        <v>210501.02084280009</v>
      </c>
    </row>
    <row r="25" spans="1:22">
      <c r="H25" s="7"/>
      <c r="I25" s="7"/>
    </row>
    <row r="26" spans="1:22">
      <c r="H26" s="7"/>
      <c r="I26" s="7"/>
    </row>
    <row r="27" spans="1:22">
      <c r="L27" s="43"/>
    </row>
    <row r="30" spans="1:22">
      <c r="L30" s="43"/>
    </row>
    <row r="31" spans="1:22">
      <c r="L31" s="43"/>
    </row>
    <row r="33" spans="12:12">
      <c r="L33" s="47"/>
    </row>
    <row r="34" spans="12:12">
      <c r="L34" s="43"/>
    </row>
  </sheetData>
  <mergeCells count="5">
    <mergeCell ref="B2:G2"/>
    <mergeCell ref="T21:V21"/>
    <mergeCell ref="L2:V2"/>
    <mergeCell ref="L21:M21"/>
    <mergeCell ref="H2:K2"/>
  </mergeCells>
  <pageMargins left="0.7" right="0.7" top="0.75" bottom="0.75" header="0.3" footer="0.3"/>
  <pageSetup paperSize="9" orientation="portrait" r:id="rId1"/>
  <ignoredErrors>
    <ignoredError sqref="B4:C16 F4:F18 G14:G16 C17 D14:D16" formulaRange="1"/>
  </ignoredErrors>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8C97FE-0BF4-4C8A-932D-485C69046A3F}">
  <sheetPr codeName="Feuil4">
    <tabColor theme="9" tint="-0.249977111117893"/>
  </sheetPr>
  <dimension ref="A1:V37"/>
  <sheetViews>
    <sheetView zoomScaleNormal="100" workbookViewId="0">
      <selection activeCell="I25" sqref="I25"/>
    </sheetView>
  </sheetViews>
  <sheetFormatPr baseColWidth="10" defaultRowHeight="14.4"/>
  <cols>
    <col min="3" max="3" width="11.44140625" style="85"/>
    <col min="4" max="5" width="11.44140625" customWidth="1"/>
    <col min="9" max="10" width="11.44140625" style="85"/>
    <col min="12" max="12" width="11.44140625" style="85"/>
    <col min="15" max="17" width="11.44140625" style="85"/>
    <col min="19" max="19" width="11.44140625" style="85"/>
  </cols>
  <sheetData>
    <row r="1" spans="1:22" ht="15" customHeight="1">
      <c r="L1" s="29"/>
    </row>
    <row r="2" spans="1:22" ht="15" customHeight="1">
      <c r="A2" s="28"/>
      <c r="B2" s="253" t="s">
        <v>131</v>
      </c>
      <c r="C2" s="253"/>
      <c r="D2" s="253"/>
      <c r="E2" s="253"/>
      <c r="F2" s="253"/>
      <c r="G2" s="253"/>
      <c r="H2" s="255" t="s">
        <v>127</v>
      </c>
      <c r="I2" s="255"/>
      <c r="J2" s="255"/>
      <c r="K2" s="255"/>
      <c r="L2" s="256" t="s">
        <v>132</v>
      </c>
      <c r="M2" s="256"/>
      <c r="N2" s="256"/>
      <c r="O2" s="256"/>
      <c r="P2" s="256"/>
      <c r="Q2" s="256"/>
      <c r="R2" s="256"/>
      <c r="S2" s="256"/>
      <c r="T2" s="256"/>
      <c r="U2" s="256"/>
      <c r="V2" s="256"/>
    </row>
    <row r="3" spans="1:22" ht="45" customHeight="1">
      <c r="A3" s="39" t="s">
        <v>7</v>
      </c>
      <c r="B3" s="45" t="s">
        <v>177</v>
      </c>
      <c r="C3" s="45" t="s">
        <v>94</v>
      </c>
      <c r="D3" s="77" t="s">
        <v>17</v>
      </c>
      <c r="E3" s="77" t="s">
        <v>16</v>
      </c>
      <c r="F3" s="42" t="s">
        <v>55</v>
      </c>
      <c r="G3" s="42" t="s">
        <v>56</v>
      </c>
      <c r="H3" s="75" t="s">
        <v>60</v>
      </c>
      <c r="I3" s="161" t="s">
        <v>276</v>
      </c>
      <c r="J3" s="161" t="s">
        <v>277</v>
      </c>
      <c r="K3" s="161" t="s">
        <v>275</v>
      </c>
      <c r="L3" s="150" t="s">
        <v>278</v>
      </c>
      <c r="M3" s="77" t="s">
        <v>17</v>
      </c>
      <c r="N3" s="77" t="s">
        <v>16</v>
      </c>
      <c r="O3" s="105" t="s">
        <v>180</v>
      </c>
      <c r="P3" s="39" t="s">
        <v>178</v>
      </c>
      <c r="Q3" s="39" t="s">
        <v>179</v>
      </c>
      <c r="R3" s="39" t="s">
        <v>138</v>
      </c>
      <c r="S3" s="39" t="s">
        <v>176</v>
      </c>
      <c r="T3" s="105" t="s">
        <v>129</v>
      </c>
      <c r="U3" s="39" t="s">
        <v>128</v>
      </c>
      <c r="V3" s="105" t="s">
        <v>181</v>
      </c>
    </row>
    <row r="4" spans="1:22" ht="15" customHeight="1">
      <c r="A4" s="38" t="s">
        <v>18</v>
      </c>
      <c r="B4" s="102">
        <f>'Palomo et al. (2025)'!L6-'Palomo et al. (2025)'!L7</f>
        <v>15175031.799999997</v>
      </c>
      <c r="C4" s="24">
        <f>'Palomo et al. (2025)'!Q4-'Palomo et al. (2025)'!Q5</f>
        <v>1.5000000000000568E-3</v>
      </c>
      <c r="D4" s="4"/>
      <c r="E4" s="35"/>
      <c r="F4" s="35"/>
      <c r="G4" s="8"/>
      <c r="H4" s="22"/>
      <c r="I4" s="22"/>
      <c r="J4" s="22"/>
      <c r="K4" s="22"/>
      <c r="L4" s="151"/>
      <c r="M4" s="76"/>
      <c r="N4" s="76"/>
      <c r="P4" s="5"/>
      <c r="Q4" s="5"/>
      <c r="R4" s="5"/>
      <c r="S4" s="5"/>
      <c r="T4" s="64"/>
      <c r="U4" s="65"/>
      <c r="V4" s="85"/>
    </row>
    <row r="5" spans="1:22" s="85" customFormat="1" ht="15" customHeight="1">
      <c r="A5" s="38" t="s">
        <v>19</v>
      </c>
      <c r="B5" s="102">
        <f>'Palomo et al. (2025)'!L6-'Palomo et al. (2025)'!L7</f>
        <v>15175031.799999997</v>
      </c>
      <c r="C5" s="24">
        <f>('Palomo et al. (2025)'!Q5-'Palomo et al. (2025)'!Q6)*('Bach et al. (2025)'!F5-'Bach et al. (2025)'!F6)/('Bach et al. (2025)'!F5-'Bach et al. (2025)'!F7)</f>
        <v>1.2525373617271121E-2</v>
      </c>
      <c r="D5" s="4"/>
      <c r="E5" s="35"/>
      <c r="F5" s="35">
        <f>'Palomo et al. (2025)'!C5</f>
        <v>0.48921796000000001</v>
      </c>
      <c r="G5" s="8"/>
      <c r="H5" s="22"/>
      <c r="I5" s="22"/>
      <c r="J5" s="22"/>
      <c r="K5" s="22"/>
      <c r="L5" s="151"/>
      <c r="M5" s="76"/>
      <c r="N5" s="76"/>
      <c r="P5" s="5"/>
      <c r="Q5" s="5"/>
      <c r="R5" s="5"/>
      <c r="S5" s="5"/>
      <c r="T5" s="58">
        <f t="shared" ref="T5:T17" si="0">F5</f>
        <v>0.48921796000000001</v>
      </c>
      <c r="U5" s="57">
        <f>T5</f>
        <v>0.48921796000000001</v>
      </c>
    </row>
    <row r="6" spans="1:22" s="85" customFormat="1" ht="15" customHeight="1">
      <c r="A6" s="38" t="s">
        <v>20</v>
      </c>
      <c r="B6" s="102">
        <f>'Palomo et al. (2025)'!L6-'Palomo et al. (2025)'!L7</f>
        <v>15175031.799999997</v>
      </c>
      <c r="C6" s="24">
        <f>('Palomo et al. (2025)'!Q5-'Palomo et al. (2025)'!Q6)*('Bach et al. (2025)'!F6-'Bach et al. (2025)'!F7)/('Bach et al. (2025)'!F5-'Bach et al. (2025)'!F7)</f>
        <v>2.2128160057178999E-2</v>
      </c>
      <c r="D6" s="4"/>
      <c r="E6" s="35"/>
      <c r="F6" s="35">
        <f>'Palomo et al. (2025)'!C5</f>
        <v>0.48921796000000001</v>
      </c>
      <c r="G6" s="8"/>
      <c r="H6" s="22"/>
      <c r="I6" s="22"/>
      <c r="J6" s="22"/>
      <c r="K6" s="22"/>
      <c r="L6" s="151"/>
      <c r="M6" s="76"/>
      <c r="N6" s="76"/>
      <c r="P6" s="5"/>
      <c r="Q6" s="5"/>
      <c r="R6" s="5"/>
      <c r="S6" s="5"/>
      <c r="T6" s="58">
        <f t="shared" si="0"/>
        <v>0.48921796000000001</v>
      </c>
      <c r="U6" s="57">
        <f t="shared" ref="U6:U8" si="1">T6</f>
        <v>0.48921796000000001</v>
      </c>
    </row>
    <row r="7" spans="1:22" s="85" customFormat="1" ht="15" customHeight="1">
      <c r="A7" s="38" t="s">
        <v>21</v>
      </c>
      <c r="B7" s="102">
        <f>'Palomo et al. (2025)'!L6-'Palomo et al. (2025)'!L7</f>
        <v>15175031.799999997</v>
      </c>
      <c r="C7" s="24">
        <f>'Palomo et al. (2025)'!Q6-'Palomo et al. (2025)'!Q7</f>
        <v>3.4106318017713799E-2</v>
      </c>
      <c r="D7" s="4"/>
      <c r="E7" s="35"/>
      <c r="F7" s="35">
        <f>'Palomo et al. (2025)'!C6</f>
        <v>0.48097889999999999</v>
      </c>
      <c r="G7" s="8"/>
      <c r="H7" s="22"/>
      <c r="I7" s="22"/>
      <c r="J7" s="22"/>
      <c r="K7" s="22"/>
      <c r="L7" s="151"/>
      <c r="M7" s="76"/>
      <c r="N7" s="76"/>
      <c r="P7" s="5"/>
      <c r="Q7" s="5"/>
      <c r="R7" s="5"/>
      <c r="S7" s="5"/>
      <c r="T7" s="58">
        <f t="shared" si="0"/>
        <v>0.48097889999999999</v>
      </c>
      <c r="U7" s="57">
        <f t="shared" si="1"/>
        <v>0.48097889999999999</v>
      </c>
    </row>
    <row r="8" spans="1:22" s="85" customFormat="1" ht="15" customHeight="1">
      <c r="A8" s="38" t="s">
        <v>22</v>
      </c>
      <c r="B8" s="102">
        <f>'Palomo et al. (2025)'!L7-'Palomo et al. (2025)'!L8</f>
        <v>15175031.799999997</v>
      </c>
      <c r="C8" s="24">
        <f>'Palomo et al. (2025)'!Q7-'Palomo et al. (2025)'!Q8</f>
        <v>4.1189000285706823E-2</v>
      </c>
      <c r="D8" s="4"/>
      <c r="E8" s="35"/>
      <c r="F8" s="35">
        <f>'Palomo et al. (2025)'!C7</f>
        <v>0.44749116</v>
      </c>
      <c r="G8" s="8"/>
      <c r="H8" s="22"/>
      <c r="I8" s="22"/>
      <c r="J8" s="22"/>
      <c r="K8" s="22"/>
      <c r="L8" s="151"/>
      <c r="M8" s="76"/>
      <c r="N8" s="76"/>
      <c r="P8" s="5"/>
      <c r="Q8" s="5"/>
      <c r="R8" s="5"/>
      <c r="S8" s="5"/>
      <c r="T8" s="58">
        <f t="shared" si="0"/>
        <v>0.44749116</v>
      </c>
      <c r="U8" s="57">
        <f t="shared" si="1"/>
        <v>0.44749116</v>
      </c>
    </row>
    <row r="9" spans="1:22" ht="15" customHeight="1">
      <c r="A9" s="38" t="s">
        <v>23</v>
      </c>
      <c r="B9" s="102">
        <f>'Palomo et al. (2025)'!L8-'Palomo et al. (2025)'!L9</f>
        <v>15175031.799999997</v>
      </c>
      <c r="C9" s="24">
        <f>'Palomo et al. (2025)'!Q8-'Palomo et al. (2025)'!Q9</f>
        <v>4.9900362328251124E-2</v>
      </c>
      <c r="D9" s="4"/>
      <c r="E9" s="35"/>
      <c r="F9" s="35">
        <f>'Palomo et al. (2025)'!C8</f>
        <v>0.46344125000000003</v>
      </c>
      <c r="G9" s="8"/>
      <c r="H9" s="22"/>
      <c r="I9" s="22"/>
      <c r="J9" s="22"/>
      <c r="K9" s="22"/>
      <c r="L9" s="151"/>
      <c r="M9" s="76"/>
      <c r="N9" s="76"/>
      <c r="P9" s="5"/>
      <c r="Q9" s="5"/>
      <c r="R9" s="5"/>
      <c r="S9" s="5"/>
      <c r="T9" s="58">
        <f t="shared" si="0"/>
        <v>0.46344125000000003</v>
      </c>
      <c r="U9" s="57">
        <f>T9</f>
        <v>0.46344125000000003</v>
      </c>
      <c r="V9" s="85"/>
    </row>
    <row r="10" spans="1:22" s="85" customFormat="1" ht="15" customHeight="1">
      <c r="A10" s="38" t="s">
        <v>24</v>
      </c>
      <c r="B10" s="102">
        <f>'Palomo et al. (2025)'!L9-'Palomo et al. (2025)'!L10</f>
        <v>15175031.800000004</v>
      </c>
      <c r="C10" s="24">
        <f>'Palomo et al. (2025)'!Q9-'Palomo et al. (2025)'!Q10</f>
        <v>6.2538191215812611E-2</v>
      </c>
      <c r="D10" s="4"/>
      <c r="E10" s="35"/>
      <c r="F10" s="35">
        <f>'Palomo et al. (2025)'!C9</f>
        <v>0.46875623</v>
      </c>
      <c r="G10" s="8"/>
      <c r="H10" s="22"/>
      <c r="I10" s="22"/>
      <c r="J10" s="22"/>
      <c r="K10" s="22"/>
      <c r="L10" s="151"/>
      <c r="M10" s="76"/>
      <c r="N10" s="76"/>
      <c r="P10" s="5"/>
      <c r="Q10" s="5"/>
      <c r="R10" s="5"/>
      <c r="S10" s="5"/>
      <c r="T10" s="58">
        <f t="shared" si="0"/>
        <v>0.46875623</v>
      </c>
      <c r="U10" s="57">
        <f t="shared" ref="U10:U12" si="2">T10</f>
        <v>0.46875623</v>
      </c>
    </row>
    <row r="11" spans="1:22" s="85" customFormat="1" ht="15" customHeight="1">
      <c r="A11" s="38" t="s">
        <v>25</v>
      </c>
      <c r="B11" s="102">
        <f>'Palomo et al. (2025)'!L10-'Palomo et al. (2025)'!L11</f>
        <v>15687814.399999999</v>
      </c>
      <c r="C11" s="24">
        <f>'Palomo et al. (2025)'!Q10-'Palomo et al. (2025)'!Q11</f>
        <v>5.6502346876563192E-2</v>
      </c>
      <c r="D11" s="4"/>
      <c r="E11" s="35"/>
      <c r="F11" s="35">
        <f>'Palomo et al. (2025)'!C10</f>
        <v>0.4378783</v>
      </c>
      <c r="G11" s="8"/>
      <c r="H11" s="22"/>
      <c r="I11" s="22"/>
      <c r="J11" s="22"/>
      <c r="K11" s="22"/>
      <c r="L11" s="151"/>
      <c r="M11" s="76"/>
      <c r="N11" s="76"/>
      <c r="P11" s="5"/>
      <c r="Q11" s="5"/>
      <c r="R11" s="5"/>
      <c r="S11" s="5"/>
      <c r="T11" s="58">
        <f t="shared" si="0"/>
        <v>0.4378783</v>
      </c>
      <c r="U11" s="57">
        <f t="shared" si="2"/>
        <v>0.4378783</v>
      </c>
    </row>
    <row r="12" spans="1:22" s="85" customFormat="1" ht="15" customHeight="1">
      <c r="A12" s="38" t="s">
        <v>26</v>
      </c>
      <c r="B12" s="102">
        <f>'Palomo et al. (2025)'!L11-'Palomo et al. (2025)'!L12</f>
        <v>14918641</v>
      </c>
      <c r="C12" s="24">
        <f>'Palomo et al. (2025)'!Q11-'Palomo et al. (2025)'!Q12</f>
        <v>0.13112194988832682</v>
      </c>
      <c r="D12" s="4"/>
      <c r="E12" s="35"/>
      <c r="F12" s="35">
        <f>'Palomo et al. (2025)'!C11</f>
        <v>0.49957816999999999</v>
      </c>
      <c r="G12" s="8"/>
      <c r="H12" s="22"/>
      <c r="I12" s="22"/>
      <c r="J12" s="22"/>
      <c r="K12" s="22"/>
      <c r="L12" s="151"/>
      <c r="M12" s="76"/>
      <c r="N12" s="76"/>
      <c r="P12" s="5"/>
      <c r="Q12" s="5"/>
      <c r="R12" s="5"/>
      <c r="S12" s="5"/>
      <c r="T12" s="58">
        <f t="shared" si="0"/>
        <v>0.49957816999999999</v>
      </c>
      <c r="U12" s="57">
        <f t="shared" si="2"/>
        <v>0.49957816999999999</v>
      </c>
    </row>
    <row r="13" spans="1:22" ht="15" customHeight="1">
      <c r="A13" s="38" t="s">
        <v>27</v>
      </c>
      <c r="B13" s="102">
        <f>'Palomo et al. (2025)'!L12-'Palomo et al. (2025)'!L14</f>
        <v>13426770</v>
      </c>
      <c r="C13" s="24">
        <f>'Palomo et al. (2025)'!Q12-'Palomo et al. (2025)'!Q14</f>
        <v>0.33229162752041924</v>
      </c>
      <c r="D13" s="4"/>
      <c r="E13" s="35"/>
      <c r="F13" s="35">
        <f>('Palomo et al. (2025)'!C12*('Palomo et al. (2025)'!Q12-'Palomo et al. (2025)'!Q13)+'Palomo et al. (2025)'!C13*('Palomo et al. (2025)'!Q13-'Palomo et al. (2025)'!Q14))/('Palomo et al. (2025)'!Q12-'Palomo et al. (2025)'!Q14)</f>
        <v>0.45399179887375457</v>
      </c>
      <c r="G13" s="8"/>
      <c r="H13" s="22"/>
      <c r="I13" s="22"/>
      <c r="J13" s="22"/>
      <c r="K13" s="22"/>
      <c r="L13" s="151"/>
      <c r="M13" s="76"/>
      <c r="N13" s="76"/>
      <c r="P13" s="5"/>
      <c r="Q13" s="5"/>
      <c r="R13" s="5"/>
      <c r="S13" s="5"/>
      <c r="T13" s="58">
        <f t="shared" si="0"/>
        <v>0.45399179887375457</v>
      </c>
      <c r="U13" s="57">
        <f>T13</f>
        <v>0.45399179887375457</v>
      </c>
      <c r="V13" s="85"/>
    </row>
    <row r="14" spans="1:22" ht="15" customHeight="1">
      <c r="A14" s="38" t="s">
        <v>28</v>
      </c>
      <c r="B14" s="102">
        <f>'Palomo et al. (2025)'!L14-'Palomo et al. (2025)'!L15</f>
        <v>1342683</v>
      </c>
      <c r="C14" s="24">
        <f>'Palomo et al. (2025)'!Q14-'Palomo et al. (2025)'!Q15</f>
        <v>0.13925628779884913</v>
      </c>
      <c r="D14" s="4">
        <f>('Palomo et al. (2025)'!L14*'Palomo et al. (2025)'!P14-'Palomo et al. (2025)'!L15*'Palomo et al. (2025)'!P15)/('Palomo et al. (2025)'!L14-'Palomo et al. (2025)'!L15)</f>
        <v>150587.81362007168</v>
      </c>
      <c r="E14" s="4">
        <f>'Palomo et al. (2025)'!O14</f>
        <v>92934.491315136474</v>
      </c>
      <c r="F14" s="35">
        <f>'Palomo et al. (2025)'!C14</f>
        <v>0.30034454999999999</v>
      </c>
      <c r="G14" s="35">
        <f>'Palomo et al. (2025)'!F14 + 'Palomo et al. (2025)'!H14</f>
        <v>9.5415599999999989E-2</v>
      </c>
      <c r="H14" s="96">
        <v>0.13</v>
      </c>
      <c r="I14" s="96">
        <f>WID!O20</f>
        <v>0.11319339541956008</v>
      </c>
      <c r="J14" s="96">
        <f>WID!O51</f>
        <v>0.10086834754733487</v>
      </c>
      <c r="K14" s="20">
        <f>WID!O$69</f>
        <v>1.0179448705106342E-2</v>
      </c>
      <c r="L14" s="152">
        <f>H14*G14</f>
        <v>1.2404027999999999E-2</v>
      </c>
      <c r="M14" s="159">
        <f>D14*(1+I14)^6</f>
        <v>286558.67065793683</v>
      </c>
      <c r="N14" s="159">
        <f>E14*(1+J14)^6</f>
        <v>165420.46445256734</v>
      </c>
      <c r="O14" s="89">
        <f>(N14/H14)/1000000</f>
        <v>1.2724651111735947</v>
      </c>
      <c r="P14" s="98">
        <f>M14/(M14-N14)</f>
        <v>2.3655515434339907</v>
      </c>
      <c r="Q14" s="98">
        <f>P14*(1-(N14/N15)^(P14-1))</f>
        <v>1.9824500947203478</v>
      </c>
      <c r="R14" s="99">
        <f>MIN(1,MAX((M$22^(-Q14+1)-O15^(-Q14+1))/(O14^(-Q14+1)-O15^(-Q14+1)),0))</f>
        <v>0</v>
      </c>
      <c r="S14" s="162">
        <f>MIN(1,MAX((M$22^(-Q14)-O15^(-Q14))/(O14^(-Q14)-O15^(-Q14)),0))*B14*(1+K14)^6</f>
        <v>0</v>
      </c>
      <c r="T14" s="58">
        <f t="shared" si="0"/>
        <v>0.30034454999999999</v>
      </c>
      <c r="U14" s="57">
        <f>F14+MAX(0,M$23/H14-G14)*R14</f>
        <v>0.30034454999999999</v>
      </c>
      <c r="V14" s="164">
        <f>(U14-T14)*M14*B14*(1+K14)^6/1000000</f>
        <v>0</v>
      </c>
    </row>
    <row r="15" spans="1:22" ht="15" customHeight="1">
      <c r="A15" s="38" t="s">
        <v>29</v>
      </c>
      <c r="B15" s="102">
        <f>'Palomo et al. (2025)'!L15-'Palomo et al. (2025)'!L16</f>
        <v>134265</v>
      </c>
      <c r="C15" s="24">
        <f>'Palomo et al. (2025)'!Q15-'Palomo et al. (2025)'!Q16</f>
        <v>5.8412486421841631E-2</v>
      </c>
      <c r="D15" s="4">
        <f>('Palomo et al. (2025)'!L15*'Palomo et al. (2025)'!P15-'Palomo et al. (2025)'!L16*'Palomo et al. (2025)'!P16)/('Palomo et al. (2025)'!L15-'Palomo et al. (2025)'!L16)</f>
        <v>631671.64319220174</v>
      </c>
      <c r="E15" s="4">
        <f>'Palomo et al. (2025)'!O15</f>
        <v>352926.30272952851</v>
      </c>
      <c r="F15" s="35">
        <f>'Palomo et al. (2025)'!C15</f>
        <v>0.22436049</v>
      </c>
      <c r="G15" s="35">
        <f>'Palomo et al. (2025)'!F15 + 'Palomo et al. (2025)'!H15</f>
        <v>4.8548420000000009E-2</v>
      </c>
      <c r="H15" s="96">
        <v>0.108</v>
      </c>
      <c r="I15" s="96">
        <f>WID!O21</f>
        <v>7.1989851223473345E-2</v>
      </c>
      <c r="J15" s="96">
        <f>WID!O52</f>
        <v>0.1006430821501958</v>
      </c>
      <c r="K15" s="20">
        <f>WID!O$69</f>
        <v>1.0179448705106342E-2</v>
      </c>
      <c r="L15" s="152">
        <f t="shared" ref="L15:L18" si="3">H15*G15</f>
        <v>5.2432293600000006E-3</v>
      </c>
      <c r="M15" s="159">
        <f t="shared" ref="M15:N18" si="4">D15*(1+I15)^6</f>
        <v>958595.58399445878</v>
      </c>
      <c r="N15" s="159">
        <f t="shared" si="4"/>
        <v>627426.81561490637</v>
      </c>
      <c r="O15" s="89">
        <f t="shared" ref="O15:O18" si="5">(N15/H15)/1000000</f>
        <v>5.8095075519898742</v>
      </c>
      <c r="P15" s="98">
        <f>M15/(M15-N15)</f>
        <v>2.8945832926364985</v>
      </c>
      <c r="Q15" s="98">
        <f t="shared" ref="Q15:Q17" si="6">P15*(1-(N15/N16)^(P15-1))</f>
        <v>2.6814926293880612</v>
      </c>
      <c r="R15" s="99">
        <f>MIN(1,MAX((M$22^(-Q15+1)-O16^(-Q15+1))/(O15^(-Q15+1)-O16^(-Q15+1)),0))</f>
        <v>0</v>
      </c>
      <c r="S15" s="162">
        <f t="shared" ref="S15:S17" si="7">MIN(1,MAX((M$22^(-Q15)-O16^(-Q15))/(O15^(-Q15)-O16^(-Q15)),0))*B15*(1+K15)^6</f>
        <v>0</v>
      </c>
      <c r="T15" s="58">
        <f t="shared" si="0"/>
        <v>0.22436049</v>
      </c>
      <c r="U15" s="57">
        <f>F15+MAX(0,M$23/H15-G15)*R15</f>
        <v>0.22436049</v>
      </c>
      <c r="V15" s="164">
        <f t="shared" ref="V15:V18" si="8">(U15-T15)*M15*B15*(1+K15)^6/1000000</f>
        <v>0</v>
      </c>
    </row>
    <row r="16" spans="1:22" ht="15" customHeight="1">
      <c r="A16" s="38" t="s">
        <v>8</v>
      </c>
      <c r="B16" s="102">
        <f>'Palomo et al. (2025)'!L16-'Palomo et al. (2025)'!L17</f>
        <v>13430</v>
      </c>
      <c r="C16" s="24">
        <f>'Palomo et al. (2025)'!Q16-'Palomo et al. (2025)'!Q17</f>
        <v>3.0000272895523296E-2</v>
      </c>
      <c r="D16" s="4">
        <f>('Palomo et al. (2025)'!L16*'Palomo et al. (2025)'!P16-'Palomo et al. (2025)'!L17*'Palomo et al. (2025)'!P17)/('Palomo et al. (2025)'!L16-'Palomo et al. (2025)'!L17)</f>
        <v>3243378.9729670803</v>
      </c>
      <c r="E16" s="4">
        <f>'Palomo et al. (2025)'!O16</f>
        <v>1737934.2431761785</v>
      </c>
      <c r="F16" s="35">
        <f>'Palomo et al. (2025)'!C16</f>
        <v>0.21458076000000001</v>
      </c>
      <c r="G16" s="35">
        <f>'Palomo et al. (2025)'!F16 + 'Palomo et al. (2025)'!H16</f>
        <v>3.3692159999999985E-2</v>
      </c>
      <c r="H16" s="96">
        <v>8.3000000000000004E-2</v>
      </c>
      <c r="I16" s="96">
        <f>WID!O22</f>
        <v>5.4629983402930016E-2</v>
      </c>
      <c r="J16" s="96">
        <f>WID!O53</f>
        <v>6.1517047262411362E-2</v>
      </c>
      <c r="K16" s="20">
        <f>WID!O$69</f>
        <v>1.0179448705106342E-2</v>
      </c>
      <c r="L16" s="152">
        <f t="shared" si="3"/>
        <v>2.7964492799999988E-3</v>
      </c>
      <c r="M16" s="159">
        <f t="shared" si="4"/>
        <v>4462707.0862924997</v>
      </c>
      <c r="N16" s="159">
        <f t="shared" si="4"/>
        <v>2486538.4464730052</v>
      </c>
      <c r="O16" s="89">
        <f t="shared" si="5"/>
        <v>29.958294535819338</v>
      </c>
      <c r="P16" s="98">
        <f>M16/(M16-N16)</f>
        <v>2.2582622739626759</v>
      </c>
      <c r="Q16" s="98">
        <f t="shared" si="6"/>
        <v>1.9604510030295832</v>
      </c>
      <c r="R16" s="99">
        <f>MIN(1,MAX((M$22^(-Q16+1)-O17^(-Q16+1))/(O16^(-Q16+1)-O17^(-Q16+1)),0))</f>
        <v>0</v>
      </c>
      <c r="S16" s="162">
        <f t="shared" si="7"/>
        <v>0</v>
      </c>
      <c r="T16" s="58">
        <f t="shared" si="0"/>
        <v>0.21458076000000001</v>
      </c>
      <c r="U16" s="57">
        <f>F16+MAX(0,M$23/H16-G16)*R16</f>
        <v>0.21458076000000001</v>
      </c>
      <c r="V16" s="164">
        <f t="shared" si="8"/>
        <v>0</v>
      </c>
    </row>
    <row r="17" spans="1:22" s="85" customFormat="1" ht="15" customHeight="1">
      <c r="A17" s="38" t="s">
        <v>195</v>
      </c>
      <c r="B17" s="102">
        <f>'Palomo et al. (2025)'!L17-'Palomo et al. (2025)'!L18</f>
        <v>1340</v>
      </c>
      <c r="C17" s="24">
        <f>'Palomo et al. (2025)'!Q17-'Palomo et al. (2025)'!Q18</f>
        <v>1.5756807922822417E-2</v>
      </c>
      <c r="D17" s="79">
        <f>('Palomo et al. (2025)'!L17*'Palomo et al. (2025)'!P17-'Palomo et al. (2025)'!L18*'Palomo et al. (2025)'!P18)/('Palomo et al. (2025)'!L17-'Palomo et al. (2025)'!L18)</f>
        <v>17073082.810266282</v>
      </c>
      <c r="E17" s="4">
        <f>'Palomo et al. (2025)'!O17</f>
        <v>9018191.5632754341</v>
      </c>
      <c r="F17" s="35">
        <f>'Palomo et al. (2025)'!C17</f>
        <v>0.19708729</v>
      </c>
      <c r="G17" s="35">
        <f>'Palomo et al. (2025)'!F17 + 'Palomo et al. (2025)'!H17</f>
        <v>2.0460600000000009E-2</v>
      </c>
      <c r="H17" s="96">
        <v>7.3999999999999996E-2</v>
      </c>
      <c r="I17" s="96">
        <f>WID!O23</f>
        <v>5.5413565648924967E-2</v>
      </c>
      <c r="J17" s="96">
        <f>WID!O54</f>
        <v>5.5083278359018273E-2</v>
      </c>
      <c r="K17" s="20">
        <f>WID!O$69</f>
        <v>1.0179448705106342E-2</v>
      </c>
      <c r="L17" s="152">
        <f t="shared" si="3"/>
        <v>1.5140844000000005E-3</v>
      </c>
      <c r="M17" s="159">
        <f t="shared" si="4"/>
        <v>23596521.130758196</v>
      </c>
      <c r="N17" s="159">
        <f t="shared" si="4"/>
        <v>12440559.049507026</v>
      </c>
      <c r="O17" s="89">
        <f t="shared" si="5"/>
        <v>168.11566283117605</v>
      </c>
      <c r="P17" s="98">
        <f>M17/(M17-N17)</f>
        <v>2.1151489184796319</v>
      </c>
      <c r="Q17" s="98">
        <f t="shared" si="6"/>
        <v>1.7987790551722931</v>
      </c>
      <c r="R17" s="99">
        <f>MIN(1,MAX((M$22^(-Q17+1)-O18^(-Q17+1))/(O17^(-Q17+1)-O18^(-Q17+1)),0))</f>
        <v>0</v>
      </c>
      <c r="S17" s="162">
        <f t="shared" si="7"/>
        <v>0</v>
      </c>
      <c r="T17" s="58">
        <f t="shared" si="0"/>
        <v>0.19708729</v>
      </c>
      <c r="U17" s="57">
        <f>F17+MAX(0,M$23/H17-G17)*R17</f>
        <v>0.19708729</v>
      </c>
      <c r="V17" s="164">
        <f t="shared" si="8"/>
        <v>0</v>
      </c>
    </row>
    <row r="18" spans="1:22" ht="15" customHeight="1">
      <c r="A18" s="38" t="s">
        <v>197</v>
      </c>
      <c r="B18" s="102">
        <f>'Palomo et al. (2025)'!L18</f>
        <v>152</v>
      </c>
      <c r="C18" s="24">
        <f>'Palomo et al. (2025)'!Q18</f>
        <v>1.277081515371974E-2</v>
      </c>
      <c r="D18" s="117">
        <f>'Palomo et al. (2025)'!P18</f>
        <v>121989804.46650124</v>
      </c>
      <c r="E18" s="4">
        <f>'Palomo et al. (2025)'!O18</f>
        <v>49552063.523573197</v>
      </c>
      <c r="F18" s="35">
        <f>'Palomo et al. (2025)'!C17</f>
        <v>0.19708729</v>
      </c>
      <c r="G18" s="35">
        <f>'Palomo et al. (2025)'!F17 + 'Palomo et al. (2025)'!H17</f>
        <v>2.0460600000000009E-2</v>
      </c>
      <c r="H18" s="96">
        <v>0.08</v>
      </c>
      <c r="I18" s="96">
        <f>WID!O23</f>
        <v>5.5413565648924967E-2</v>
      </c>
      <c r="J18" s="96">
        <f>WID!O54</f>
        <v>5.5083278359018273E-2</v>
      </c>
      <c r="K18" s="20">
        <f>WID!O$69</f>
        <v>1.0179448705106342E-2</v>
      </c>
      <c r="L18" s="152">
        <f t="shared" si="3"/>
        <v>1.6368480000000009E-3</v>
      </c>
      <c r="M18" s="159">
        <f t="shared" si="4"/>
        <v>168600775.31516182</v>
      </c>
      <c r="N18" s="159">
        <f t="shared" si="4"/>
        <v>68356872.65729773</v>
      </c>
      <c r="O18" s="89">
        <f t="shared" si="5"/>
        <v>854.46090821622158</v>
      </c>
      <c r="P18" s="98">
        <f>M18/(M18-N18)</f>
        <v>1.6819055408347587</v>
      </c>
      <c r="Q18" s="98"/>
      <c r="R18" s="99">
        <f>IF(M$22&lt;=O18, 1, (O18/M$22)^(P18-1))</f>
        <v>0.8982982045205401</v>
      </c>
      <c r="S18" s="163">
        <f>IF(M$22&lt;=O18, 1, (O18/M$22)^P18)*B18*(1+K18)^6</f>
        <v>123.97881795550306</v>
      </c>
      <c r="T18" s="58">
        <v>0.26</v>
      </c>
      <c r="U18" s="57">
        <f>T18+MAX(0,M$23/H18-G18)*R18</f>
        <v>0.46619483088672209</v>
      </c>
      <c r="V18" s="164">
        <f t="shared" si="8"/>
        <v>5615.2888652676138</v>
      </c>
    </row>
    <row r="19" spans="1:22" ht="15" customHeight="1">
      <c r="A19" s="38"/>
      <c r="G19" s="34"/>
      <c r="H19" s="94"/>
      <c r="I19" s="94"/>
      <c r="J19" s="94"/>
      <c r="S19" s="100">
        <f>SUM(S14:S18)</f>
        <v>123.97881795550306</v>
      </c>
      <c r="V19" s="50">
        <f>SUM(V14:V18)</f>
        <v>5615.2888652676138</v>
      </c>
    </row>
    <row r="20" spans="1:22" ht="15" customHeight="1">
      <c r="B20" s="6" t="s">
        <v>100</v>
      </c>
      <c r="C20" s="6"/>
      <c r="D20" s="6"/>
      <c r="E20" s="6"/>
      <c r="F20" s="6"/>
      <c r="G20" s="6"/>
      <c r="H20" s="95"/>
      <c r="I20" s="95"/>
      <c r="J20" s="95"/>
      <c r="O20" s="10"/>
      <c r="P20" s="10"/>
      <c r="Q20" s="10"/>
      <c r="S20" s="100"/>
    </row>
    <row r="21" spans="1:22" ht="15" customHeight="1">
      <c r="G21" s="34"/>
      <c r="L21" s="254" t="s">
        <v>61</v>
      </c>
      <c r="M21" s="254"/>
      <c r="O21" s="3"/>
      <c r="P21" s="3"/>
      <c r="Q21" s="3"/>
      <c r="R21" s="31"/>
      <c r="S21" s="100"/>
      <c r="T21" s="254" t="s">
        <v>211</v>
      </c>
      <c r="U21" s="254"/>
      <c r="V21" s="254"/>
    </row>
    <row r="22" spans="1:22" ht="15" customHeight="1">
      <c r="D22" s="31"/>
      <c r="E22" s="31"/>
      <c r="F22" s="31"/>
      <c r="G22" s="34"/>
      <c r="L22" s="38" t="s">
        <v>58</v>
      </c>
      <c r="M22" s="3">
        <v>1000</v>
      </c>
      <c r="O22" s="10"/>
      <c r="P22" s="10"/>
      <c r="Q22" s="10"/>
      <c r="R22" s="3"/>
      <c r="S22" s="100"/>
      <c r="T22" s="119">
        <f>V19</f>
        <v>5615.2888652676138</v>
      </c>
      <c r="U22" s="5">
        <v>0.02</v>
      </c>
      <c r="V22" s="5">
        <v>0.03</v>
      </c>
    </row>
    <row r="23" spans="1:22" ht="15" customHeight="1">
      <c r="D23" s="3"/>
      <c r="E23" s="38"/>
      <c r="F23" s="3"/>
      <c r="G23" s="34"/>
      <c r="L23" s="38" t="s">
        <v>59</v>
      </c>
      <c r="M23" s="10">
        <v>0.02</v>
      </c>
      <c r="R23" s="10"/>
      <c r="S23" s="101"/>
      <c r="T23" s="22">
        <v>100</v>
      </c>
      <c r="U23" s="66">
        <f t="dataTable" ref="U23:V24" dt2D="1" dtr="1" r1="M23" r2="M22"/>
        <v>16658.254712723952</v>
      </c>
      <c r="V23" s="66">
        <v>25773.375196274988</v>
      </c>
    </row>
    <row r="24" spans="1:22">
      <c r="D24" s="10"/>
      <c r="E24" s="38"/>
      <c r="F24" s="10"/>
      <c r="G24" s="32"/>
      <c r="T24" s="22">
        <v>1000</v>
      </c>
      <c r="U24" s="66">
        <v>5615.2888652676138</v>
      </c>
      <c r="V24" s="66">
        <v>8673.2000916559864</v>
      </c>
    </row>
    <row r="25" spans="1:22">
      <c r="E25" s="38"/>
    </row>
    <row r="26" spans="1:22">
      <c r="E26" s="38"/>
    </row>
    <row r="27" spans="1:22">
      <c r="E27" s="38"/>
      <c r="L27" s="43"/>
    </row>
    <row r="28" spans="1:22">
      <c r="E28" s="38"/>
    </row>
    <row r="29" spans="1:22">
      <c r="E29" s="38"/>
    </row>
    <row r="30" spans="1:22">
      <c r="E30" s="38"/>
      <c r="L30" s="43"/>
    </row>
    <row r="31" spans="1:22">
      <c r="E31" s="38"/>
      <c r="L31" s="43"/>
    </row>
    <row r="32" spans="1:22">
      <c r="E32" s="38"/>
    </row>
    <row r="33" spans="5:12">
      <c r="E33" s="38"/>
      <c r="L33" s="47"/>
    </row>
    <row r="34" spans="5:12">
      <c r="E34" s="38"/>
      <c r="L34" s="43"/>
    </row>
    <row r="35" spans="5:12">
      <c r="E35" s="38"/>
    </row>
    <row r="36" spans="5:12">
      <c r="E36" s="38"/>
    </row>
    <row r="37" spans="5:12">
      <c r="E37" s="38"/>
    </row>
  </sheetData>
  <mergeCells count="5">
    <mergeCell ref="L21:M21"/>
    <mergeCell ref="B2:G2"/>
    <mergeCell ref="H2:K2"/>
    <mergeCell ref="T21:V21"/>
    <mergeCell ref="L2:V2"/>
  </mergeCells>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F64CC-809B-4D95-9F4D-62327EF5483E}">
  <sheetPr>
    <tabColor rgb="FF800080"/>
  </sheetPr>
  <dimension ref="A1:V34"/>
  <sheetViews>
    <sheetView zoomScaleNormal="100" workbookViewId="0">
      <selection activeCell="I32" sqref="I32"/>
    </sheetView>
  </sheetViews>
  <sheetFormatPr baseColWidth="10" defaultRowHeight="14.4"/>
  <cols>
    <col min="3" max="3" width="11.44140625" style="85" customWidth="1"/>
    <col min="4" max="5" width="11.44140625" customWidth="1"/>
    <col min="9" max="10" width="11.44140625" style="85"/>
    <col min="12" max="12" width="11.44140625" style="85" customWidth="1"/>
    <col min="15" max="17" width="11.44140625" style="85"/>
    <col min="19" max="19" width="11.44140625" style="85"/>
  </cols>
  <sheetData>
    <row r="1" spans="1:22" ht="15" customHeight="1">
      <c r="L1" s="29"/>
    </row>
    <row r="2" spans="1:22" ht="15" customHeight="1">
      <c r="A2" s="28"/>
      <c r="B2" s="253" t="s">
        <v>136</v>
      </c>
      <c r="C2" s="253"/>
      <c r="D2" s="253"/>
      <c r="E2" s="253"/>
      <c r="F2" s="253"/>
      <c r="G2" s="253"/>
      <c r="H2" s="255" t="s">
        <v>127</v>
      </c>
      <c r="I2" s="255"/>
      <c r="J2" s="255"/>
      <c r="K2" s="255"/>
      <c r="L2" s="256" t="s">
        <v>133</v>
      </c>
      <c r="M2" s="256"/>
      <c r="N2" s="256"/>
      <c r="O2" s="256"/>
      <c r="P2" s="256"/>
      <c r="Q2" s="256"/>
      <c r="R2" s="256"/>
      <c r="S2" s="256"/>
      <c r="T2" s="256"/>
      <c r="U2" s="256"/>
      <c r="V2" s="256"/>
    </row>
    <row r="3" spans="1:22" ht="43.2">
      <c r="A3" s="39" t="s">
        <v>7</v>
      </c>
      <c r="B3" s="45" t="s">
        <v>177</v>
      </c>
      <c r="C3" s="45" t="s">
        <v>94</v>
      </c>
      <c r="D3" s="77" t="s">
        <v>17</v>
      </c>
      <c r="E3" s="77" t="s">
        <v>16</v>
      </c>
      <c r="F3" s="42" t="s">
        <v>55</v>
      </c>
      <c r="G3" s="42" t="s">
        <v>56</v>
      </c>
      <c r="H3" s="75" t="s">
        <v>60</v>
      </c>
      <c r="I3" s="161" t="s">
        <v>276</v>
      </c>
      <c r="J3" s="161" t="s">
        <v>277</v>
      </c>
      <c r="K3" s="161" t="s">
        <v>275</v>
      </c>
      <c r="L3" s="150" t="s">
        <v>278</v>
      </c>
      <c r="M3" s="77" t="s">
        <v>17</v>
      </c>
      <c r="N3" s="77" t="s">
        <v>16</v>
      </c>
      <c r="O3" s="105" t="s">
        <v>180</v>
      </c>
      <c r="P3" s="39" t="s">
        <v>178</v>
      </c>
      <c r="Q3" s="39" t="s">
        <v>179</v>
      </c>
      <c r="R3" s="39" t="s">
        <v>138</v>
      </c>
      <c r="S3" s="39" t="s">
        <v>176</v>
      </c>
      <c r="T3" s="105" t="s">
        <v>129</v>
      </c>
      <c r="U3" s="39" t="s">
        <v>128</v>
      </c>
      <c r="V3" s="105" t="s">
        <v>181</v>
      </c>
    </row>
    <row r="4" spans="1:22" ht="15" customHeight="1">
      <c r="A4" s="38" t="s">
        <v>18</v>
      </c>
      <c r="B4" s="89">
        <f>'Guzzardi et al. (2024)'!C23</f>
        <v>5069945</v>
      </c>
      <c r="C4" s="63">
        <f>('Guzzardi et al. (2024)'!F$21+'Guzzardi et al. (2024)'!F$22)*('Bach et al. (2025)'!F4-'Bach et al. (2025)'!F5)/('Bach et al. (2025)'!F$4-'Bach et al. (2025)'!F$9)</f>
        <v>1.4365452408931214E-3</v>
      </c>
      <c r="D4" s="35"/>
      <c r="E4" s="35"/>
      <c r="G4" s="8"/>
      <c r="H4" s="22"/>
      <c r="I4" s="22"/>
      <c r="J4" s="22"/>
      <c r="K4" s="22"/>
      <c r="L4" s="151"/>
      <c r="M4" s="76"/>
      <c r="N4" s="76"/>
      <c r="P4" s="5"/>
      <c r="Q4" s="5"/>
      <c r="R4" s="5"/>
      <c r="S4" s="5"/>
      <c r="T4" s="64"/>
      <c r="U4" s="65"/>
      <c r="V4" s="85"/>
    </row>
    <row r="5" spans="1:22" s="85" customFormat="1" ht="15" customHeight="1">
      <c r="A5" s="38" t="s">
        <v>19</v>
      </c>
      <c r="B5" s="89">
        <f>'Guzzardi et al. (2024)'!C23</f>
        <v>5069945</v>
      </c>
      <c r="C5" s="63">
        <f>('Guzzardi et al. (2024)'!F$21+'Guzzardi et al. (2024)'!F$22)*('Bach et al. (2025)'!F5-'Bach et al. (2025)'!F6)/('Bach et al. (2025)'!F$4-'Bach et al. (2025)'!F$9)</f>
        <v>2.0111633372502886E-2</v>
      </c>
      <c r="D5" s="35"/>
      <c r="E5" s="35"/>
      <c r="F5" s="35">
        <f>'Guzzardi et al. (2024)'!C4</f>
        <v>0.42</v>
      </c>
      <c r="G5" s="8"/>
      <c r="H5" s="22"/>
      <c r="I5" s="22"/>
      <c r="J5" s="22"/>
      <c r="K5" s="22"/>
      <c r="L5" s="151"/>
      <c r="M5" s="76"/>
      <c r="N5" s="76"/>
      <c r="P5" s="5"/>
      <c r="Q5" s="5"/>
      <c r="R5" s="5"/>
      <c r="S5" s="5"/>
      <c r="T5" s="71">
        <f t="shared" ref="T5:T17" si="0">F5</f>
        <v>0.42</v>
      </c>
      <c r="U5" s="70">
        <f>T5</f>
        <v>0.42</v>
      </c>
    </row>
    <row r="6" spans="1:22" s="85" customFormat="1" ht="15" customHeight="1">
      <c r="A6" s="38" t="s">
        <v>20</v>
      </c>
      <c r="B6" s="89">
        <f>'Guzzardi et al. (2024)'!C23</f>
        <v>5069945</v>
      </c>
      <c r="C6" s="63">
        <f>('Guzzardi et al. (2024)'!F$21+'Guzzardi et al. (2024)'!F$22)*('Bach et al. (2025)'!F6-'Bach et al. (2025)'!F7)/('Bach et al. (2025)'!F$4-'Bach et al. (2025)'!F$9)</f>
        <v>3.5530552291421796E-2</v>
      </c>
      <c r="D6" s="35"/>
      <c r="E6" s="35"/>
      <c r="F6" s="35">
        <f>'Guzzardi et al. (2024)'!C4</f>
        <v>0.42</v>
      </c>
      <c r="G6" s="8"/>
      <c r="H6" s="22"/>
      <c r="I6" s="22"/>
      <c r="J6" s="22"/>
      <c r="K6" s="22"/>
      <c r="L6" s="151"/>
      <c r="M6" s="76"/>
      <c r="N6" s="76"/>
      <c r="P6" s="5"/>
      <c r="Q6" s="5"/>
      <c r="R6" s="5"/>
      <c r="S6" s="5"/>
      <c r="T6" s="71">
        <f t="shared" si="0"/>
        <v>0.42</v>
      </c>
      <c r="U6" s="70">
        <f t="shared" ref="U6:U8" si="1">T6</f>
        <v>0.42</v>
      </c>
    </row>
    <row r="7" spans="1:22" s="85" customFormat="1" ht="15" customHeight="1">
      <c r="A7" s="38" t="s">
        <v>21</v>
      </c>
      <c r="B7" s="89">
        <f>'Guzzardi et al. (2024)'!C23</f>
        <v>5069945</v>
      </c>
      <c r="C7" s="63">
        <f>('Guzzardi et al. (2024)'!F$21+'Guzzardi et al. (2024)'!F$22)*('Bach et al. (2025)'!F7-'Bach et al. (2025)'!F8)/('Bach et al. (2025)'!F$4-'Bach et al. (2025)'!F$9)</f>
        <v>4.6544065804935371E-2</v>
      </c>
      <c r="D7" s="35"/>
      <c r="E7" s="35"/>
      <c r="F7" s="35">
        <f>'Guzzardi et al. (2024)'!C4</f>
        <v>0.42</v>
      </c>
      <c r="G7" s="8"/>
      <c r="H7" s="22"/>
      <c r="I7" s="22"/>
      <c r="J7" s="22"/>
      <c r="K7" s="22"/>
      <c r="L7" s="151"/>
      <c r="M7" s="76"/>
      <c r="N7" s="76"/>
      <c r="P7" s="5"/>
      <c r="Q7" s="5"/>
      <c r="R7" s="5"/>
      <c r="S7" s="5"/>
      <c r="T7" s="71">
        <f t="shared" si="0"/>
        <v>0.42</v>
      </c>
      <c r="U7" s="70">
        <f t="shared" si="1"/>
        <v>0.42</v>
      </c>
    </row>
    <row r="8" spans="1:22" s="85" customFormat="1" ht="15" customHeight="1">
      <c r="A8" s="38" t="s">
        <v>22</v>
      </c>
      <c r="B8" s="89">
        <f>'Guzzardi et al. (2024)'!C23</f>
        <v>5069945</v>
      </c>
      <c r="C8" s="63">
        <f>('Guzzardi et al. (2024)'!F$21+'Guzzardi et al. (2024)'!F$22)*('Bach et al. (2025)'!F8-'Bach et al. (2025)'!F9)/('Bach et al. (2025)'!F$4-'Bach et al. (2025)'!F$9)</f>
        <v>5.9377203290246802E-2</v>
      </c>
      <c r="D8" s="136"/>
      <c r="E8" s="35"/>
      <c r="F8" s="35">
        <f>'Guzzardi et al. (2024)'!C4</f>
        <v>0.42</v>
      </c>
      <c r="G8" s="8"/>
      <c r="H8" s="22"/>
      <c r="I8" s="22"/>
      <c r="J8" s="22"/>
      <c r="K8" s="22"/>
      <c r="L8" s="151"/>
      <c r="M8" s="76"/>
      <c r="N8" s="76"/>
      <c r="P8" s="5"/>
      <c r="Q8" s="5"/>
      <c r="R8" s="5"/>
      <c r="S8" s="5"/>
      <c r="T8" s="71">
        <f t="shared" si="0"/>
        <v>0.42</v>
      </c>
      <c r="U8" s="70">
        <f t="shared" si="1"/>
        <v>0.42</v>
      </c>
    </row>
    <row r="9" spans="1:22" ht="15" customHeight="1">
      <c r="A9" s="38" t="s">
        <v>23</v>
      </c>
      <c r="B9" s="89">
        <f>'Guzzardi et al. (2024)'!C23</f>
        <v>5069945</v>
      </c>
      <c r="C9" s="63">
        <f>'Guzzardi et al. (2024)'!F23</f>
        <v>8.5999999999999993E-2</v>
      </c>
      <c r="D9" s="136"/>
      <c r="E9" s="35"/>
      <c r="F9" s="35">
        <f>'Guzzardi et al. (2024)'!C5</f>
        <v>0.43</v>
      </c>
      <c r="G9" s="8"/>
      <c r="H9" s="22"/>
      <c r="I9" s="22"/>
      <c r="J9" s="22"/>
      <c r="K9" s="22"/>
      <c r="L9" s="151"/>
      <c r="M9" s="76"/>
      <c r="N9" s="76"/>
      <c r="P9" s="5"/>
      <c r="Q9" s="5"/>
      <c r="R9" s="5"/>
      <c r="S9" s="5"/>
      <c r="T9" s="71">
        <f t="shared" si="0"/>
        <v>0.43</v>
      </c>
      <c r="U9" s="70">
        <f>T9</f>
        <v>0.43</v>
      </c>
      <c r="V9" s="85"/>
    </row>
    <row r="10" spans="1:22" s="85" customFormat="1" ht="15" customHeight="1">
      <c r="A10" s="38" t="s">
        <v>24</v>
      </c>
      <c r="B10" s="89">
        <f>'Guzzardi et al. (2024)'!C23</f>
        <v>5069945</v>
      </c>
      <c r="C10" s="63">
        <f>'Guzzardi et al. (2024)'!F24</f>
        <v>0.105</v>
      </c>
      <c r="D10" s="136"/>
      <c r="E10" s="35"/>
      <c r="F10" s="35">
        <f>'Guzzardi et al. (2024)'!C6</f>
        <v>0.45</v>
      </c>
      <c r="G10" s="8"/>
      <c r="H10" s="22"/>
      <c r="I10" s="22"/>
      <c r="J10" s="22"/>
      <c r="K10" s="22"/>
      <c r="L10" s="151"/>
      <c r="M10" s="76"/>
      <c r="N10" s="76"/>
      <c r="P10" s="5"/>
      <c r="Q10" s="5"/>
      <c r="R10" s="5"/>
      <c r="S10" s="5"/>
      <c r="T10" s="71">
        <f t="shared" si="0"/>
        <v>0.45</v>
      </c>
      <c r="U10" s="70">
        <f t="shared" ref="U10:U12" si="2">T10</f>
        <v>0.45</v>
      </c>
    </row>
    <row r="11" spans="1:22" s="85" customFormat="1" ht="15" customHeight="1">
      <c r="A11" s="38" t="s">
        <v>25</v>
      </c>
      <c r="B11" s="89">
        <f>'Guzzardi et al. (2024)'!C23</f>
        <v>5069945</v>
      </c>
      <c r="C11" s="63">
        <f>'Guzzardi et al. (2024)'!F25</f>
        <v>0.129</v>
      </c>
      <c r="D11" s="136"/>
      <c r="E11" s="35"/>
      <c r="F11" s="35">
        <f>'Guzzardi et al. (2024)'!C7</f>
        <v>0.47</v>
      </c>
      <c r="G11" s="8"/>
      <c r="H11" s="22"/>
      <c r="I11" s="22"/>
      <c r="J11" s="22"/>
      <c r="K11" s="22"/>
      <c r="L11" s="151"/>
      <c r="M11" s="76"/>
      <c r="N11" s="76"/>
      <c r="P11" s="5"/>
      <c r="Q11" s="5"/>
      <c r="R11" s="5"/>
      <c r="S11" s="5"/>
      <c r="T11" s="71">
        <f t="shared" si="0"/>
        <v>0.47</v>
      </c>
      <c r="U11" s="70">
        <f t="shared" si="2"/>
        <v>0.47</v>
      </c>
    </row>
    <row r="12" spans="1:22" s="85" customFormat="1" ht="15" customHeight="1">
      <c r="A12" s="38" t="s">
        <v>26</v>
      </c>
      <c r="B12" s="89">
        <f>'Guzzardi et al. (2024)'!C23</f>
        <v>5069945</v>
      </c>
      <c r="C12" s="63">
        <f>'Guzzardi et al. (2024)'!F26</f>
        <v>0.16400000000000001</v>
      </c>
      <c r="D12" s="4"/>
      <c r="E12" s="35"/>
      <c r="F12" s="35">
        <f>'Guzzardi et al. (2024)'!C8</f>
        <v>0.49</v>
      </c>
      <c r="G12" s="8"/>
      <c r="H12" s="22"/>
      <c r="I12" s="22"/>
      <c r="J12" s="22"/>
      <c r="K12" s="22"/>
      <c r="L12" s="151"/>
      <c r="M12" s="76"/>
      <c r="N12" s="76"/>
      <c r="P12" s="5"/>
      <c r="Q12" s="5"/>
      <c r="R12" s="5"/>
      <c r="S12" s="5"/>
      <c r="T12" s="71">
        <f t="shared" si="0"/>
        <v>0.49</v>
      </c>
      <c r="U12" s="70">
        <f t="shared" si="2"/>
        <v>0.49</v>
      </c>
    </row>
    <row r="13" spans="1:22" ht="15" customHeight="1">
      <c r="A13" s="38" t="s">
        <v>27</v>
      </c>
      <c r="B13" s="89">
        <f>'Guzzardi et al. (2024)'!C27-'Guzzardi et al. (2024)'!C29</f>
        <v>4562951</v>
      </c>
      <c r="C13" s="63">
        <f>'Guzzardi et al. (2024)'!F27 -'Guzzardi et al. (2024)'!F29</f>
        <v>0.252</v>
      </c>
      <c r="D13" s="4"/>
      <c r="E13" s="35"/>
      <c r="F13" s="35">
        <f>'Guzzardi et al. (2024)'!C9</f>
        <v>0.5</v>
      </c>
      <c r="G13" s="8"/>
      <c r="H13" s="22"/>
      <c r="I13" s="22"/>
      <c r="J13" s="22"/>
      <c r="K13" s="22"/>
      <c r="L13" s="151"/>
      <c r="M13" s="76"/>
      <c r="N13" s="76"/>
      <c r="P13" s="5"/>
      <c r="Q13" s="5"/>
      <c r="R13" s="5"/>
      <c r="S13" s="5"/>
      <c r="T13" s="71">
        <f t="shared" si="0"/>
        <v>0.5</v>
      </c>
      <c r="U13" s="70">
        <f>T13</f>
        <v>0.5</v>
      </c>
      <c r="V13" s="85"/>
    </row>
    <row r="14" spans="1:22" ht="15" customHeight="1">
      <c r="A14" s="38" t="s">
        <v>28</v>
      </c>
      <c r="B14" s="89">
        <f>'Guzzardi et al. (2024)'!C29-'Guzzardi et al. (2024)'!C30</f>
        <v>456295</v>
      </c>
      <c r="C14" s="63">
        <f>'Guzzardi et al. (2024)'!F29 -'Guzzardi et al. (2024)'!F30</f>
        <v>7.2999999999999995E-2</v>
      </c>
      <c r="D14" s="4">
        <f>('Guzzardi et al. (2024)'!C29*'Guzzardi et al. (2024)'!E29-'Guzzardi et al. (2024)'!C30*'Guzzardi et al. (2024)'!E30)/('Guzzardi et al. (2024)'!C29-'Guzzardi et al. (2024)'!C30)</f>
        <v>212338.52869086884</v>
      </c>
      <c r="E14" s="4">
        <f>'Guzzardi et al. (2024)'!D29</f>
        <v>147733</v>
      </c>
      <c r="F14" s="35">
        <f>'Guzzardi et al. (2024)'!C10</f>
        <v>0.43</v>
      </c>
      <c r="G14" s="35">
        <f>'Guzzardi et al. (2024)'!D10</f>
        <v>0.25</v>
      </c>
      <c r="H14" s="96">
        <v>0.13</v>
      </c>
      <c r="I14" s="96">
        <f>WID!O25</f>
        <v>3.9529547284178124E-2</v>
      </c>
      <c r="J14" s="96">
        <f>WID!O56</f>
        <v>3.5268474725843157E-2</v>
      </c>
      <c r="K14" s="20">
        <f>WID!O$70</f>
        <v>-8.4327136323003593E-5</v>
      </c>
      <c r="L14" s="152">
        <f>H14*G14</f>
        <v>3.2500000000000001E-2</v>
      </c>
      <c r="M14" s="159">
        <f>D14*(1+I14)^10</f>
        <v>312893.96363504999</v>
      </c>
      <c r="N14" s="159">
        <f>E14*(1+J14)^10</f>
        <v>208933.17833310034</v>
      </c>
      <c r="O14" s="89">
        <f>(N14/H14)/1000000</f>
        <v>1.6071782948700026</v>
      </c>
      <c r="P14" s="98">
        <f>M14/(M14-N14)</f>
        <v>3.0097306664841255</v>
      </c>
      <c r="Q14" s="98">
        <f>P14*(1-(N14/N15)^(P14-1))</f>
        <v>2.6588891870642852</v>
      </c>
      <c r="R14" s="99">
        <f>MIN(1,MAX((M$22^(-Q14+1)-O15^(-Q14+1))/(O14^(-Q14+1)-O15^(-Q14+1)),0))</f>
        <v>0</v>
      </c>
      <c r="S14" s="162">
        <f>MIN(1,MAX((M$22^(-Q14)-O15^(-Q14))/(O14^(-Q14)-O15^(-Q14)),0))*B14*(1+K14)^6</f>
        <v>0</v>
      </c>
      <c r="T14" s="71">
        <f t="shared" si="0"/>
        <v>0.43</v>
      </c>
      <c r="U14" s="70">
        <f>F14+MAX(0,M$23/H14-G14)*R14</f>
        <v>0.43</v>
      </c>
      <c r="V14" s="164">
        <f>(U14-T14)*M14*B14*(1+K14)^10/1000000</f>
        <v>0</v>
      </c>
    </row>
    <row r="15" spans="1:22" ht="15" customHeight="1">
      <c r="A15" s="38" t="s">
        <v>29</v>
      </c>
      <c r="B15" s="89">
        <f>'Guzzardi et al. (2024)'!C30*0.9</f>
        <v>45629.1</v>
      </c>
      <c r="C15" s="63">
        <f>(B15*D15)/(D$14*B$14/C$14)</f>
        <v>2.8490773861392697E-2</v>
      </c>
      <c r="D15" s="4">
        <f>('Guzzardi et al. (2024)'!E30*SUM(B15:B18)-B16*D16-B17*D17-B18*D18)/B15</f>
        <v>828731.7858350646</v>
      </c>
      <c r="E15" s="4">
        <f>D15/'Guzzardi et al. (2024)'!G$30</f>
        <v>351780.29656579491</v>
      </c>
      <c r="F15" s="35">
        <f>'Guzzardi et al. (2024)'!C11</f>
        <v>0.36</v>
      </c>
      <c r="G15" s="35">
        <f>'Guzzardi et al. (2024)'!D11</f>
        <v>0.15</v>
      </c>
      <c r="H15" s="96">
        <v>0.108</v>
      </c>
      <c r="I15" s="96">
        <f>WID!O26</f>
        <v>6.0947378546226894E-2</v>
      </c>
      <c r="J15" s="96">
        <f>WID!O57</f>
        <v>5.6375828337975165E-2</v>
      </c>
      <c r="K15" s="20">
        <f>WID!O$70</f>
        <v>-8.4327136323003593E-5</v>
      </c>
      <c r="L15" s="152">
        <f t="shared" ref="L15:L18" si="3">H15*G15</f>
        <v>1.6199999999999999E-2</v>
      </c>
      <c r="M15" s="159">
        <f t="shared" ref="M15:M18" si="4">D15*(1+I15)^10</f>
        <v>1497450.368416836</v>
      </c>
      <c r="N15" s="159">
        <f t="shared" ref="N15:N18" si="5">E15*(1+J15)^10</f>
        <v>608773.95417348668</v>
      </c>
      <c r="O15" s="89">
        <f t="shared" ref="O15:O18" si="6">(N15/H15)/1000000</f>
        <v>5.6367958719767284</v>
      </c>
      <c r="P15" s="98">
        <f>M15/(M15-N15)</f>
        <v>1.6850344449524053</v>
      </c>
      <c r="Q15" s="98">
        <f t="shared" ref="Q15:Q17" si="7">P15*(1-(N15/N16)^(P15-1))</f>
        <v>1.0456869094901009</v>
      </c>
      <c r="R15" s="99">
        <f>MIN(1,MAX((M$22^(-Q15+1)-O16^(-Q15+1))/(O15^(-Q15+1)-O16^(-Q15+1)),0))</f>
        <v>0</v>
      </c>
      <c r="S15" s="162">
        <f t="shared" ref="S15:S17" si="8">MIN(1,MAX((M$22^(-Q15)-O16^(-Q15))/(O15^(-Q15)-O16^(-Q15)),0))*B15*(1+K15)^6</f>
        <v>0</v>
      </c>
      <c r="T15" s="71">
        <f t="shared" si="0"/>
        <v>0.36</v>
      </c>
      <c r="U15" s="70">
        <f>F15+MAX(0,M$23/H15-G15)*R15</f>
        <v>0.36</v>
      </c>
      <c r="V15" s="164">
        <f t="shared" ref="V15:V18" si="9">(U15-T15)*M15*B15*(1+K15)^10/1000000</f>
        <v>0</v>
      </c>
    </row>
    <row r="16" spans="1:22" ht="15" customHeight="1">
      <c r="A16" s="38" t="s">
        <v>8</v>
      </c>
      <c r="B16" s="89">
        <f>'Guzzardi et al. (2024)'!C30*0.09</f>
        <v>4562.91</v>
      </c>
      <c r="C16" s="63">
        <f t="shared" ref="C16:C18" si="10">(B16*D16)/(D$14*B$14/C$14)</f>
        <v>1.073893619039298E-2</v>
      </c>
      <c r="D16" s="4">
        <f>(('Guzzardi et al. (2024)'!E30*(SUM(B15:B18)/SUM(B16:B18))^(('Guzzardi et al. (2024)'!G30-1)/'Guzzardi et al. (2024)'!G30))*SUM(B16:B18)-B17*D17-B18*D18)/B16</f>
        <v>3123712.1919994564</v>
      </c>
      <c r="E16" s="4">
        <f>D16/'Guzzardi et al. (2024)'!G$30</f>
        <v>1325954.2110847125</v>
      </c>
      <c r="F16" s="35">
        <f>'Guzzardi et al. (2024)'!C11 - (1/3)*('Guzzardi et al. (2024)'!C11 - 'Guzzardi et al. (2024)'!C12)</f>
        <v>0.3</v>
      </c>
      <c r="G16" s="35">
        <f>F16*('Guzzardi et al. (2024)'!D$11/'Guzzardi et al. (2024)'!C$11)</f>
        <v>0.125</v>
      </c>
      <c r="H16" s="96">
        <v>8.3000000000000004E-2</v>
      </c>
      <c r="I16" s="96">
        <f>WID!O27</f>
        <v>6.8384531363919754E-2</v>
      </c>
      <c r="J16" s="96">
        <f>WID!O58</f>
        <v>6.5689780550636678E-2</v>
      </c>
      <c r="K16" s="20">
        <f>WID!O$70</f>
        <v>-8.4327136323003593E-5</v>
      </c>
      <c r="L16" s="152">
        <f t="shared" si="3"/>
        <v>1.0375000000000001E-2</v>
      </c>
      <c r="M16" s="159">
        <f t="shared" si="4"/>
        <v>6052669.0375498645</v>
      </c>
      <c r="N16" s="159">
        <f t="shared" si="5"/>
        <v>2505166.169090745</v>
      </c>
      <c r="O16" s="89">
        <f t="shared" si="6"/>
        <v>30.182724928804156</v>
      </c>
      <c r="P16" s="98">
        <f>M16/(M16-N16)</f>
        <v>1.7061773484002509</v>
      </c>
      <c r="Q16" s="98">
        <f t="shared" si="7"/>
        <v>1.0990740246261153</v>
      </c>
      <c r="R16" s="99">
        <f>MIN(1,MAX((M$22^(-Q16+1)-O17^(-Q16+1))/(O16^(-Q16+1)-O17^(-Q16+1)),0))</f>
        <v>0</v>
      </c>
      <c r="S16" s="162">
        <f t="shared" si="8"/>
        <v>0</v>
      </c>
      <c r="T16" s="71">
        <f t="shared" si="0"/>
        <v>0.3</v>
      </c>
      <c r="U16" s="70">
        <f>F16+MAX(0,M$23/H16-G16)*R16</f>
        <v>0.3</v>
      </c>
      <c r="V16" s="164">
        <f t="shared" si="9"/>
        <v>0</v>
      </c>
    </row>
    <row r="17" spans="1:22" s="85" customFormat="1" ht="15" customHeight="1">
      <c r="A17" s="38" t="s">
        <v>195</v>
      </c>
      <c r="B17" s="89">
        <f>'Guzzardi et al. (2024)'!C30*0.009</f>
        <v>456.29099999999994</v>
      </c>
      <c r="C17" s="63">
        <f t="shared" si="10"/>
        <v>4.1122131681874743E-3</v>
      </c>
      <c r="D17" s="4">
        <f>(('Guzzardi et al. (2024)'!E30*(SUM(B15:B18)/SUM(B17:B18))^(('Guzzardi et al. (2024)'!G30-1)/'Guzzardi et al. (2024)'!G30))*(B17+B18)-B18*D18)/B17</f>
        <v>11961492.443785403</v>
      </c>
      <c r="E17" s="4">
        <f>D17/'Guzzardi et al. (2024)'!G$30</f>
        <v>5077417.6050269054</v>
      </c>
      <c r="F17" s="35">
        <f>'Guzzardi et al. (2024)'!C11 - (2/3)*('Guzzardi et al. (2024)'!C11 - 'Guzzardi et al. (2024)'!C12)</f>
        <v>0.24</v>
      </c>
      <c r="G17" s="35">
        <f>F17*('Guzzardi et al. (2024)'!D$11/'Guzzardi et al. (2024)'!C$11)</f>
        <v>0.1</v>
      </c>
      <c r="H17" s="96">
        <v>7.3999999999999996E-2</v>
      </c>
      <c r="I17" s="96">
        <f>WID!O28</f>
        <v>8.1211273676845996E-2</v>
      </c>
      <c r="J17" s="96">
        <f>WID!O59</f>
        <v>7.8617252423557993E-2</v>
      </c>
      <c r="K17" s="20">
        <f>WID!O$70</f>
        <v>-8.4327136323003593E-5</v>
      </c>
      <c r="L17" s="152">
        <f t="shared" si="3"/>
        <v>7.4000000000000003E-3</v>
      </c>
      <c r="M17" s="159">
        <f t="shared" si="4"/>
        <v>26115059.772545647</v>
      </c>
      <c r="N17" s="159">
        <f t="shared" si="5"/>
        <v>10822223.77519024</v>
      </c>
      <c r="O17" s="89">
        <f t="shared" si="6"/>
        <v>146.24626723230054</v>
      </c>
      <c r="P17" s="98">
        <f>M17/(M17-N17)</f>
        <v>1.7076662417004753</v>
      </c>
      <c r="Q17" s="98">
        <f t="shared" si="7"/>
        <v>1.2067747065751648</v>
      </c>
      <c r="R17" s="99">
        <f>MIN(1,MAX((M$22^(-Q17+1)-O18^(-Q17+1))/(O17^(-Q17+1)-O18^(-Q17+1)),0))</f>
        <v>0.14725955363948842</v>
      </c>
      <c r="S17" s="162">
        <f t="shared" si="8"/>
        <v>19.136171038948142</v>
      </c>
      <c r="T17" s="71">
        <f t="shared" si="0"/>
        <v>0.24</v>
      </c>
      <c r="U17" s="70">
        <f>F17+MAX(0,M$23/H17-G17)*R17</f>
        <v>0.26507392399807506</v>
      </c>
      <c r="V17" s="164">
        <f t="shared" si="9"/>
        <v>298.53069258009668</v>
      </c>
    </row>
    <row r="18" spans="1:22" ht="15" customHeight="1">
      <c r="A18" s="38" t="s">
        <v>197</v>
      </c>
      <c r="B18" s="89">
        <f>'Guzzardi et al. (2024)'!C30*0.0009</f>
        <v>45.629100000000001</v>
      </c>
      <c r="C18" s="63">
        <f t="shared" si="10"/>
        <v>2.3268805754054268E-3</v>
      </c>
      <c r="D18" s="138">
        <f>'Guzzardi et al. (2024)'!E30*(SUM(B15:B18)/B18)^(('Guzzardi et al. (2024)'!G30-1)/'Guzzardi et al. (2024)'!G30)</f>
        <v>67683661.527135476</v>
      </c>
      <c r="E18" s="4">
        <f>D18/'Guzzardi et al. (2024)'!G$30</f>
        <v>28730379.27546471</v>
      </c>
      <c r="F18" s="35">
        <f>'Guzzardi et al. (2024)'!C12</f>
        <v>0.18</v>
      </c>
      <c r="G18" s="35">
        <f>F18*('Guzzardi et al. (2024)'!D$11/'Guzzardi et al. (2024)'!C$11)</f>
        <v>7.4999999999999997E-2</v>
      </c>
      <c r="H18" s="96">
        <v>0.04</v>
      </c>
      <c r="I18" s="96">
        <f>WID!O28</f>
        <v>8.1211273676845996E-2</v>
      </c>
      <c r="J18" s="96">
        <f>WID!O59</f>
        <v>7.8617252423557993E-2</v>
      </c>
      <c r="K18" s="20">
        <f>WID!O$70</f>
        <v>-8.4327136323003593E-5</v>
      </c>
      <c r="L18" s="152">
        <f t="shared" si="3"/>
        <v>3.0000000000000001E-3</v>
      </c>
      <c r="M18" s="159">
        <f t="shared" si="4"/>
        <v>147771097.52088076</v>
      </c>
      <c r="N18" s="159">
        <f t="shared" si="5"/>
        <v>61237152.003674813</v>
      </c>
      <c r="O18" s="89">
        <f t="shared" si="6"/>
        <v>1530.9288000918702</v>
      </c>
      <c r="P18" s="98">
        <f>M18/(M18-N18)</f>
        <v>1.7076662417004751</v>
      </c>
      <c r="Q18" s="98"/>
      <c r="R18" s="99">
        <f>IF(M$22&lt;=O18, 1, (O18/M$22)^(P18-1))</f>
        <v>1</v>
      </c>
      <c r="S18" s="163">
        <f>IF(M$22&lt;=O18, 1, (O18/M$22)^P18)*B18*(1+K18)^6</f>
        <v>45.606018238509897</v>
      </c>
      <c r="T18" s="71">
        <v>0.26</v>
      </c>
      <c r="U18" s="70">
        <f>T18+MAX(0,M$23/H18-G18)*R18</f>
        <v>0.68500000000000005</v>
      </c>
      <c r="V18" s="164">
        <f t="shared" si="9"/>
        <v>2863.2158408716618</v>
      </c>
    </row>
    <row r="19" spans="1:22" ht="15" customHeight="1">
      <c r="A19" s="38"/>
      <c r="G19" s="34"/>
      <c r="H19" s="94"/>
      <c r="I19" s="94"/>
      <c r="J19" s="94"/>
      <c r="S19" s="49">
        <f>SUM(S14:S18)</f>
        <v>64.742189277458039</v>
      </c>
      <c r="V19" s="72">
        <f>SUM(V14:V18)</f>
        <v>3161.7465334517583</v>
      </c>
    </row>
    <row r="20" spans="1:22" ht="15" customHeight="1">
      <c r="B20" s="6" t="s">
        <v>234</v>
      </c>
      <c r="C20" s="6"/>
      <c r="D20" s="6"/>
      <c r="E20" s="6"/>
      <c r="F20" s="6"/>
      <c r="G20" s="6"/>
      <c r="H20" s="95"/>
      <c r="I20" s="95"/>
      <c r="J20" s="95"/>
      <c r="O20" s="10"/>
      <c r="P20" s="10"/>
      <c r="Q20" s="10"/>
    </row>
    <row r="21" spans="1:22" ht="15" customHeight="1">
      <c r="B21" t="s">
        <v>137</v>
      </c>
      <c r="G21" s="34"/>
      <c r="L21" s="254" t="s">
        <v>61</v>
      </c>
      <c r="M21" s="254"/>
      <c r="O21" s="137"/>
      <c r="P21" s="137"/>
      <c r="Q21" s="137"/>
      <c r="T21" s="254" t="s">
        <v>211</v>
      </c>
      <c r="U21" s="254"/>
      <c r="V21" s="254"/>
    </row>
    <row r="22" spans="1:22" ht="15" customHeight="1">
      <c r="B22" t="s">
        <v>208</v>
      </c>
      <c r="G22" s="34"/>
      <c r="L22" s="38" t="s">
        <v>58</v>
      </c>
      <c r="M22" s="3">
        <v>1000</v>
      </c>
      <c r="O22" s="10"/>
      <c r="P22" s="10"/>
      <c r="Q22" s="10"/>
      <c r="T22" s="119">
        <f>V19</f>
        <v>3161.7465334517583</v>
      </c>
      <c r="U22" s="5">
        <v>0.02</v>
      </c>
      <c r="V22" s="5">
        <v>0.03</v>
      </c>
    </row>
    <row r="23" spans="1:22" ht="15" customHeight="1">
      <c r="B23" t="s">
        <v>296</v>
      </c>
      <c r="G23" s="34"/>
      <c r="L23" s="38" t="s">
        <v>59</v>
      </c>
      <c r="M23" s="10">
        <v>0.02</v>
      </c>
      <c r="T23" s="22">
        <v>100</v>
      </c>
      <c r="U23" s="66">
        <f t="dataTable" ref="U23:V24" dt2D="1" dtr="1" r1="M23" r2="M22"/>
        <v>5616.1741211300532</v>
      </c>
      <c r="V23" s="66">
        <v>9663.3319952070669</v>
      </c>
    </row>
    <row r="24" spans="1:22" ht="15" customHeight="1">
      <c r="B24" t="s">
        <v>209</v>
      </c>
      <c r="G24" s="32"/>
      <c r="T24" s="22">
        <v>1000</v>
      </c>
      <c r="U24" s="66">
        <v>3161.7465334517583</v>
      </c>
      <c r="V24" s="66">
        <v>5082.9202668245207</v>
      </c>
    </row>
    <row r="25" spans="1:22" ht="15" customHeight="1">
      <c r="B25" t="s">
        <v>236</v>
      </c>
    </row>
    <row r="26" spans="1:22" ht="15" customHeight="1">
      <c r="B26" s="85" t="s">
        <v>235</v>
      </c>
      <c r="D26" s="31"/>
      <c r="E26" s="31"/>
      <c r="F26" s="31"/>
    </row>
    <row r="27" spans="1:22">
      <c r="D27" s="3"/>
      <c r="E27" s="3"/>
      <c r="F27" s="3"/>
      <c r="L27" s="43"/>
    </row>
    <row r="28" spans="1:22">
      <c r="D28" s="10"/>
      <c r="E28" s="10"/>
      <c r="F28" s="10"/>
    </row>
    <row r="30" spans="1:22">
      <c r="L30" s="43"/>
    </row>
    <row r="31" spans="1:22">
      <c r="L31" s="43"/>
    </row>
    <row r="33" spans="12:12">
      <c r="L33" s="47"/>
    </row>
    <row r="34" spans="12:12">
      <c r="L34" s="43"/>
    </row>
  </sheetData>
  <mergeCells count="5">
    <mergeCell ref="T21:V21"/>
    <mergeCell ref="L2:V2"/>
    <mergeCell ref="B2:G2"/>
    <mergeCell ref="L21:M21"/>
    <mergeCell ref="H2:K2"/>
  </mergeCell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45D3ED-C60F-427A-BF5B-E75CB6E9B42E}">
  <sheetPr>
    <tabColor theme="2" tint="-0.499984740745262"/>
  </sheetPr>
  <dimension ref="B2:I28"/>
  <sheetViews>
    <sheetView zoomScale="115" zoomScaleNormal="115" workbookViewId="0">
      <selection activeCell="H2" sqref="H2"/>
    </sheetView>
  </sheetViews>
  <sheetFormatPr baseColWidth="10" defaultRowHeight="14.4"/>
  <cols>
    <col min="2" max="6" width="18.5546875" customWidth="1"/>
  </cols>
  <sheetData>
    <row r="2" spans="2:9" ht="33" customHeight="1">
      <c r="B2" s="258" t="s">
        <v>258</v>
      </c>
      <c r="C2" s="258"/>
      <c r="D2" s="258"/>
      <c r="E2" s="258"/>
      <c r="F2" s="258"/>
    </row>
    <row r="3" spans="2:9" ht="19.2" customHeight="1">
      <c r="B3" s="28"/>
      <c r="C3" s="260" t="s">
        <v>212</v>
      </c>
      <c r="D3" s="260"/>
      <c r="E3" s="260" t="s">
        <v>213</v>
      </c>
      <c r="F3" s="260"/>
      <c r="H3" s="257" t="s">
        <v>259</v>
      </c>
      <c r="I3" s="257"/>
    </row>
    <row r="4" spans="2:9" ht="19.2" customHeight="1">
      <c r="B4" s="28"/>
      <c r="C4" s="39" t="s">
        <v>214</v>
      </c>
      <c r="D4" s="39" t="s">
        <v>197</v>
      </c>
      <c r="E4" s="39" t="s">
        <v>214</v>
      </c>
      <c r="F4" s="39" t="s">
        <v>197</v>
      </c>
      <c r="G4" s="30"/>
    </row>
    <row r="5" spans="2:9" ht="19.2" customHeight="1">
      <c r="B5" s="262" t="s">
        <v>215</v>
      </c>
      <c r="C5" s="122">
        <f>USA!U23/1000</f>
        <v>103.46466094783786</v>
      </c>
      <c r="D5" s="122">
        <f>USA!U24/1000</f>
        <v>103.46466094783786</v>
      </c>
      <c r="E5" s="122">
        <f>USA!V23/1000</f>
        <v>287.506636489681</v>
      </c>
      <c r="F5" s="122">
        <f>USA!V24/1000</f>
        <v>210.5010208428001</v>
      </c>
      <c r="H5" s="166" t="s">
        <v>287</v>
      </c>
      <c r="I5" s="139"/>
    </row>
    <row r="6" spans="2:9" ht="19.2" customHeight="1">
      <c r="B6" s="262"/>
      <c r="C6" s="123">
        <v>145.6</v>
      </c>
      <c r="D6" s="123">
        <v>94</v>
      </c>
      <c r="E6" s="123">
        <v>288.3</v>
      </c>
      <c r="F6" s="123">
        <v>161.1</v>
      </c>
      <c r="H6" s="167"/>
      <c r="I6" s="139"/>
    </row>
    <row r="7" spans="2:9" ht="19.2" customHeight="1">
      <c r="B7" s="261" t="s">
        <v>144</v>
      </c>
      <c r="C7" s="122">
        <f>FRA!U23/1000</f>
        <v>16.983738265907796</v>
      </c>
      <c r="D7" s="122">
        <f>FRA!U24/1000</f>
        <v>13.070686827883684</v>
      </c>
      <c r="E7" s="122">
        <f>FRA!V23/1000</f>
        <v>28.076522816202999</v>
      </c>
      <c r="F7" s="122">
        <f>FRA!V24/1000</f>
        <v>20.367647263003082</v>
      </c>
      <c r="H7" s="167" t="s">
        <v>291</v>
      </c>
      <c r="I7" s="139"/>
    </row>
    <row r="8" spans="2:9" ht="19.2" customHeight="1">
      <c r="B8" s="261"/>
      <c r="C8" s="123">
        <v>19.399999999999999</v>
      </c>
      <c r="D8" s="123">
        <v>12.5</v>
      </c>
      <c r="E8" s="123">
        <v>34.799999999999997</v>
      </c>
      <c r="F8" s="123">
        <v>19.5</v>
      </c>
      <c r="H8" s="167"/>
      <c r="I8" s="139"/>
    </row>
    <row r="9" spans="2:9" ht="19.2" customHeight="1">
      <c r="B9" s="263" t="s">
        <v>145</v>
      </c>
      <c r="C9" s="122">
        <f>NDL!U23/1000</f>
        <v>4.2723834174394284</v>
      </c>
      <c r="D9" s="122">
        <f>NDL!U24/1000</f>
        <v>0.91587085762606879</v>
      </c>
      <c r="E9" s="122">
        <f>NDL!V23/1000</f>
        <v>6.7203524913023633</v>
      </c>
      <c r="F9" s="122">
        <f>NDL!V24/1000</f>
        <v>1.3875361635151993</v>
      </c>
      <c r="H9" s="167" t="s">
        <v>290</v>
      </c>
      <c r="I9" s="139"/>
    </row>
    <row r="10" spans="2:9" ht="19.2" customHeight="1">
      <c r="B10" s="263"/>
      <c r="C10" s="123">
        <v>1</v>
      </c>
      <c r="D10" s="123">
        <v>0.6</v>
      </c>
      <c r="E10" s="123">
        <v>1.7</v>
      </c>
      <c r="F10" s="123">
        <v>1</v>
      </c>
      <c r="H10" s="166"/>
      <c r="I10" s="139"/>
    </row>
    <row r="11" spans="2:9" ht="19.2" customHeight="1">
      <c r="B11" s="264" t="s">
        <v>142</v>
      </c>
      <c r="C11" s="122">
        <f>ITA!U23/1000</f>
        <v>5.6161741211300535</v>
      </c>
      <c r="D11" s="122">
        <f>ITA!U24/1000</f>
        <v>3.1617465334517583</v>
      </c>
      <c r="E11" s="122">
        <f>ITA!V23/1000</f>
        <v>9.6633319952070664</v>
      </c>
      <c r="F11" s="122">
        <f>ITA!V24/1000</f>
        <v>5.0829202668245204</v>
      </c>
      <c r="H11" s="167" t="s">
        <v>289</v>
      </c>
      <c r="I11" s="139"/>
    </row>
    <row r="12" spans="2:9" ht="19.2" customHeight="1">
      <c r="B12" s="264"/>
      <c r="C12" s="123">
        <v>8.3000000000000007</v>
      </c>
      <c r="D12" s="123">
        <v>5.4</v>
      </c>
      <c r="E12" s="123">
        <v>15</v>
      </c>
      <c r="F12" s="123">
        <v>8.4</v>
      </c>
      <c r="H12" s="167"/>
      <c r="I12" s="139"/>
    </row>
    <row r="13" spans="2:9" ht="19.2" customHeight="1">
      <c r="B13" s="259" t="s">
        <v>143</v>
      </c>
      <c r="C13" s="122">
        <f>BRA!U23/1000</f>
        <v>16.658254712723952</v>
      </c>
      <c r="D13" s="122">
        <f>BRA!U24/1000</f>
        <v>5.6152888652676136</v>
      </c>
      <c r="E13" s="122">
        <f>BRA!V23/1000</f>
        <v>25.773375196274987</v>
      </c>
      <c r="F13" s="122">
        <f>BRA!V24/1000</f>
        <v>8.6732000916559873</v>
      </c>
      <c r="H13" s="167" t="s">
        <v>288</v>
      </c>
      <c r="I13" s="139"/>
    </row>
    <row r="14" spans="2:9" ht="19.2" customHeight="1">
      <c r="B14" s="259"/>
      <c r="C14" s="123">
        <v>5.5</v>
      </c>
      <c r="D14" s="123">
        <v>3.5</v>
      </c>
      <c r="E14" s="123">
        <v>9.8000000000000007</v>
      </c>
      <c r="F14" s="123">
        <v>5.5</v>
      </c>
      <c r="G14" s="167"/>
      <c r="I14" s="165"/>
    </row>
    <row r="15" spans="2:9" s="85" customFormat="1" ht="13.2" customHeight="1">
      <c r="B15" s="128"/>
      <c r="C15" s="123"/>
      <c r="D15" s="123"/>
      <c r="E15" s="123"/>
      <c r="F15" s="123"/>
    </row>
    <row r="16" spans="2:9" s="85" customFormat="1" ht="13.2" customHeight="1">
      <c r="B16" s="19" t="s">
        <v>253</v>
      </c>
      <c r="C16" s="18"/>
      <c r="D16" s="18"/>
      <c r="E16" s="18"/>
      <c r="F16" s="121"/>
    </row>
    <row r="17" spans="2:6" s="85" customFormat="1" ht="13.2" customHeight="1">
      <c r="B17" s="18" t="s">
        <v>254</v>
      </c>
      <c r="C17" s="18"/>
      <c r="D17" s="18"/>
      <c r="E17" s="18"/>
      <c r="F17" s="121"/>
    </row>
    <row r="18" spans="2:6" s="85" customFormat="1" ht="13.2" customHeight="1">
      <c r="B18" s="18" t="s">
        <v>255</v>
      </c>
      <c r="C18" s="18"/>
      <c r="D18" s="18"/>
      <c r="E18" s="18"/>
      <c r="F18" s="121"/>
    </row>
    <row r="19" spans="2:6" s="85" customFormat="1" ht="13.2" customHeight="1">
      <c r="B19" s="18" t="s">
        <v>281</v>
      </c>
      <c r="C19" s="18"/>
      <c r="D19" s="18"/>
      <c r="E19" s="18"/>
      <c r="F19" s="121"/>
    </row>
    <row r="20" spans="2:6" s="85" customFormat="1" ht="13.2" customHeight="1">
      <c r="B20" s="18" t="s">
        <v>256</v>
      </c>
      <c r="C20" s="18"/>
      <c r="D20" s="18"/>
      <c r="E20" s="18"/>
      <c r="F20" s="121"/>
    </row>
    <row r="21" spans="2:6" s="85" customFormat="1">
      <c r="B21" s="18" t="s">
        <v>257</v>
      </c>
      <c r="C21" s="120"/>
      <c r="D21" s="18"/>
      <c r="E21" s="18"/>
      <c r="F21" s="18"/>
    </row>
    <row r="23" spans="2:6">
      <c r="B23" s="23" t="s">
        <v>284</v>
      </c>
    </row>
    <row r="25" spans="2:6">
      <c r="B25" t="s">
        <v>282</v>
      </c>
    </row>
    <row r="26" spans="2:6">
      <c r="B26" t="s">
        <v>283</v>
      </c>
    </row>
    <row r="27" spans="2:6">
      <c r="B27" t="s">
        <v>285</v>
      </c>
    </row>
    <row r="28" spans="2:6">
      <c r="B28" t="s">
        <v>286</v>
      </c>
    </row>
  </sheetData>
  <mergeCells count="9">
    <mergeCell ref="H3:I3"/>
    <mergeCell ref="B2:F2"/>
    <mergeCell ref="B13:B14"/>
    <mergeCell ref="C3:D3"/>
    <mergeCell ref="E3:F3"/>
    <mergeCell ref="B7:B8"/>
    <mergeCell ref="B5:B6"/>
    <mergeCell ref="B9:B10"/>
    <mergeCell ref="B11:B12"/>
  </mergeCells>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FBD01E-3CD0-46FD-823B-1AD7FFA821E3}">
  <sheetPr>
    <tabColor theme="1" tint="0.14999847407452621"/>
  </sheetPr>
  <dimension ref="A2:A10"/>
  <sheetViews>
    <sheetView workbookViewId="0">
      <selection activeCell="G18" sqref="G18"/>
    </sheetView>
  </sheetViews>
  <sheetFormatPr baseColWidth="10" defaultRowHeight="14.4"/>
  <sheetData>
    <row r="2" spans="1:1" ht="23.4">
      <c r="A2" s="127" t="s">
        <v>219</v>
      </c>
    </row>
    <row r="4" spans="1:1">
      <c r="A4" s="48" t="s">
        <v>107</v>
      </c>
    </row>
    <row r="5" spans="1:1">
      <c r="A5" s="48" t="s">
        <v>387</v>
      </c>
    </row>
    <row r="6" spans="1:1">
      <c r="A6" s="48" t="s">
        <v>216</v>
      </c>
    </row>
    <row r="7" spans="1:1">
      <c r="A7" s="48" t="s">
        <v>196</v>
      </c>
    </row>
    <row r="8" spans="1:1">
      <c r="A8" s="48" t="s">
        <v>108</v>
      </c>
    </row>
    <row r="9" spans="1:1">
      <c r="A9" s="55" t="s">
        <v>109</v>
      </c>
    </row>
    <row r="10" spans="1:1">
      <c r="A10" s="48" t="s">
        <v>140</v>
      </c>
    </row>
  </sheetData>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26C197-42CD-4DDA-A3EF-7FF5B45CE247}">
  <dimension ref="A1:AW50"/>
  <sheetViews>
    <sheetView topLeftCell="M4" zoomScaleNormal="100" workbookViewId="0">
      <selection activeCell="AE32" sqref="AE32"/>
    </sheetView>
  </sheetViews>
  <sheetFormatPr baseColWidth="10" defaultRowHeight="14.4"/>
  <cols>
    <col min="1" max="1" width="11.5546875" style="85"/>
    <col min="2" max="13" width="14.33203125" style="85" customWidth="1"/>
    <col min="14" max="14" width="11.5546875" style="85"/>
    <col min="15" max="15" width="4.33203125" style="85" customWidth="1"/>
    <col min="16" max="16" width="8.33203125" style="85" customWidth="1"/>
    <col min="17" max="17" width="8.33203125" customWidth="1"/>
    <col min="18" max="20" width="11" style="85" customWidth="1"/>
    <col min="21" max="22" width="11" customWidth="1"/>
    <col min="23" max="27" width="11" style="85" customWidth="1"/>
    <col min="28" max="28" width="11" customWidth="1"/>
    <col min="29" max="31" width="11" style="85" customWidth="1"/>
    <col min="32" max="32" width="11.5546875" style="85"/>
    <col min="34" max="34" width="13.5546875" customWidth="1"/>
    <col min="35" max="37" width="14.88671875" customWidth="1"/>
    <col min="38" max="39" width="14.88671875" style="85" customWidth="1"/>
    <col min="40" max="44" width="14.88671875" customWidth="1"/>
  </cols>
  <sheetData>
    <row r="1" spans="2:47" s="85" customFormat="1"/>
    <row r="2" spans="2:47" s="85" customFormat="1" ht="23.4" customHeight="1">
      <c r="B2" s="252" t="s">
        <v>443</v>
      </c>
      <c r="C2" s="252"/>
      <c r="D2" s="252"/>
      <c r="E2" s="252"/>
      <c r="F2" s="252"/>
      <c r="G2" s="252"/>
      <c r="H2" s="252"/>
      <c r="I2" s="252"/>
      <c r="J2" s="252"/>
      <c r="K2" s="252"/>
      <c r="L2" s="252"/>
      <c r="P2" s="288" t="s">
        <v>474</v>
      </c>
      <c r="Q2" s="288"/>
      <c r="R2" s="288"/>
      <c r="S2" s="288"/>
      <c r="T2" s="288"/>
      <c r="U2" s="288"/>
      <c r="V2" s="288"/>
      <c r="W2" s="288"/>
      <c r="X2" s="288"/>
      <c r="Y2" s="288"/>
      <c r="Z2" s="288"/>
      <c r="AA2" s="288"/>
      <c r="AB2" s="288"/>
      <c r="AC2" s="288"/>
      <c r="AD2" s="288"/>
      <c r="AE2" s="288"/>
      <c r="AF2" s="288"/>
    </row>
    <row r="3" spans="2:47" s="85" customFormat="1" ht="35.4" customHeight="1">
      <c r="C3" s="270" t="s">
        <v>221</v>
      </c>
      <c r="D3" s="270"/>
      <c r="E3" s="270"/>
      <c r="F3" s="270"/>
      <c r="G3" s="270"/>
      <c r="H3" s="270" t="s">
        <v>225</v>
      </c>
      <c r="I3" s="270"/>
      <c r="J3" s="270"/>
      <c r="K3" s="270"/>
      <c r="L3" s="270"/>
      <c r="P3" s="258" t="s">
        <v>151</v>
      </c>
      <c r="Q3" s="258"/>
      <c r="R3" s="266">
        <v>2018</v>
      </c>
      <c r="S3" s="266"/>
      <c r="T3" s="266"/>
      <c r="U3" s="266"/>
      <c r="V3" s="266"/>
      <c r="W3" s="266">
        <v>2021</v>
      </c>
      <c r="X3" s="266"/>
      <c r="Y3" s="266"/>
      <c r="Z3" s="266"/>
      <c r="AA3" s="266"/>
      <c r="AB3" s="266">
        <v>2024</v>
      </c>
      <c r="AC3" s="266"/>
      <c r="AD3" s="266"/>
      <c r="AE3" s="266"/>
      <c r="AF3" s="266"/>
    </row>
    <row r="4" spans="2:47" ht="28.8">
      <c r="B4" s="42" t="s">
        <v>146</v>
      </c>
      <c r="C4" s="42" t="s">
        <v>226</v>
      </c>
      <c r="D4" s="42" t="s">
        <v>223</v>
      </c>
      <c r="E4" s="42" t="s">
        <v>222</v>
      </c>
      <c r="F4" s="42" t="s">
        <v>229</v>
      </c>
      <c r="G4" s="42" t="s">
        <v>230</v>
      </c>
      <c r="H4" s="42" t="s">
        <v>177</v>
      </c>
      <c r="I4" s="42" t="s">
        <v>17</v>
      </c>
      <c r="J4" s="42" t="s">
        <v>224</v>
      </c>
      <c r="K4" s="42" t="s">
        <v>227</v>
      </c>
      <c r="L4" s="42" t="s">
        <v>228</v>
      </c>
      <c r="M4" s="141" t="s">
        <v>244</v>
      </c>
      <c r="R4" s="39" t="s">
        <v>57</v>
      </c>
      <c r="S4" s="39" t="s">
        <v>17</v>
      </c>
      <c r="T4" s="39" t="s">
        <v>218</v>
      </c>
      <c r="U4" s="258" t="s">
        <v>148</v>
      </c>
      <c r="V4" s="258"/>
      <c r="W4" s="223" t="s">
        <v>57</v>
      </c>
      <c r="X4" s="223" t="s">
        <v>17</v>
      </c>
      <c r="Y4" s="223" t="s">
        <v>218</v>
      </c>
      <c r="Z4" s="258" t="s">
        <v>148</v>
      </c>
      <c r="AA4" s="258"/>
      <c r="AB4" s="39" t="s">
        <v>57</v>
      </c>
      <c r="AC4" s="39" t="s">
        <v>17</v>
      </c>
      <c r="AD4" s="39" t="s">
        <v>218</v>
      </c>
      <c r="AE4" s="258" t="s">
        <v>148</v>
      </c>
      <c r="AF4" s="258"/>
    </row>
    <row r="5" spans="2:47">
      <c r="B5" s="131" t="s">
        <v>144</v>
      </c>
      <c r="C5" s="88">
        <v>147</v>
      </c>
      <c r="D5" s="86">
        <v>730</v>
      </c>
      <c r="E5" s="87">
        <v>695.2</v>
      </c>
      <c r="F5" s="87">
        <f t="shared" ref="F5:G9" si="0">D5/$C5</f>
        <v>4.9659863945578229</v>
      </c>
      <c r="G5" s="87">
        <f t="shared" si="0"/>
        <v>4.7292517006802726</v>
      </c>
      <c r="H5" s="112">
        <f>FRA!B18*(1+FRA!K18)^9</f>
        <v>78.761550495032225</v>
      </c>
      <c r="I5" s="54">
        <f>FRA!M18</f>
        <v>548402369.83262217</v>
      </c>
      <c r="J5" s="126">
        <f>FRA!D18/FRA!E18</f>
        <v>3.5308579785505363</v>
      </c>
      <c r="K5" s="129">
        <f>I5*(C5/H5)^((1-J5)/J5)</f>
        <v>350629942.30893129</v>
      </c>
      <c r="L5" s="20">
        <f>K5/(E5*1000000000/C5)</f>
        <v>7.4140681126888527E-2</v>
      </c>
      <c r="M5" s="22"/>
      <c r="P5" s="93">
        <v>99</v>
      </c>
      <c r="Q5" s="258" t="s">
        <v>28</v>
      </c>
      <c r="R5" s="15">
        <v>162004</v>
      </c>
      <c r="S5" s="89">
        <v>807940</v>
      </c>
      <c r="T5" s="89">
        <v>4988455</v>
      </c>
      <c r="U5" s="20">
        <v>0.16196197271347046</v>
      </c>
      <c r="V5" s="267">
        <f>SUMPRODUCT(S5:S13,U5:U13)/SUM(S5:S13)</f>
        <v>0.14215643109347997</v>
      </c>
      <c r="W5" s="224">
        <v>166548</v>
      </c>
      <c r="X5" s="224">
        <v>868228</v>
      </c>
      <c r="Y5" s="224">
        <v>6239397</v>
      </c>
      <c r="Z5" s="224">
        <v>0.13915255665779114</v>
      </c>
      <c r="AA5" s="267">
        <f>SUMPRODUCT(X5:X13,Z5:Z13)/SUM(X5:X13)</f>
        <v>0.12033611056313936</v>
      </c>
      <c r="AB5" s="15">
        <v>171380</v>
      </c>
      <c r="AC5" s="15">
        <v>1051200</v>
      </c>
      <c r="AD5" s="15">
        <v>7210150</v>
      </c>
      <c r="AE5" s="214">
        <v>0.14579446613788605</v>
      </c>
      <c r="AF5" s="267">
        <f>SUMPRODUCT(AC5:AC13,AE5:AE13)/SUM(AC5:AC13)</f>
        <v>0.1295357834062407</v>
      </c>
    </row>
    <row r="6" spans="2:47">
      <c r="B6" s="130" t="s">
        <v>147</v>
      </c>
      <c r="C6" s="89">
        <v>936</v>
      </c>
      <c r="D6" s="86">
        <v>7927.6093639999926</v>
      </c>
      <c r="E6" s="87">
        <f>D6*0.95</f>
        <v>7531.2288957999926</v>
      </c>
      <c r="F6" s="87">
        <f t="shared" si="0"/>
        <v>8.4696681239316156</v>
      </c>
      <c r="G6" s="87">
        <f t="shared" si="0"/>
        <v>8.0461847177350343</v>
      </c>
      <c r="H6" s="89">
        <f>USA!B18*(1+USA!K18)^9</f>
        <v>440.60144779664438</v>
      </c>
      <c r="I6" s="54">
        <f>USA!M18</f>
        <v>739215813.18707788</v>
      </c>
      <c r="J6" s="126">
        <f>USA!D18/USA!E18</f>
        <v>3.44</v>
      </c>
      <c r="K6" s="129">
        <f>I6*(C6/H6)^((1-J6)/J6)</f>
        <v>433177907.56575686</v>
      </c>
      <c r="L6" s="20">
        <f>K6/(D6*1000000000/C6)</f>
        <v>5.1144614077827159E-2</v>
      </c>
      <c r="M6" s="22"/>
      <c r="P6" s="93">
        <v>99.099998474121094</v>
      </c>
      <c r="Q6" s="258"/>
      <c r="R6" s="15">
        <v>161841</v>
      </c>
      <c r="S6" s="89">
        <v>865779</v>
      </c>
      <c r="T6" s="89">
        <v>5737162</v>
      </c>
      <c r="U6" s="20">
        <v>0.15090718865394592</v>
      </c>
      <c r="V6" s="267"/>
      <c r="W6" s="224">
        <v>166738</v>
      </c>
      <c r="X6" s="224">
        <v>931737</v>
      </c>
      <c r="Y6" s="224">
        <v>7142127</v>
      </c>
      <c r="Z6" s="224">
        <v>0.13045652210712433</v>
      </c>
      <c r="AA6" s="267"/>
      <c r="AB6" s="15">
        <v>171269</v>
      </c>
      <c r="AC6" s="15">
        <v>1125298</v>
      </c>
      <c r="AD6" s="15">
        <v>8114548</v>
      </c>
      <c r="AE6" s="214">
        <v>0.13867661356925964</v>
      </c>
      <c r="AF6" s="267"/>
    </row>
    <row r="7" spans="2:47">
      <c r="B7" s="132" t="s">
        <v>145</v>
      </c>
      <c r="C7" s="89">
        <v>13</v>
      </c>
      <c r="D7" s="86">
        <v>49.210541999999997</v>
      </c>
      <c r="E7" s="87">
        <f>D7*0.95</f>
        <v>46.750014899999996</v>
      </c>
      <c r="F7" s="87">
        <f t="shared" si="0"/>
        <v>3.7854263076923074</v>
      </c>
      <c r="G7" s="87">
        <f t="shared" si="0"/>
        <v>3.5961549923076919</v>
      </c>
      <c r="H7" s="89">
        <f>NDL!B18/M7*(1+NDL!K18)^9</f>
        <v>8.5287742780887168</v>
      </c>
      <c r="I7" s="54">
        <f>M7*NDL!M18</f>
        <v>276703214.84703231</v>
      </c>
      <c r="J7" s="126">
        <f>NDL!D18/NDL!E18</f>
        <v>1.242880846563327</v>
      </c>
      <c r="K7" s="129">
        <f>I7*(C7/H7)^((1-J7)/J7)</f>
        <v>254824798.67801553</v>
      </c>
      <c r="L7" s="20">
        <f>K7/(E7*1000000000/C7)</f>
        <v>7.086034924053472E-2</v>
      </c>
      <c r="M7" s="22">
        <v>1.8</v>
      </c>
      <c r="P7" s="93">
        <v>99.199996948242188</v>
      </c>
      <c r="Q7" s="258"/>
      <c r="R7" s="15">
        <v>162014</v>
      </c>
      <c r="S7" s="89">
        <v>938270</v>
      </c>
      <c r="T7" s="89">
        <v>5993560</v>
      </c>
      <c r="U7" s="20">
        <v>0.15654635429382324</v>
      </c>
      <c r="V7" s="267"/>
      <c r="W7" s="224">
        <v>166630</v>
      </c>
      <c r="X7" s="224">
        <v>1008746</v>
      </c>
      <c r="Y7" s="224">
        <v>7993723</v>
      </c>
      <c r="Z7" s="224">
        <v>0.12619225680828094</v>
      </c>
      <c r="AA7" s="267"/>
      <c r="AB7" s="15">
        <v>171482</v>
      </c>
      <c r="AC7" s="15">
        <v>1202668</v>
      </c>
      <c r="AD7" s="15">
        <v>8723809</v>
      </c>
      <c r="AE7" s="214">
        <v>0.13786041736602783</v>
      </c>
      <c r="AF7" s="267"/>
    </row>
    <row r="8" spans="2:47">
      <c r="B8" s="133" t="s">
        <v>143</v>
      </c>
      <c r="C8" s="89">
        <v>66</v>
      </c>
      <c r="D8" s="86">
        <v>252.6951380000001</v>
      </c>
      <c r="E8" s="87">
        <f>D8*0.95</f>
        <v>240.06038110000009</v>
      </c>
      <c r="F8" s="87">
        <f t="shared" si="0"/>
        <v>3.8287142121212137</v>
      </c>
      <c r="G8" s="87">
        <f t="shared" si="0"/>
        <v>3.6372785015151528</v>
      </c>
      <c r="H8" s="89">
        <f>BRA!B18/M8*(1+BRA!K18)^9</f>
        <v>92.503431345166319</v>
      </c>
      <c r="I8" s="54">
        <f>M8*BRA!M18</f>
        <v>303481395.56729132</v>
      </c>
      <c r="J8" s="126">
        <f>BRA!D18/BRA!E18</f>
        <v>2.4618511479036091</v>
      </c>
      <c r="K8" s="129">
        <f>I8*(C8/H8)^((1-J8)/J8)</f>
        <v>370844331.55454284</v>
      </c>
      <c r="L8" s="20">
        <f>K8/(D8*1000000000/C8)</f>
        <v>9.6858713136775187E-2</v>
      </c>
      <c r="M8" s="22">
        <v>1.8</v>
      </c>
      <c r="P8" s="93">
        <v>99.300003051757813</v>
      </c>
      <c r="Q8" s="258"/>
      <c r="R8" s="15">
        <v>161832</v>
      </c>
      <c r="S8" s="89">
        <v>1022692</v>
      </c>
      <c r="T8" s="89">
        <v>6954512</v>
      </c>
      <c r="U8" s="20">
        <v>0.14705446362495422</v>
      </c>
      <c r="V8" s="267"/>
      <c r="W8" s="224">
        <v>166586</v>
      </c>
      <c r="X8" s="224">
        <v>1097815</v>
      </c>
      <c r="Y8" s="224">
        <v>8829116</v>
      </c>
      <c r="Z8" s="224">
        <v>0.12434031069278717</v>
      </c>
      <c r="AA8" s="267"/>
      <c r="AB8" s="15">
        <v>171444</v>
      </c>
      <c r="AC8" s="15">
        <v>1292233</v>
      </c>
      <c r="AD8" s="15">
        <v>8816158</v>
      </c>
      <c r="AE8" s="214">
        <v>0.14657552540302277</v>
      </c>
      <c r="AF8" s="267"/>
    </row>
    <row r="9" spans="2:47">
      <c r="B9" s="134" t="s">
        <v>142</v>
      </c>
      <c r="C9" s="89">
        <v>79</v>
      </c>
      <c r="D9" s="86">
        <v>360.74274099999991</v>
      </c>
      <c r="E9" s="87">
        <f>D9*0.95</f>
        <v>342.7056039499999</v>
      </c>
      <c r="F9" s="87">
        <f t="shared" si="0"/>
        <v>4.5663638101265809</v>
      </c>
      <c r="G9" s="87">
        <f t="shared" si="0"/>
        <v>4.3380456196202521</v>
      </c>
      <c r="H9" s="89">
        <f>ITA!B18/M9*(1+ITA!K18)^9</f>
        <v>25.330267631474062</v>
      </c>
      <c r="I9" s="54">
        <f>M9*ITA!M18</f>
        <v>265987975.53758538</v>
      </c>
      <c r="J9" s="126">
        <f>ITA!D18/ITA!E18</f>
        <v>2.3558220682779587</v>
      </c>
      <c r="K9" s="129">
        <f>I9*(C9/H9)^((1-J9)/J9)</f>
        <v>138217349.86569762</v>
      </c>
      <c r="L9" s="20">
        <f>K9/(E9*1000000000/C9)</f>
        <v>3.1861663519757326E-2</v>
      </c>
      <c r="M9" s="22">
        <v>1.8</v>
      </c>
      <c r="P9" s="93">
        <v>99.400001525878906</v>
      </c>
      <c r="Q9" s="258"/>
      <c r="R9" s="15">
        <v>161990</v>
      </c>
      <c r="S9" s="89">
        <v>1134165</v>
      </c>
      <c r="T9" s="89">
        <v>8127751</v>
      </c>
      <c r="U9" s="20">
        <v>0.13954229652881622</v>
      </c>
      <c r="V9" s="267"/>
      <c r="W9" s="224">
        <v>166672</v>
      </c>
      <c r="X9" s="224">
        <v>1215719</v>
      </c>
      <c r="Y9" s="224">
        <v>9750950</v>
      </c>
      <c r="Z9" s="224">
        <v>0.12467698007822037</v>
      </c>
      <c r="AA9" s="267"/>
      <c r="AB9" s="15">
        <v>171359</v>
      </c>
      <c r="AC9" s="15">
        <v>1426810</v>
      </c>
      <c r="AD9" s="15">
        <v>10138369</v>
      </c>
      <c r="AE9" s="214">
        <v>0.14073368906974792</v>
      </c>
      <c r="AF9" s="267"/>
    </row>
    <row r="10" spans="2:47">
      <c r="B10"/>
      <c r="C10"/>
      <c r="D10"/>
      <c r="E10"/>
      <c r="H10"/>
      <c r="I10"/>
      <c r="J10"/>
      <c r="K10"/>
      <c r="L10"/>
      <c r="M10"/>
      <c r="P10" s="93">
        <v>99.5</v>
      </c>
      <c r="Q10" s="258"/>
      <c r="R10" s="15">
        <v>161927</v>
      </c>
      <c r="S10" s="89">
        <v>1283456</v>
      </c>
      <c r="T10" s="89">
        <v>8818007</v>
      </c>
      <c r="U10" s="20">
        <v>0.14554944634437561</v>
      </c>
      <c r="V10" s="267"/>
      <c r="W10" s="224">
        <v>166651</v>
      </c>
      <c r="X10" s="224">
        <v>1389801</v>
      </c>
      <c r="Y10" s="224">
        <v>11548602</v>
      </c>
      <c r="Z10" s="224">
        <v>0.1203436553478241</v>
      </c>
      <c r="AA10" s="267"/>
      <c r="AB10" s="15">
        <v>169929</v>
      </c>
      <c r="AC10" s="15">
        <v>1625806</v>
      </c>
      <c r="AD10" s="15">
        <v>13188411</v>
      </c>
      <c r="AE10" s="214">
        <v>0.12327535450458527</v>
      </c>
      <c r="AF10" s="267"/>
    </row>
    <row r="11" spans="2:47">
      <c r="B11" s="84" t="s">
        <v>239</v>
      </c>
      <c r="C11"/>
      <c r="D11"/>
      <c r="E11"/>
      <c r="H11"/>
      <c r="I11"/>
      <c r="J11"/>
      <c r="K11"/>
      <c r="L11"/>
      <c r="M11"/>
      <c r="P11" s="93">
        <v>99.599998474121094</v>
      </c>
      <c r="Q11" s="258"/>
      <c r="R11" s="15">
        <v>161798</v>
      </c>
      <c r="S11" s="89">
        <v>1494369</v>
      </c>
      <c r="T11" s="89">
        <v>10670818</v>
      </c>
      <c r="U11" s="20">
        <v>0.14004258811473846</v>
      </c>
      <c r="V11" s="267"/>
      <c r="W11" s="224">
        <v>166618</v>
      </c>
      <c r="X11" s="224">
        <v>1645271</v>
      </c>
      <c r="Y11" s="224">
        <v>13915416</v>
      </c>
      <c r="Z11" s="224">
        <v>0.11823368817567825</v>
      </c>
      <c r="AA11" s="267"/>
      <c r="AB11" s="15">
        <v>172832</v>
      </c>
      <c r="AC11" s="15">
        <v>1895211</v>
      </c>
      <c r="AD11" s="15">
        <v>15644008</v>
      </c>
      <c r="AE11" s="214">
        <v>0.12114612758159637</v>
      </c>
      <c r="AF11" s="267"/>
    </row>
    <row r="12" spans="2:47">
      <c r="B12" s="85" t="s">
        <v>240</v>
      </c>
      <c r="P12" s="93">
        <v>99.699996948242188</v>
      </c>
      <c r="Q12" s="258"/>
      <c r="R12" s="15">
        <v>162024</v>
      </c>
      <c r="S12" s="89">
        <v>1855783</v>
      </c>
      <c r="T12" s="89">
        <v>14152106</v>
      </c>
      <c r="U12" s="20">
        <v>0.13113123178482056</v>
      </c>
      <c r="V12" s="267"/>
      <c r="W12" s="224">
        <v>166657</v>
      </c>
      <c r="X12" s="224">
        <v>2087103</v>
      </c>
      <c r="Y12" s="224">
        <v>18331928</v>
      </c>
      <c r="Z12" s="224">
        <v>0.11385070532560349</v>
      </c>
      <c r="AA12" s="267"/>
      <c r="AB12" s="15">
        <v>171423</v>
      </c>
      <c r="AC12" s="15">
        <v>2391677</v>
      </c>
      <c r="AD12" s="15">
        <v>19260828</v>
      </c>
      <c r="AE12" s="214">
        <v>0.1241731122136116</v>
      </c>
      <c r="AF12" s="267"/>
      <c r="AH12" s="82"/>
    </row>
    <row r="13" spans="2:47">
      <c r="P13" s="93">
        <v>99.800003051757813</v>
      </c>
      <c r="Q13" s="258"/>
      <c r="R13" s="15">
        <v>161951</v>
      </c>
      <c r="S13" s="89">
        <v>2631270</v>
      </c>
      <c r="T13" s="89">
        <v>19547508</v>
      </c>
      <c r="U13" s="20">
        <v>0.13460896909236908</v>
      </c>
      <c r="V13" s="267"/>
      <c r="W13" s="224">
        <v>166646</v>
      </c>
      <c r="X13" s="224">
        <v>3036983</v>
      </c>
      <c r="Y13" s="224">
        <v>27040090</v>
      </c>
      <c r="Z13" s="224">
        <v>0.11231408268213272</v>
      </c>
      <c r="AA13" s="267"/>
      <c r="AB13" s="15">
        <v>171381</v>
      </c>
      <c r="AC13" s="15">
        <v>3473833</v>
      </c>
      <c r="AD13" s="15">
        <v>29183538</v>
      </c>
      <c r="AE13" s="214">
        <v>0.11903399229049683</v>
      </c>
      <c r="AF13" s="267"/>
    </row>
    <row r="14" spans="2:47">
      <c r="B14" s="85" t="s">
        <v>238</v>
      </c>
      <c r="P14" s="93">
        <v>99.900001525878906</v>
      </c>
      <c r="Q14" s="258" t="s">
        <v>29</v>
      </c>
      <c r="R14" s="15">
        <v>16182</v>
      </c>
      <c r="S14" s="89">
        <v>3481986</v>
      </c>
      <c r="T14" s="89">
        <v>26789418</v>
      </c>
      <c r="U14" s="20">
        <v>0.12997616827487946</v>
      </c>
      <c r="V14" s="267">
        <f>SUMPRODUCT(S14:S22,U14:U22)/SUM(S14:S22)</f>
        <v>0.12515863735602759</v>
      </c>
      <c r="W14" s="224">
        <v>16667</v>
      </c>
      <c r="X14" s="224">
        <v>4034694</v>
      </c>
      <c r="Y14" s="224">
        <v>37426896</v>
      </c>
      <c r="Z14" s="224">
        <v>0.10780199617147446</v>
      </c>
      <c r="AA14" s="267">
        <f>SUMPRODUCT(X14:X22,Z14:Z22)/SUM(X14:X22)</f>
        <v>0.10607794951911022</v>
      </c>
      <c r="AB14" s="15">
        <v>17149</v>
      </c>
      <c r="AC14" s="15">
        <v>4661727</v>
      </c>
      <c r="AD14" s="15">
        <v>40464820</v>
      </c>
      <c r="AE14" s="214">
        <v>0.11520443856716156</v>
      </c>
      <c r="AF14" s="267">
        <f>SUMPRODUCT(AC14:AC22,AE14:AE22)/SUM(AC14:AC22)</f>
        <v>0.10808657489306085</v>
      </c>
      <c r="AH14" s="135"/>
      <c r="AR14" s="85"/>
      <c r="AS14" s="85"/>
      <c r="AT14" s="85"/>
      <c r="AU14" s="85"/>
    </row>
    <row r="15" spans="2:47">
      <c r="B15" s="85" t="s">
        <v>241</v>
      </c>
      <c r="P15" s="93">
        <v>99.910003662109375</v>
      </c>
      <c r="Q15" s="258"/>
      <c r="R15" s="15">
        <v>16183</v>
      </c>
      <c r="S15" s="89">
        <v>3748265</v>
      </c>
      <c r="T15" s="89">
        <v>30270880</v>
      </c>
      <c r="U15" s="20">
        <v>0.12382411956787109</v>
      </c>
      <c r="V15" s="267"/>
      <c r="W15" s="224">
        <v>16653</v>
      </c>
      <c r="X15" s="224">
        <v>4350199</v>
      </c>
      <c r="Y15" s="224">
        <v>40341984</v>
      </c>
      <c r="Z15" s="224">
        <v>0.10783304274082184</v>
      </c>
      <c r="AA15" s="267"/>
      <c r="AB15" s="15">
        <v>17132</v>
      </c>
      <c r="AC15" s="15">
        <v>5050220</v>
      </c>
      <c r="AD15" s="15">
        <v>42112216</v>
      </c>
      <c r="AE15" s="214">
        <v>0.11992292106151581</v>
      </c>
      <c r="AF15" s="267"/>
      <c r="AH15" s="135"/>
      <c r="AR15" s="85"/>
      <c r="AS15" s="85"/>
      <c r="AT15" s="85"/>
      <c r="AU15" s="85"/>
    </row>
    <row r="16" spans="2:47">
      <c r="B16" s="85" t="s">
        <v>242</v>
      </c>
      <c r="P16" s="93">
        <v>99.919998168945313</v>
      </c>
      <c r="Q16" s="258"/>
      <c r="R16" s="15">
        <v>16202</v>
      </c>
      <c r="S16" s="89">
        <v>4066345</v>
      </c>
      <c r="T16" s="89">
        <v>32604216</v>
      </c>
      <c r="U16" s="20">
        <v>0.12471838295459747</v>
      </c>
      <c r="V16" s="267"/>
      <c r="W16" s="224">
        <v>16666</v>
      </c>
      <c r="X16" s="224">
        <v>4738359</v>
      </c>
      <c r="Y16" s="224">
        <v>42557872</v>
      </c>
      <c r="Z16" s="224">
        <v>0.11133918911218643</v>
      </c>
      <c r="AA16" s="267"/>
      <c r="AB16" s="15">
        <v>17145</v>
      </c>
      <c r="AC16" s="15">
        <v>5541752</v>
      </c>
      <c r="AD16" s="15">
        <v>46789212</v>
      </c>
      <c r="AE16" s="214">
        <v>0.11844080686569214</v>
      </c>
      <c r="AF16" s="267"/>
      <c r="AH16" s="135"/>
      <c r="AR16" s="85"/>
      <c r="AS16" s="85"/>
      <c r="AT16" s="85"/>
      <c r="AU16" s="85"/>
    </row>
    <row r="17" spans="2:47">
      <c r="B17" s="85" t="s">
        <v>243</v>
      </c>
      <c r="P17" s="93">
        <v>99.930000305175781</v>
      </c>
      <c r="Q17" s="258"/>
      <c r="R17" s="15">
        <v>16192</v>
      </c>
      <c r="S17" s="89">
        <v>4470736</v>
      </c>
      <c r="T17" s="89">
        <v>35218080</v>
      </c>
      <c r="U17" s="20">
        <v>0.12694434821605682</v>
      </c>
      <c r="V17" s="267"/>
      <c r="W17" s="224">
        <v>16662</v>
      </c>
      <c r="X17" s="224">
        <v>5245137</v>
      </c>
      <c r="Y17" s="224">
        <v>49611700</v>
      </c>
      <c r="Z17" s="224">
        <v>0.1057237908244133</v>
      </c>
      <c r="AA17" s="267"/>
      <c r="AB17" s="15">
        <v>17132</v>
      </c>
      <c r="AC17" s="15">
        <v>6115450</v>
      </c>
      <c r="AD17" s="15">
        <v>53461336</v>
      </c>
      <c r="AE17" s="214">
        <v>0.11439014226198196</v>
      </c>
      <c r="AF17" s="267"/>
      <c r="AH17" s="135"/>
      <c r="AR17" s="85"/>
      <c r="AS17" s="85"/>
      <c r="AT17" s="85"/>
      <c r="AU17" s="85"/>
    </row>
    <row r="18" spans="2:47">
      <c r="B18" s="85" t="s">
        <v>245</v>
      </c>
      <c r="P18" s="93">
        <v>99.94000244140625</v>
      </c>
      <c r="Q18" s="258"/>
      <c r="R18" s="15">
        <v>16187</v>
      </c>
      <c r="S18" s="89">
        <v>5000077</v>
      </c>
      <c r="T18" s="89">
        <v>39197084</v>
      </c>
      <c r="U18" s="20">
        <v>0.12756247818470001</v>
      </c>
      <c r="V18" s="267"/>
      <c r="W18" s="224">
        <v>16665</v>
      </c>
      <c r="X18" s="224">
        <v>5896624</v>
      </c>
      <c r="Y18" s="224">
        <v>54337444</v>
      </c>
      <c r="Z18" s="224">
        <v>0.10851861536502838</v>
      </c>
      <c r="AA18" s="267"/>
      <c r="AB18" s="15">
        <v>17138</v>
      </c>
      <c r="AC18" s="15">
        <v>6793617</v>
      </c>
      <c r="AD18" s="15">
        <v>59339600</v>
      </c>
      <c r="AE18" s="214">
        <v>0.11448707431554794</v>
      </c>
      <c r="AF18" s="267"/>
      <c r="AH18" s="135"/>
      <c r="AR18" s="85"/>
      <c r="AS18" s="85"/>
      <c r="AT18" s="85"/>
      <c r="AU18" s="85"/>
    </row>
    <row r="19" spans="2:47">
      <c r="P19" s="93">
        <v>99.949996948242188</v>
      </c>
      <c r="Q19" s="258"/>
      <c r="R19" s="15">
        <v>16186</v>
      </c>
      <c r="S19" s="89">
        <v>5708433</v>
      </c>
      <c r="T19" s="89">
        <v>41818264</v>
      </c>
      <c r="U19" s="20">
        <v>0.13650573790073395</v>
      </c>
      <c r="V19" s="267"/>
      <c r="W19" s="224">
        <v>16661</v>
      </c>
      <c r="X19" s="224">
        <v>6732156</v>
      </c>
      <c r="Y19" s="224">
        <v>60172976</v>
      </c>
      <c r="Z19" s="224">
        <v>0.11188005656003952</v>
      </c>
      <c r="AA19" s="267"/>
      <c r="AB19" s="15">
        <v>17145</v>
      </c>
      <c r="AC19" s="15">
        <v>7744908</v>
      </c>
      <c r="AD19" s="15">
        <v>68521032</v>
      </c>
      <c r="AE19" s="214">
        <v>0.11302964389324188</v>
      </c>
      <c r="AF19" s="267"/>
      <c r="AR19" s="85"/>
      <c r="AS19" s="85"/>
      <c r="AT19" s="85"/>
      <c r="AU19" s="85"/>
    </row>
    <row r="20" spans="2:47">
      <c r="B20" s="85" t="s">
        <v>246</v>
      </c>
      <c r="P20" s="93">
        <v>99.959999084472656</v>
      </c>
      <c r="Q20" s="258"/>
      <c r="R20" s="15">
        <v>16201</v>
      </c>
      <c r="S20" s="89">
        <v>6774401</v>
      </c>
      <c r="T20" s="89">
        <v>52490428</v>
      </c>
      <c r="U20" s="20">
        <v>0.12905974686145782</v>
      </c>
      <c r="V20" s="267"/>
      <c r="W20" s="224">
        <v>16678</v>
      </c>
      <c r="X20" s="224">
        <v>7975584</v>
      </c>
      <c r="Y20" s="224">
        <v>70838056</v>
      </c>
      <c r="Z20" s="224">
        <v>0.11258897185325623</v>
      </c>
      <c r="AA20" s="267"/>
      <c r="AB20" s="15">
        <v>17143</v>
      </c>
      <c r="AC20" s="15">
        <v>9249725</v>
      </c>
      <c r="AD20" s="15">
        <v>85266784</v>
      </c>
      <c r="AE20" s="214">
        <v>0.1084798127412796</v>
      </c>
      <c r="AF20" s="267"/>
      <c r="AR20" s="85"/>
      <c r="AS20" s="85"/>
      <c r="AT20" s="85"/>
      <c r="AU20" s="85"/>
    </row>
    <row r="21" spans="2:47">
      <c r="B21" s="85" t="s">
        <v>247</v>
      </c>
      <c r="P21" s="93">
        <v>99.970001220703125</v>
      </c>
      <c r="Q21" s="258"/>
      <c r="R21" s="15">
        <v>16197</v>
      </c>
      <c r="S21" s="89">
        <v>8474492</v>
      </c>
      <c r="T21" s="89">
        <v>68255272</v>
      </c>
      <c r="U21" s="20">
        <v>0.12415879219770432</v>
      </c>
      <c r="V21" s="267"/>
      <c r="W21" s="224">
        <v>16661</v>
      </c>
      <c r="X21" s="224">
        <v>10168683</v>
      </c>
      <c r="Y21" s="224">
        <v>97280936</v>
      </c>
      <c r="Z21" s="224">
        <v>0.10452903807163239</v>
      </c>
      <c r="AA21" s="267"/>
      <c r="AB21" s="15">
        <v>17129</v>
      </c>
      <c r="AC21" s="15">
        <v>11750994</v>
      </c>
      <c r="AD21" s="15">
        <v>109137944</v>
      </c>
      <c r="AE21" s="214">
        <v>0.10767102241516113</v>
      </c>
      <c r="AF21" s="267"/>
      <c r="AR21" s="85"/>
      <c r="AS21" s="85"/>
      <c r="AT21" s="85"/>
      <c r="AU21" s="85"/>
    </row>
    <row r="22" spans="2:47" ht="15" thickBot="1">
      <c r="P22" s="93">
        <v>99.980003356933594</v>
      </c>
      <c r="Q22" s="258"/>
      <c r="R22" s="15">
        <v>16190</v>
      </c>
      <c r="S22" s="89">
        <v>12002910</v>
      </c>
      <c r="T22" s="89">
        <v>103680632</v>
      </c>
      <c r="U22" s="20">
        <v>0.11576810479164124</v>
      </c>
      <c r="V22" s="267"/>
      <c r="W22" s="224">
        <v>16655</v>
      </c>
      <c r="X22" s="224">
        <v>14978737</v>
      </c>
      <c r="Y22" s="224">
        <v>153502720</v>
      </c>
      <c r="Z22" s="224">
        <v>9.7579620778560638E-2</v>
      </c>
      <c r="AA22" s="267"/>
      <c r="AB22" s="15">
        <v>17138</v>
      </c>
      <c r="AC22" s="15">
        <v>17893180</v>
      </c>
      <c r="AD22" s="15">
        <v>192337488</v>
      </c>
      <c r="AE22" s="214">
        <v>9.303012490272522E-2</v>
      </c>
      <c r="AF22" s="267"/>
      <c r="AR22" s="85"/>
      <c r="AS22" s="85"/>
      <c r="AT22" s="85"/>
      <c r="AU22" s="85"/>
    </row>
    <row r="23" spans="2:47">
      <c r="B23" s="142" t="s">
        <v>144</v>
      </c>
      <c r="C23" s="143">
        <v>7.0000000000000007E-2</v>
      </c>
      <c r="P23" s="93">
        <v>99.989997863769531</v>
      </c>
      <c r="Q23" s="258" t="s">
        <v>8</v>
      </c>
      <c r="R23" s="15">
        <v>1605</v>
      </c>
      <c r="S23" s="89">
        <v>15680434</v>
      </c>
      <c r="T23" s="89">
        <v>138991760</v>
      </c>
      <c r="U23" s="20">
        <v>0.11281556636095047</v>
      </c>
      <c r="V23" s="267">
        <f>SUMPRODUCT(S23:S31,U23:U31)/SUM(S23:S31)</f>
        <v>0.10343252980216787</v>
      </c>
      <c r="W23" s="224">
        <v>1661</v>
      </c>
      <c r="X23" s="224">
        <v>20616632</v>
      </c>
      <c r="Y23" s="224">
        <v>213389152</v>
      </c>
      <c r="Z23" s="224">
        <v>9.6615180373191833E-2</v>
      </c>
      <c r="AA23" s="267">
        <f>SUMPRODUCT(X23:X31,Z23:Z31)/SUM(X23:X31)</f>
        <v>8.6468115663685077E-2</v>
      </c>
      <c r="AB23" s="15">
        <v>1708</v>
      </c>
      <c r="AC23" s="15">
        <v>24521532</v>
      </c>
      <c r="AD23" s="15">
        <v>288376672</v>
      </c>
      <c r="AE23" s="214">
        <v>8.503299206495285E-2</v>
      </c>
      <c r="AF23" s="267">
        <f>SUMPRODUCT(AC23:AC31,AE23:AE31)/SUM(AC23:AC31)</f>
        <v>8.2793159348547807E-2</v>
      </c>
      <c r="AR23" s="85"/>
      <c r="AS23" s="85"/>
      <c r="AT23" s="85"/>
      <c r="AU23" s="85"/>
    </row>
    <row r="24" spans="2:47">
      <c r="B24" s="144" t="s">
        <v>147</v>
      </c>
      <c r="C24" s="145">
        <v>4.9000000000000002E-2</v>
      </c>
      <c r="P24" s="93">
        <v>99.990997314453125</v>
      </c>
      <c r="Q24" s="258"/>
      <c r="R24" s="15">
        <v>1624</v>
      </c>
      <c r="S24" s="89">
        <v>16784578</v>
      </c>
      <c r="T24" s="89">
        <v>140861664</v>
      </c>
      <c r="U24" s="20">
        <v>0.11915646493434906</v>
      </c>
      <c r="V24" s="267"/>
      <c r="W24" s="224">
        <v>1663</v>
      </c>
      <c r="X24" s="224">
        <v>22252180</v>
      </c>
      <c r="Y24" s="224">
        <v>224822480</v>
      </c>
      <c r="Z24" s="224">
        <v>9.8976671695709229E-2</v>
      </c>
      <c r="AA24" s="267"/>
      <c r="AB24" s="15">
        <v>1723</v>
      </c>
      <c r="AC24" s="15">
        <v>26594596</v>
      </c>
      <c r="AD24" s="15">
        <v>305491776</v>
      </c>
      <c r="AE24" s="214">
        <v>8.7055027484893799E-2</v>
      </c>
      <c r="AF24" s="267"/>
      <c r="AR24" s="85"/>
      <c r="AS24" s="85"/>
      <c r="AT24" s="85"/>
      <c r="AU24" s="85"/>
    </row>
    <row r="25" spans="2:47">
      <c r="B25" s="146" t="s">
        <v>145</v>
      </c>
      <c r="C25" s="145">
        <v>7.0000000000000007E-2</v>
      </c>
      <c r="P25" s="93">
        <v>99.991996765136719</v>
      </c>
      <c r="Q25" s="258"/>
      <c r="R25" s="15">
        <v>1624</v>
      </c>
      <c r="S25" s="89">
        <v>18233358</v>
      </c>
      <c r="T25" s="89">
        <v>160058704</v>
      </c>
      <c r="U25" s="20">
        <v>0.11391669511795044</v>
      </c>
      <c r="V25" s="267"/>
      <c r="W25" s="224">
        <v>1675</v>
      </c>
      <c r="X25" s="224">
        <v>24054592</v>
      </c>
      <c r="Y25" s="224">
        <v>257008272</v>
      </c>
      <c r="Z25" s="224">
        <v>9.3594618141651154E-2</v>
      </c>
      <c r="AA25" s="267"/>
      <c r="AB25" s="15">
        <v>1707</v>
      </c>
      <c r="AC25" s="15">
        <v>29064876</v>
      </c>
      <c r="AD25" s="15">
        <v>336537440</v>
      </c>
      <c r="AE25" s="214">
        <v>8.6364462971687317E-2</v>
      </c>
      <c r="AF25" s="267"/>
    </row>
    <row r="26" spans="2:47">
      <c r="B26" s="147" t="s">
        <v>143</v>
      </c>
      <c r="C26" s="145">
        <v>0.08</v>
      </c>
      <c r="P26" s="93">
        <v>99.992996215820313</v>
      </c>
      <c r="Q26" s="258"/>
      <c r="R26" s="15">
        <v>1621</v>
      </c>
      <c r="S26" s="89">
        <v>19935524</v>
      </c>
      <c r="T26" s="89">
        <v>195389392</v>
      </c>
      <c r="U26" s="20">
        <v>0.1020297184586525</v>
      </c>
      <c r="V26" s="267"/>
      <c r="W26" s="224">
        <v>1679</v>
      </c>
      <c r="X26" s="224">
        <v>26248784</v>
      </c>
      <c r="Y26" s="224">
        <v>302508000</v>
      </c>
      <c r="Z26" s="224">
        <v>8.6770541965961456E-2</v>
      </c>
      <c r="AA26" s="267"/>
      <c r="AB26" s="15">
        <v>1732</v>
      </c>
      <c r="AC26" s="15">
        <v>31744942</v>
      </c>
      <c r="AD26" s="15">
        <v>352722304</v>
      </c>
      <c r="AE26" s="214">
        <v>8.9999817311763763E-2</v>
      </c>
      <c r="AF26" s="267"/>
    </row>
    <row r="27" spans="2:47" ht="15" thickBot="1">
      <c r="B27" s="148" t="s">
        <v>142</v>
      </c>
      <c r="C27" s="149">
        <v>0.04</v>
      </c>
      <c r="P27" s="93">
        <v>99.994003295898438</v>
      </c>
      <c r="Q27" s="258"/>
      <c r="R27" s="15">
        <v>1615</v>
      </c>
      <c r="S27" s="89">
        <v>22336292</v>
      </c>
      <c r="T27" s="89">
        <v>227705696</v>
      </c>
      <c r="U27" s="20">
        <v>9.8092809319496155E-2</v>
      </c>
      <c r="V27" s="267"/>
      <c r="W27" s="224">
        <v>1653</v>
      </c>
      <c r="X27" s="224">
        <v>29331146</v>
      </c>
      <c r="Y27" s="224">
        <v>343963776</v>
      </c>
      <c r="Z27" s="224">
        <v>8.527393639087677E-2</v>
      </c>
      <c r="AA27" s="267"/>
      <c r="AB27" s="15">
        <v>1701</v>
      </c>
      <c r="AC27" s="15">
        <v>35470352</v>
      </c>
      <c r="AD27" s="15">
        <v>403969120</v>
      </c>
      <c r="AE27" s="214">
        <v>8.7804615497589111E-2</v>
      </c>
      <c r="AF27" s="267"/>
    </row>
    <row r="28" spans="2:47">
      <c r="P28" s="93">
        <v>99.995002746582031</v>
      </c>
      <c r="Q28" s="258"/>
      <c r="R28" s="15">
        <v>1614</v>
      </c>
      <c r="S28" s="89">
        <v>25600892</v>
      </c>
      <c r="T28" s="89">
        <v>247328480</v>
      </c>
      <c r="U28" s="20">
        <v>0.10350967943668365</v>
      </c>
      <c r="V28" s="267"/>
      <c r="W28" s="224">
        <v>1673</v>
      </c>
      <c r="X28" s="224">
        <v>33550620</v>
      </c>
      <c r="Y28" s="224">
        <v>400685344</v>
      </c>
      <c r="Z28" s="224">
        <v>8.3733081817626953E-2</v>
      </c>
      <c r="AA28" s="267"/>
      <c r="AB28" s="15">
        <v>1714</v>
      </c>
      <c r="AC28" s="15">
        <v>41257112</v>
      </c>
      <c r="AD28" s="15">
        <v>475012864</v>
      </c>
      <c r="AE28" s="214">
        <v>8.6854726076126099E-2</v>
      </c>
      <c r="AF28" s="267"/>
    </row>
    <row r="29" spans="2:47">
      <c r="P29" s="93">
        <v>99.996002197265625</v>
      </c>
      <c r="Q29" s="258"/>
      <c r="R29" s="15">
        <v>1625</v>
      </c>
      <c r="S29" s="89">
        <v>30248796</v>
      </c>
      <c r="T29" s="89">
        <v>291615648</v>
      </c>
      <c r="U29" s="20">
        <v>0.10372830182313919</v>
      </c>
      <c r="V29" s="267"/>
      <c r="W29" s="224">
        <v>1678</v>
      </c>
      <c r="X29" s="224">
        <v>39623324</v>
      </c>
      <c r="Y29" s="224">
        <v>448552896</v>
      </c>
      <c r="Z29" s="224">
        <v>8.8335901498794556E-2</v>
      </c>
      <c r="AA29" s="267"/>
      <c r="AB29" s="15">
        <v>1716</v>
      </c>
      <c r="AC29" s="15">
        <v>50087968</v>
      </c>
      <c r="AD29" s="15">
        <v>635568384</v>
      </c>
      <c r="AE29" s="214">
        <v>7.8808151185512543E-2</v>
      </c>
      <c r="AF29" s="267"/>
    </row>
    <row r="30" spans="2:47">
      <c r="P30" s="93">
        <v>99.997001647949219</v>
      </c>
      <c r="Q30" s="258"/>
      <c r="R30" s="15">
        <v>1618</v>
      </c>
      <c r="S30" s="89">
        <v>38651340</v>
      </c>
      <c r="T30" s="89">
        <v>388485120</v>
      </c>
      <c r="U30" s="20">
        <v>9.9492460489273071E-2</v>
      </c>
      <c r="V30" s="267"/>
      <c r="W30" s="224">
        <v>1656</v>
      </c>
      <c r="X30" s="224">
        <v>50894552</v>
      </c>
      <c r="Y30" s="224">
        <v>611225536</v>
      </c>
      <c r="Z30" s="224">
        <v>8.3266399800777435E-2</v>
      </c>
      <c r="AA30" s="267"/>
      <c r="AB30" s="15">
        <v>1710</v>
      </c>
      <c r="AC30" s="15">
        <v>65383580</v>
      </c>
      <c r="AD30" s="15">
        <v>809232256</v>
      </c>
      <c r="AE30" s="214">
        <v>8.0797053873538971E-2</v>
      </c>
      <c r="AF30" s="267"/>
    </row>
    <row r="31" spans="2:47">
      <c r="P31" s="93">
        <v>99.998001098632813</v>
      </c>
      <c r="Q31" s="258"/>
      <c r="R31" s="15">
        <v>1435</v>
      </c>
      <c r="S31" s="89">
        <v>57079656</v>
      </c>
      <c r="T31" s="89">
        <v>582812416</v>
      </c>
      <c r="U31" s="20">
        <v>9.7938299179077148E-2</v>
      </c>
      <c r="V31" s="267"/>
      <c r="W31" s="224">
        <v>1491</v>
      </c>
      <c r="X31" s="224">
        <v>75082264</v>
      </c>
      <c r="Y31" s="224">
        <v>933173504</v>
      </c>
      <c r="Z31" s="224">
        <v>8.0459058284759521E-2</v>
      </c>
      <c r="AA31" s="267"/>
      <c r="AB31" s="15">
        <v>1709</v>
      </c>
      <c r="AC31" s="15">
        <v>95165672</v>
      </c>
      <c r="AD31" s="15">
        <v>1230000000</v>
      </c>
      <c r="AE31" s="214">
        <v>7.737046480178833E-2</v>
      </c>
      <c r="AF31" s="267"/>
    </row>
    <row r="32" spans="2:47">
      <c r="P32" s="93">
        <v>99.999000549316406</v>
      </c>
      <c r="Q32" s="258" t="s">
        <v>220</v>
      </c>
      <c r="R32" s="15">
        <v>1412</v>
      </c>
      <c r="S32" s="89">
        <v>91344960</v>
      </c>
      <c r="T32" s="89">
        <v>987265088</v>
      </c>
      <c r="U32" s="20">
        <v>9.2523232102394104E-2</v>
      </c>
      <c r="V32" s="267">
        <f>SUMPRODUCT(R32:R33,S32:S33,U32:U33)/SUMPRODUCT(R32:R33,S32:S33)</f>
        <v>8.2682599805613002E-2</v>
      </c>
      <c r="W32" s="224">
        <v>1450</v>
      </c>
      <c r="X32" s="224">
        <v>120061824</v>
      </c>
      <c r="Y32" s="224">
        <v>1570000000</v>
      </c>
      <c r="Z32" s="224">
        <v>7.647249847650528E-2</v>
      </c>
      <c r="AA32" s="267">
        <f>SUMPRODUCT(W32:W33,X32:X33,Z32:Z33)/SUMPRODUCT(W32:W33,X32:X33)</f>
        <v>6.5328760354109477E-2</v>
      </c>
      <c r="AB32" s="15">
        <v>1325</v>
      </c>
      <c r="AC32" s="15">
        <v>170138960</v>
      </c>
      <c r="AD32" s="15">
        <v>2310000128</v>
      </c>
      <c r="AE32" s="214">
        <v>7.3653228580951691E-2</v>
      </c>
      <c r="AF32" s="267">
        <f>SUMPRODUCT(AB32:AB33,AC32:AC33,AE32:AE33)/SUMPRODUCT(AB32:AB33,AC32:AC33)</f>
        <v>7.2269994513043098E-2</v>
      </c>
    </row>
    <row r="33" spans="16:42">
      <c r="P33" s="89">
        <v>400</v>
      </c>
      <c r="Q33" s="258"/>
      <c r="R33" s="15">
        <v>400</v>
      </c>
      <c r="S33" s="89">
        <v>556576384</v>
      </c>
      <c r="T33" s="89">
        <v>7230000128</v>
      </c>
      <c r="U33" s="20">
        <v>7.6981514692306519E-2</v>
      </c>
      <c r="V33" s="267"/>
      <c r="W33" s="224">
        <v>400</v>
      </c>
      <c r="X33" s="224">
        <v>654475776</v>
      </c>
      <c r="Y33" s="224">
        <v>11299999744</v>
      </c>
      <c r="Z33" s="224">
        <v>5.7918213307857513E-2</v>
      </c>
      <c r="AA33" s="267"/>
      <c r="AB33" s="15">
        <v>411</v>
      </c>
      <c r="AC33" s="15">
        <v>950575488</v>
      </c>
      <c r="AD33" s="15">
        <v>13299999744</v>
      </c>
      <c r="AE33" s="214">
        <v>7.1471840143203735E-2</v>
      </c>
      <c r="AF33" s="267"/>
    </row>
    <row r="35" spans="16:42">
      <c r="Q35" t="s">
        <v>476</v>
      </c>
    </row>
    <row r="36" spans="16:42">
      <c r="Q36" s="104" t="s">
        <v>475</v>
      </c>
      <c r="R36" s="104"/>
    </row>
    <row r="46" spans="16:42">
      <c r="AI46" s="82"/>
      <c r="AJ46" s="83"/>
      <c r="AK46" s="83"/>
      <c r="AL46" s="83"/>
      <c r="AM46" s="83"/>
      <c r="AN46" s="83"/>
      <c r="AO46" s="15"/>
      <c r="AP46" s="15"/>
    </row>
    <row r="47" spans="16:42">
      <c r="AJ47" s="83"/>
      <c r="AK47" s="83"/>
      <c r="AL47" s="83"/>
      <c r="AM47" s="83"/>
      <c r="AN47" s="83"/>
      <c r="AO47" s="15"/>
      <c r="AP47" s="15"/>
    </row>
    <row r="48" spans="16:42">
      <c r="AJ48" s="83"/>
      <c r="AK48" s="83"/>
      <c r="AL48" s="83"/>
      <c r="AM48" s="83"/>
      <c r="AN48" s="83"/>
      <c r="AO48" s="15"/>
      <c r="AP48" s="15"/>
    </row>
    <row r="50" spans="17:20">
      <c r="Q50" s="15"/>
      <c r="R50" s="15"/>
      <c r="S50"/>
      <c r="T50"/>
    </row>
  </sheetData>
  <mergeCells count="27">
    <mergeCell ref="B2:L2"/>
    <mergeCell ref="C3:G3"/>
    <mergeCell ref="H3:L3"/>
    <mergeCell ref="P3:Q3"/>
    <mergeCell ref="Q5:Q13"/>
    <mergeCell ref="Q14:Q22"/>
    <mergeCell ref="Q23:Q31"/>
    <mergeCell ref="Q32:Q33"/>
    <mergeCell ref="P2:AF2"/>
    <mergeCell ref="U4:V4"/>
    <mergeCell ref="V5:V13"/>
    <mergeCell ref="V14:V22"/>
    <mergeCell ref="V23:V31"/>
    <mergeCell ref="V32:V33"/>
    <mergeCell ref="AF32:AF33"/>
    <mergeCell ref="R3:V3"/>
    <mergeCell ref="AB3:AF3"/>
    <mergeCell ref="AF5:AF13"/>
    <mergeCell ref="AF14:AF22"/>
    <mergeCell ref="AF23:AF31"/>
    <mergeCell ref="AE4:AF4"/>
    <mergeCell ref="W3:AA3"/>
    <mergeCell ref="Z4:AA4"/>
    <mergeCell ref="AA5:AA13"/>
    <mergeCell ref="AA14:AA22"/>
    <mergeCell ref="AA23:AA31"/>
    <mergeCell ref="AA32:AA33"/>
  </mergeCells>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1D95E9-5C02-4430-B918-D9B0B5762B34}">
  <dimension ref="A1:AQ90"/>
  <sheetViews>
    <sheetView topLeftCell="A49" zoomScale="85" zoomScaleNormal="85" workbookViewId="0">
      <selection activeCell="G83" sqref="G83"/>
    </sheetView>
  </sheetViews>
  <sheetFormatPr baseColWidth="10" defaultRowHeight="14.4"/>
  <cols>
    <col min="1" max="1" width="98.6640625" customWidth="1"/>
    <col min="2" max="22" width="12.44140625" style="190" bestFit="1" customWidth="1"/>
    <col min="23" max="23" width="11.5546875" customWidth="1"/>
  </cols>
  <sheetData>
    <row r="1" spans="1:43">
      <c r="A1" s="193" t="s">
        <v>299</v>
      </c>
      <c r="B1" s="188" t="s">
        <v>51</v>
      </c>
      <c r="C1" s="188" t="s">
        <v>300</v>
      </c>
      <c r="D1" s="188" t="s">
        <v>301</v>
      </c>
      <c r="E1" s="188" t="s">
        <v>302</v>
      </c>
      <c r="F1" s="188" t="s">
        <v>303</v>
      </c>
      <c r="G1" s="188" t="s">
        <v>304</v>
      </c>
      <c r="H1" s="188" t="s">
        <v>305</v>
      </c>
      <c r="I1" s="188" t="s">
        <v>306</v>
      </c>
      <c r="J1" s="188" t="s">
        <v>307</v>
      </c>
      <c r="K1" s="188" t="s">
        <v>308</v>
      </c>
      <c r="L1" s="188" t="s">
        <v>309</v>
      </c>
      <c r="M1" s="188" t="s">
        <v>310</v>
      </c>
      <c r="N1" s="188" t="s">
        <v>311</v>
      </c>
      <c r="O1" s="188" t="s">
        <v>312</v>
      </c>
      <c r="P1" s="188" t="s">
        <v>313</v>
      </c>
      <c r="Q1" s="188" t="s">
        <v>314</v>
      </c>
      <c r="R1" s="188" t="s">
        <v>315</v>
      </c>
      <c r="S1" s="188" t="s">
        <v>316</v>
      </c>
      <c r="T1" s="188" t="s">
        <v>317</v>
      </c>
      <c r="U1" s="188" t="s">
        <v>318</v>
      </c>
      <c r="V1" s="188" t="s">
        <v>319</v>
      </c>
    </row>
    <row r="2" spans="1:43" s="46" customFormat="1">
      <c r="A2" s="46" t="s">
        <v>320</v>
      </c>
      <c r="B2" s="188">
        <v>2227.4</v>
      </c>
      <c r="C2" s="188">
        <v>13.9</v>
      </c>
      <c r="D2" s="188">
        <v>18.2</v>
      </c>
      <c r="E2" s="188">
        <v>26.1</v>
      </c>
      <c r="F2" s="188">
        <v>33.700000000000003</v>
      </c>
      <c r="G2" s="188">
        <v>42.2</v>
      </c>
      <c r="H2" s="188">
        <v>47.1</v>
      </c>
      <c r="I2" s="188">
        <v>57.2</v>
      </c>
      <c r="J2" s="188">
        <v>66.400000000000006</v>
      </c>
      <c r="K2" s="188">
        <v>72.5</v>
      </c>
      <c r="L2" s="188">
        <v>80.3</v>
      </c>
      <c r="M2" s="188">
        <v>85.5</v>
      </c>
      <c r="N2" s="188">
        <v>95.4</v>
      </c>
      <c r="O2" s="188">
        <v>104.8</v>
      </c>
      <c r="P2" s="188">
        <v>113.2</v>
      </c>
      <c r="Q2" s="188">
        <v>124.6</v>
      </c>
      <c r="R2" s="188">
        <v>143</v>
      </c>
      <c r="S2" s="188">
        <v>157.1</v>
      </c>
      <c r="T2" s="188">
        <v>188.2</v>
      </c>
      <c r="U2" s="188">
        <v>226.9</v>
      </c>
      <c r="V2" s="188">
        <v>531.20000000000005</v>
      </c>
    </row>
    <row r="3" spans="1:43">
      <c r="A3" t="s">
        <v>331</v>
      </c>
      <c r="B3" s="190">
        <v>1771.4</v>
      </c>
      <c r="C3" s="190">
        <v>10.7</v>
      </c>
      <c r="D3" s="190">
        <v>15.7</v>
      </c>
      <c r="E3" s="190">
        <v>22.5</v>
      </c>
      <c r="F3" s="190">
        <v>28.8</v>
      </c>
      <c r="G3" s="190">
        <v>35.700000000000003</v>
      </c>
      <c r="H3" s="190">
        <v>40.1</v>
      </c>
      <c r="I3" s="190">
        <v>48.4</v>
      </c>
      <c r="J3" s="190">
        <v>55.9</v>
      </c>
      <c r="K3" s="190">
        <v>61.1</v>
      </c>
      <c r="L3" s="190">
        <v>67.7</v>
      </c>
      <c r="M3" s="190">
        <v>72</v>
      </c>
      <c r="N3" s="190">
        <v>80.099999999999994</v>
      </c>
      <c r="O3" s="190">
        <v>87.8</v>
      </c>
      <c r="P3" s="190">
        <v>94.3</v>
      </c>
      <c r="Q3" s="190">
        <v>104.3</v>
      </c>
      <c r="R3" s="190">
        <v>119.2</v>
      </c>
      <c r="S3" s="190">
        <v>129.80000000000001</v>
      </c>
      <c r="T3" s="190">
        <v>155.30000000000001</v>
      </c>
      <c r="U3" s="190">
        <v>185</v>
      </c>
      <c r="V3" s="190">
        <v>357</v>
      </c>
    </row>
    <row r="4" spans="1:43" s="55" customFormat="1">
      <c r="A4" s="55" t="s">
        <v>332</v>
      </c>
      <c r="B4" s="189">
        <v>1406.5</v>
      </c>
      <c r="C4" s="189">
        <v>6.2</v>
      </c>
      <c r="D4" s="189">
        <v>10.3</v>
      </c>
      <c r="E4" s="189">
        <v>17.2</v>
      </c>
      <c r="F4" s="189">
        <v>23</v>
      </c>
      <c r="G4" s="189">
        <v>28.9</v>
      </c>
      <c r="H4" s="189">
        <v>32.4</v>
      </c>
      <c r="I4" s="189">
        <v>40.299999999999997</v>
      </c>
      <c r="J4" s="189">
        <v>47.3</v>
      </c>
      <c r="K4" s="189">
        <v>51.5</v>
      </c>
      <c r="L4" s="189">
        <v>57.6</v>
      </c>
      <c r="M4" s="189">
        <v>61.2</v>
      </c>
      <c r="N4" s="189">
        <v>66.7</v>
      </c>
      <c r="O4" s="189">
        <v>75.099999999999994</v>
      </c>
      <c r="P4" s="189">
        <v>80</v>
      </c>
      <c r="Q4" s="189">
        <v>89.2</v>
      </c>
      <c r="R4" s="189">
        <v>101.3</v>
      </c>
      <c r="S4" s="189">
        <v>108.1</v>
      </c>
      <c r="T4" s="189">
        <v>129.30000000000001</v>
      </c>
      <c r="U4" s="189">
        <v>149.1</v>
      </c>
      <c r="V4" s="189">
        <v>231.8</v>
      </c>
    </row>
    <row r="5" spans="1:43" s="55" customFormat="1">
      <c r="A5" s="55" t="s">
        <v>333</v>
      </c>
      <c r="B5" s="189">
        <v>116.9</v>
      </c>
      <c r="C5" s="189">
        <v>0.4</v>
      </c>
      <c r="D5" s="189">
        <v>1.3</v>
      </c>
      <c r="E5" s="189">
        <v>1.5</v>
      </c>
      <c r="F5" s="189">
        <v>1</v>
      </c>
      <c r="G5" s="189">
        <v>1.2</v>
      </c>
      <c r="H5" s="189">
        <v>1.7</v>
      </c>
      <c r="I5" s="189">
        <v>1.4</v>
      </c>
      <c r="J5" s="189">
        <v>1.4</v>
      </c>
      <c r="K5" s="189">
        <v>1.6</v>
      </c>
      <c r="L5" s="189">
        <v>1.8</v>
      </c>
      <c r="M5" s="189">
        <v>1.8</v>
      </c>
      <c r="N5" s="189">
        <v>3.5</v>
      </c>
      <c r="O5" s="189">
        <v>2.2000000000000002</v>
      </c>
      <c r="P5" s="189">
        <v>2.7</v>
      </c>
      <c r="Q5" s="189">
        <v>3</v>
      </c>
      <c r="R5" s="189">
        <v>5.4</v>
      </c>
      <c r="S5" s="189">
        <v>6.8</v>
      </c>
      <c r="T5" s="189">
        <v>8.1999999999999993</v>
      </c>
      <c r="U5" s="189">
        <v>13.1</v>
      </c>
      <c r="V5" s="189">
        <v>56.9</v>
      </c>
    </row>
    <row r="6" spans="1:43" s="55" customFormat="1">
      <c r="A6" s="55" t="s">
        <v>334</v>
      </c>
      <c r="B6" s="189">
        <v>248</v>
      </c>
      <c r="C6" s="189">
        <v>4.0999999999999996</v>
      </c>
      <c r="D6" s="189">
        <v>4.2</v>
      </c>
      <c r="E6" s="189">
        <v>3.8</v>
      </c>
      <c r="F6" s="189">
        <v>4.7</v>
      </c>
      <c r="G6" s="189">
        <v>5.5</v>
      </c>
      <c r="H6" s="189">
        <v>6</v>
      </c>
      <c r="I6" s="189">
        <v>6.7</v>
      </c>
      <c r="J6" s="189">
        <v>7.1</v>
      </c>
      <c r="K6" s="189">
        <v>8.1</v>
      </c>
      <c r="L6" s="189">
        <v>8.4</v>
      </c>
      <c r="M6" s="189">
        <v>9.1</v>
      </c>
      <c r="N6" s="189">
        <v>9.9</v>
      </c>
      <c r="O6" s="189">
        <v>10.5</v>
      </c>
      <c r="P6" s="189">
        <v>11.6</v>
      </c>
      <c r="Q6" s="189">
        <v>12.1</v>
      </c>
      <c r="R6" s="189">
        <v>12.5</v>
      </c>
      <c r="S6" s="189">
        <v>14.9</v>
      </c>
      <c r="T6" s="189">
        <v>17.899999999999999</v>
      </c>
      <c r="U6" s="189">
        <v>22.7</v>
      </c>
      <c r="V6" s="189">
        <v>68.2</v>
      </c>
    </row>
    <row r="7" spans="1:43">
      <c r="A7" t="s">
        <v>335</v>
      </c>
      <c r="B7" s="190">
        <v>122.6</v>
      </c>
      <c r="C7" s="190">
        <v>1.9</v>
      </c>
      <c r="D7" s="190">
        <v>0.4</v>
      </c>
      <c r="E7" s="190">
        <v>0.3</v>
      </c>
      <c r="F7" s="190">
        <v>0.4</v>
      </c>
      <c r="G7" s="190">
        <v>0.6</v>
      </c>
      <c r="H7" s="190">
        <v>0.4</v>
      </c>
      <c r="I7" s="190">
        <v>0.7</v>
      </c>
      <c r="J7" s="190">
        <v>0.9</v>
      </c>
      <c r="K7" s="190">
        <v>0.8</v>
      </c>
      <c r="L7" s="190">
        <v>0.6</v>
      </c>
      <c r="M7" s="190">
        <v>0.8</v>
      </c>
      <c r="N7" s="190">
        <v>1.1000000000000001</v>
      </c>
      <c r="O7" s="190">
        <v>1.4</v>
      </c>
      <c r="P7" s="190">
        <v>1.9</v>
      </c>
      <c r="Q7" s="190">
        <v>1.5</v>
      </c>
      <c r="R7" s="190">
        <v>2</v>
      </c>
      <c r="S7" s="190">
        <v>3.3</v>
      </c>
      <c r="T7" s="190">
        <v>4.2</v>
      </c>
      <c r="U7" s="190">
        <v>7.1</v>
      </c>
      <c r="V7" s="190">
        <v>92.3</v>
      </c>
    </row>
    <row r="8" spans="1:43">
      <c r="A8" t="s">
        <v>341</v>
      </c>
      <c r="B8" s="190">
        <v>333.4</v>
      </c>
      <c r="C8" s="190">
        <v>1.4</v>
      </c>
      <c r="D8" s="190">
        <v>2.1</v>
      </c>
      <c r="E8" s="190">
        <v>3.2</v>
      </c>
      <c r="F8" s="190">
        <v>4.4000000000000004</v>
      </c>
      <c r="G8" s="190">
        <v>5.8</v>
      </c>
      <c r="H8" s="190">
        <v>6.6</v>
      </c>
      <c r="I8" s="190">
        <v>8.1999999999999993</v>
      </c>
      <c r="J8" s="190">
        <v>9.6</v>
      </c>
      <c r="K8" s="190">
        <v>10.6</v>
      </c>
      <c r="L8" s="190">
        <v>11.9</v>
      </c>
      <c r="M8" s="190">
        <v>12.7</v>
      </c>
      <c r="N8" s="190">
        <v>14.2</v>
      </c>
      <c r="O8" s="190">
        <v>15.7</v>
      </c>
      <c r="P8" s="190">
        <v>17</v>
      </c>
      <c r="Q8" s="190">
        <v>18.8</v>
      </c>
      <c r="R8" s="190">
        <v>21.8</v>
      </c>
      <c r="S8" s="190">
        <v>23.9</v>
      </c>
      <c r="T8" s="190">
        <v>28.8</v>
      </c>
      <c r="U8" s="190">
        <v>34.799999999999997</v>
      </c>
      <c r="V8" s="190">
        <v>81.900000000000006</v>
      </c>
    </row>
    <row r="9" spans="1:43" s="46" customFormat="1">
      <c r="A9" s="46" t="s">
        <v>321</v>
      </c>
      <c r="B9" s="188">
        <v>-1241</v>
      </c>
      <c r="C9" s="188">
        <v>-15</v>
      </c>
      <c r="D9" s="188">
        <v>-15</v>
      </c>
      <c r="E9" s="188">
        <v>-19</v>
      </c>
      <c r="F9" s="188">
        <v>-22.3</v>
      </c>
      <c r="G9" s="188">
        <v>-26.6</v>
      </c>
      <c r="H9" s="188">
        <v>-29.2</v>
      </c>
      <c r="I9" s="188">
        <v>-34</v>
      </c>
      <c r="J9" s="188">
        <v>-38.299999999999997</v>
      </c>
      <c r="K9" s="188">
        <v>-41.6</v>
      </c>
      <c r="L9" s="188">
        <v>-45.5</v>
      </c>
      <c r="M9" s="188">
        <v>-48.7</v>
      </c>
      <c r="N9" s="188">
        <v>-53.5</v>
      </c>
      <c r="O9" s="188">
        <v>-59.1</v>
      </c>
      <c r="P9" s="188">
        <v>-63.4</v>
      </c>
      <c r="Q9" s="188">
        <v>-69.599999999999994</v>
      </c>
      <c r="R9" s="188">
        <v>-77.7</v>
      </c>
      <c r="S9" s="188">
        <v>-85.9</v>
      </c>
      <c r="T9" s="188">
        <v>-103</v>
      </c>
      <c r="U9" s="188">
        <v>-120</v>
      </c>
      <c r="V9" s="188">
        <v>-274</v>
      </c>
    </row>
    <row r="10" spans="1:43" s="55" customFormat="1">
      <c r="A10" s="55" t="s">
        <v>336</v>
      </c>
      <c r="B10" s="189">
        <v>-283.10000000000002</v>
      </c>
      <c r="C10" s="189">
        <v>-7.3</v>
      </c>
      <c r="D10" s="189">
        <v>-9.1</v>
      </c>
      <c r="E10" s="189">
        <v>-9.6</v>
      </c>
      <c r="F10" s="189">
        <v>-10.199999999999999</v>
      </c>
      <c r="G10" s="189">
        <v>-10.8</v>
      </c>
      <c r="H10" s="189">
        <v>-11.4</v>
      </c>
      <c r="I10" s="189">
        <v>-11.9</v>
      </c>
      <c r="J10" s="189">
        <v>-12.4</v>
      </c>
      <c r="K10" s="189">
        <v>-12.9</v>
      </c>
      <c r="L10" s="189">
        <v>-13.3</v>
      </c>
      <c r="M10" s="189">
        <v>-13.9</v>
      </c>
      <c r="N10" s="189">
        <v>-14.4</v>
      </c>
      <c r="O10" s="189">
        <v>-15.1</v>
      </c>
      <c r="P10" s="189">
        <v>-15.4</v>
      </c>
      <c r="Q10" s="189">
        <v>-15.9</v>
      </c>
      <c r="R10" s="189">
        <v>-16.5</v>
      </c>
      <c r="S10" s="189">
        <v>-17.3</v>
      </c>
      <c r="T10" s="189">
        <v>-18.5</v>
      </c>
      <c r="U10" s="189">
        <v>-18</v>
      </c>
      <c r="V10" s="189">
        <v>-29.4</v>
      </c>
      <c r="X10" s="55">
        <f>C$11/C10</f>
        <v>0.17808219178082194</v>
      </c>
      <c r="Y10" s="55">
        <f t="shared" ref="Y10:AP14" si="0">D$11/D10</f>
        <v>0.15384615384615385</v>
      </c>
      <c r="Z10" s="55">
        <f t="shared" si="0"/>
        <v>0.19791666666666666</v>
      </c>
      <c r="AA10" s="55">
        <f t="shared" si="0"/>
        <v>0.22549019607843138</v>
      </c>
      <c r="AB10" s="55">
        <f t="shared" si="0"/>
        <v>0.25925925925925924</v>
      </c>
      <c r="AC10" s="55">
        <f t="shared" si="0"/>
        <v>0.26315789473684209</v>
      </c>
      <c r="AD10" s="55">
        <f t="shared" si="0"/>
        <v>0.2857142857142857</v>
      </c>
      <c r="AE10" s="55">
        <f t="shared" si="0"/>
        <v>0.29032258064516131</v>
      </c>
      <c r="AF10" s="55">
        <f t="shared" si="0"/>
        <v>0.31007751937984496</v>
      </c>
      <c r="AG10" s="55">
        <f t="shared" si="0"/>
        <v>0.30827067669172931</v>
      </c>
      <c r="AH10" s="55">
        <f t="shared" si="0"/>
        <v>0.32374100719424459</v>
      </c>
      <c r="AI10" s="55">
        <f t="shared" si="0"/>
        <v>0.31944444444444442</v>
      </c>
      <c r="AJ10" s="55">
        <f t="shared" si="0"/>
        <v>0.33112582781456956</v>
      </c>
      <c r="AK10" s="55">
        <f t="shared" si="0"/>
        <v>0.33766233766233766</v>
      </c>
      <c r="AL10" s="55">
        <f t="shared" si="0"/>
        <v>0.34591194968553457</v>
      </c>
      <c r="AM10" s="55">
        <f t="shared" si="0"/>
        <v>0.34545454545454546</v>
      </c>
      <c r="AN10" s="55">
        <f t="shared" si="0"/>
        <v>0.32369942196531787</v>
      </c>
      <c r="AO10" s="55">
        <f t="shared" si="0"/>
        <v>0.34594594594594597</v>
      </c>
      <c r="AP10" s="55">
        <f t="shared" si="0"/>
        <v>0.35</v>
      </c>
      <c r="AQ10" s="55">
        <f>V$11/V10</f>
        <v>0.28231292517006806</v>
      </c>
    </row>
    <row r="11" spans="1:43" s="55" customFormat="1">
      <c r="A11" s="55" t="s">
        <v>337</v>
      </c>
      <c r="B11" s="189">
        <v>-84.9</v>
      </c>
      <c r="C11" s="189">
        <v>-1.3</v>
      </c>
      <c r="D11" s="189">
        <v>-1.4</v>
      </c>
      <c r="E11" s="189">
        <v>-1.9</v>
      </c>
      <c r="F11" s="189">
        <v>-2.2999999999999998</v>
      </c>
      <c r="G11" s="189">
        <v>-2.8</v>
      </c>
      <c r="H11" s="189">
        <v>-3</v>
      </c>
      <c r="I11" s="189">
        <v>-3.4</v>
      </c>
      <c r="J11" s="189">
        <v>-3.6</v>
      </c>
      <c r="K11" s="189">
        <v>-4</v>
      </c>
      <c r="L11" s="189">
        <v>-4.0999999999999996</v>
      </c>
      <c r="M11" s="189">
        <v>-4.5</v>
      </c>
      <c r="N11" s="189">
        <v>-4.5999999999999996</v>
      </c>
      <c r="O11" s="189">
        <v>-5</v>
      </c>
      <c r="P11" s="189">
        <v>-5.2</v>
      </c>
      <c r="Q11" s="189">
        <v>-5.5</v>
      </c>
      <c r="R11" s="189">
        <v>-5.7</v>
      </c>
      <c r="S11" s="189">
        <v>-5.6</v>
      </c>
      <c r="T11" s="189">
        <v>-6.4</v>
      </c>
      <c r="U11" s="189">
        <v>-6.3</v>
      </c>
      <c r="V11" s="189">
        <v>-8.3000000000000007</v>
      </c>
      <c r="X11" s="55">
        <f t="shared" ref="X11:X14" si="1">C$11/C11</f>
        <v>1</v>
      </c>
      <c r="Y11" s="55">
        <f t="shared" si="0"/>
        <v>1</v>
      </c>
      <c r="Z11" s="55">
        <f t="shared" si="0"/>
        <v>1</v>
      </c>
      <c r="AA11" s="55">
        <f t="shared" si="0"/>
        <v>1</v>
      </c>
      <c r="AB11" s="55">
        <f t="shared" si="0"/>
        <v>1</v>
      </c>
      <c r="AC11" s="55">
        <f t="shared" si="0"/>
        <v>1</v>
      </c>
      <c r="AD11" s="55">
        <f t="shared" si="0"/>
        <v>1</v>
      </c>
      <c r="AE11" s="55">
        <f t="shared" si="0"/>
        <v>1</v>
      </c>
      <c r="AF11" s="55">
        <f t="shared" si="0"/>
        <v>1</v>
      </c>
      <c r="AG11" s="55">
        <f t="shared" si="0"/>
        <v>1</v>
      </c>
      <c r="AH11" s="55">
        <f t="shared" si="0"/>
        <v>1</v>
      </c>
      <c r="AI11" s="55">
        <f t="shared" si="0"/>
        <v>1</v>
      </c>
      <c r="AJ11" s="55">
        <f t="shared" si="0"/>
        <v>1</v>
      </c>
      <c r="AK11" s="55">
        <f t="shared" si="0"/>
        <v>1</v>
      </c>
      <c r="AL11" s="55">
        <f t="shared" si="0"/>
        <v>1</v>
      </c>
      <c r="AM11" s="55">
        <f t="shared" si="0"/>
        <v>1</v>
      </c>
      <c r="AN11" s="55">
        <f t="shared" si="0"/>
        <v>1</v>
      </c>
      <c r="AO11" s="55">
        <f t="shared" si="0"/>
        <v>1</v>
      </c>
      <c r="AP11" s="55">
        <f t="shared" si="0"/>
        <v>1</v>
      </c>
      <c r="AQ11" s="55">
        <f t="shared" ref="AQ11:AQ14" si="2">V$11/V11</f>
        <v>1</v>
      </c>
    </row>
    <row r="12" spans="1:43" s="55" customFormat="1">
      <c r="A12" s="55" t="s">
        <v>338</v>
      </c>
      <c r="B12" s="189">
        <v>-354.3</v>
      </c>
      <c r="C12" s="189">
        <v>-4.5999999999999996</v>
      </c>
      <c r="D12" s="189">
        <v>-1.3</v>
      </c>
      <c r="E12" s="189">
        <v>-1.9</v>
      </c>
      <c r="F12" s="189">
        <v>-2.6</v>
      </c>
      <c r="G12" s="189">
        <v>-3.6</v>
      </c>
      <c r="H12" s="189">
        <v>-4.2</v>
      </c>
      <c r="I12" s="189">
        <v>-5.4</v>
      </c>
      <c r="J12" s="189">
        <v>-6.3</v>
      </c>
      <c r="K12" s="189">
        <v>-7</v>
      </c>
      <c r="L12" s="189">
        <v>-7.6</v>
      </c>
      <c r="M12" s="189">
        <v>-8.5</v>
      </c>
      <c r="N12" s="189">
        <v>-9.8000000000000007</v>
      </c>
      <c r="O12" s="189">
        <v>-11.4</v>
      </c>
      <c r="P12" s="189">
        <v>-13.3</v>
      </c>
      <c r="Q12" s="189">
        <v>-14.8</v>
      </c>
      <c r="R12" s="189">
        <v>-17.100000000000001</v>
      </c>
      <c r="S12" s="189">
        <v>-21.3</v>
      </c>
      <c r="T12" s="189">
        <v>-27.7</v>
      </c>
      <c r="U12" s="189">
        <v>-37.5</v>
      </c>
      <c r="V12" s="189">
        <v>-148.69999999999999</v>
      </c>
      <c r="X12" s="55">
        <f t="shared" si="1"/>
        <v>0.28260869565217395</v>
      </c>
      <c r="Y12" s="55">
        <f t="shared" si="0"/>
        <v>1.0769230769230769</v>
      </c>
      <c r="Z12" s="55">
        <f t="shared" si="0"/>
        <v>1</v>
      </c>
      <c r="AA12" s="55">
        <f t="shared" si="0"/>
        <v>0.88461538461538447</v>
      </c>
      <c r="AB12" s="55">
        <f t="shared" si="0"/>
        <v>0.77777777777777768</v>
      </c>
      <c r="AC12" s="55">
        <f t="shared" si="0"/>
        <v>0.7142857142857143</v>
      </c>
      <c r="AD12" s="55">
        <f t="shared" si="0"/>
        <v>0.62962962962962954</v>
      </c>
      <c r="AE12" s="55">
        <f t="shared" si="0"/>
        <v>0.57142857142857151</v>
      </c>
      <c r="AF12" s="55">
        <f t="shared" si="0"/>
        <v>0.5714285714285714</v>
      </c>
      <c r="AG12" s="55">
        <f t="shared" si="0"/>
        <v>0.53947368421052633</v>
      </c>
      <c r="AH12" s="55">
        <f t="shared" si="0"/>
        <v>0.52941176470588236</v>
      </c>
      <c r="AI12" s="55">
        <f t="shared" si="0"/>
        <v>0.46938775510204073</v>
      </c>
      <c r="AJ12" s="55">
        <f t="shared" si="0"/>
        <v>0.43859649122807015</v>
      </c>
      <c r="AK12" s="55">
        <f t="shared" si="0"/>
        <v>0.39097744360902253</v>
      </c>
      <c r="AL12" s="55">
        <f t="shared" si="0"/>
        <v>0.3716216216216216</v>
      </c>
      <c r="AM12" s="55">
        <f t="shared" si="0"/>
        <v>0.33333333333333331</v>
      </c>
      <c r="AN12" s="55">
        <f t="shared" si="0"/>
        <v>0.26291079812206569</v>
      </c>
      <c r="AO12" s="55">
        <f t="shared" si="0"/>
        <v>0.23104693140794225</v>
      </c>
      <c r="AP12" s="55">
        <f t="shared" si="0"/>
        <v>0.16799999999999998</v>
      </c>
      <c r="AQ12" s="55">
        <f t="shared" si="2"/>
        <v>5.5817081371889718E-2</v>
      </c>
    </row>
    <row r="13" spans="1:43" s="55" customFormat="1">
      <c r="A13" s="55" t="s">
        <v>339</v>
      </c>
      <c r="B13" s="189">
        <v>-307.39999999999998</v>
      </c>
      <c r="C13" s="189">
        <v>-1.2</v>
      </c>
      <c r="D13" s="189">
        <v>-1.9</v>
      </c>
      <c r="E13" s="189">
        <v>-3.3</v>
      </c>
      <c r="F13" s="189">
        <v>-4.5</v>
      </c>
      <c r="G13" s="189">
        <v>-5.7</v>
      </c>
      <c r="H13" s="189">
        <v>-6.6</v>
      </c>
      <c r="I13" s="189">
        <v>-8.4</v>
      </c>
      <c r="J13" s="189">
        <v>-10.199999999999999</v>
      </c>
      <c r="K13" s="189">
        <v>-11.2</v>
      </c>
      <c r="L13" s="189">
        <v>-13.1</v>
      </c>
      <c r="M13" s="189">
        <v>-13.9</v>
      </c>
      <c r="N13" s="189">
        <v>-15.7</v>
      </c>
      <c r="O13" s="189">
        <v>-17.5</v>
      </c>
      <c r="P13" s="189">
        <v>-18.399999999999999</v>
      </c>
      <c r="Q13" s="189">
        <v>-20.7</v>
      </c>
      <c r="R13" s="189">
        <v>-23.4</v>
      </c>
      <c r="S13" s="189">
        <v>-25.2</v>
      </c>
      <c r="T13" s="189">
        <v>-28.8</v>
      </c>
      <c r="U13" s="189">
        <v>-32.1</v>
      </c>
      <c r="V13" s="189">
        <v>-45.4</v>
      </c>
      <c r="X13" s="55">
        <f t="shared" si="1"/>
        <v>1.0833333333333335</v>
      </c>
      <c r="Y13" s="55">
        <f t="shared" si="0"/>
        <v>0.73684210526315785</v>
      </c>
      <c r="Z13" s="55">
        <f t="shared" si="0"/>
        <v>0.5757575757575758</v>
      </c>
      <c r="AA13" s="55">
        <f t="shared" si="0"/>
        <v>0.51111111111111107</v>
      </c>
      <c r="AB13" s="55">
        <f t="shared" si="0"/>
        <v>0.49122807017543857</v>
      </c>
      <c r="AC13" s="55">
        <f t="shared" si="0"/>
        <v>0.45454545454545459</v>
      </c>
      <c r="AD13" s="55">
        <f t="shared" si="0"/>
        <v>0.40476190476190471</v>
      </c>
      <c r="AE13" s="55">
        <f t="shared" si="0"/>
        <v>0.35294117647058826</v>
      </c>
      <c r="AF13" s="55">
        <f t="shared" si="0"/>
        <v>0.35714285714285715</v>
      </c>
      <c r="AG13" s="55">
        <f t="shared" si="0"/>
        <v>0.31297709923664119</v>
      </c>
      <c r="AH13" s="55">
        <f t="shared" si="0"/>
        <v>0.32374100719424459</v>
      </c>
      <c r="AI13" s="55">
        <f t="shared" si="0"/>
        <v>0.2929936305732484</v>
      </c>
      <c r="AJ13" s="55">
        <f t="shared" si="0"/>
        <v>0.2857142857142857</v>
      </c>
      <c r="AK13" s="55">
        <f t="shared" si="0"/>
        <v>0.28260869565217395</v>
      </c>
      <c r="AL13" s="55">
        <f t="shared" si="0"/>
        <v>0.26570048309178745</v>
      </c>
      <c r="AM13" s="55">
        <f t="shared" si="0"/>
        <v>0.24358974358974361</v>
      </c>
      <c r="AN13" s="55">
        <f t="shared" si="0"/>
        <v>0.22222222222222221</v>
      </c>
      <c r="AO13" s="55">
        <f t="shared" si="0"/>
        <v>0.22222222222222224</v>
      </c>
      <c r="AP13" s="55">
        <f t="shared" si="0"/>
        <v>0.19626168224299065</v>
      </c>
      <c r="AQ13" s="55">
        <f t="shared" si="2"/>
        <v>0.18281938325991193</v>
      </c>
    </row>
    <row r="14" spans="1:43" s="55" customFormat="1">
      <c r="A14" s="55" t="s">
        <v>340</v>
      </c>
      <c r="B14" s="189">
        <v>-211.3</v>
      </c>
      <c r="C14" s="189">
        <v>-1</v>
      </c>
      <c r="D14" s="189">
        <v>-1.2</v>
      </c>
      <c r="E14" s="189">
        <v>-2.2000000000000002</v>
      </c>
      <c r="F14" s="189">
        <v>-2.8</v>
      </c>
      <c r="G14" s="189">
        <v>-3.7</v>
      </c>
      <c r="H14" s="189">
        <v>-4</v>
      </c>
      <c r="I14" s="189">
        <v>-4.9000000000000004</v>
      </c>
      <c r="J14" s="189">
        <v>-5.8</v>
      </c>
      <c r="K14" s="189">
        <v>-6.5</v>
      </c>
      <c r="L14" s="189">
        <v>-7.5</v>
      </c>
      <c r="M14" s="189">
        <v>-8.1</v>
      </c>
      <c r="N14" s="189">
        <v>-9</v>
      </c>
      <c r="O14" s="189">
        <v>-10</v>
      </c>
      <c r="P14" s="189">
        <v>-11</v>
      </c>
      <c r="Q14" s="189">
        <v>-12.9</v>
      </c>
      <c r="R14" s="189">
        <v>-15</v>
      </c>
      <c r="S14" s="189">
        <v>-16.5</v>
      </c>
      <c r="T14" s="189">
        <v>-21.2</v>
      </c>
      <c r="U14" s="189">
        <v>-26</v>
      </c>
      <c r="V14" s="189">
        <v>-42.1</v>
      </c>
      <c r="X14" s="55">
        <f t="shared" si="1"/>
        <v>1.3</v>
      </c>
      <c r="Y14" s="55">
        <f t="shared" si="0"/>
        <v>1.1666666666666667</v>
      </c>
      <c r="Z14" s="55">
        <f t="shared" si="0"/>
        <v>0.86363636363636354</v>
      </c>
      <c r="AA14" s="55">
        <f t="shared" si="0"/>
        <v>0.8214285714285714</v>
      </c>
      <c r="AB14" s="55">
        <f t="shared" si="0"/>
        <v>0.75675675675675669</v>
      </c>
      <c r="AC14" s="55">
        <f t="shared" si="0"/>
        <v>0.75</v>
      </c>
      <c r="AD14" s="55">
        <f t="shared" si="0"/>
        <v>0.69387755102040805</v>
      </c>
      <c r="AE14" s="55">
        <f t="shared" si="0"/>
        <v>0.62068965517241381</v>
      </c>
      <c r="AF14" s="55">
        <f t="shared" si="0"/>
        <v>0.61538461538461542</v>
      </c>
      <c r="AG14" s="55">
        <f t="shared" si="0"/>
        <v>0.54666666666666663</v>
      </c>
      <c r="AH14" s="55">
        <f t="shared" si="0"/>
        <v>0.55555555555555558</v>
      </c>
      <c r="AI14" s="55">
        <f t="shared" si="0"/>
        <v>0.51111111111111107</v>
      </c>
      <c r="AJ14" s="55">
        <f t="shared" si="0"/>
        <v>0.5</v>
      </c>
      <c r="AK14" s="55">
        <f t="shared" si="0"/>
        <v>0.47272727272727272</v>
      </c>
      <c r="AL14" s="55">
        <f t="shared" si="0"/>
        <v>0.4263565891472868</v>
      </c>
      <c r="AM14" s="55">
        <f t="shared" si="0"/>
        <v>0.38</v>
      </c>
      <c r="AN14" s="55">
        <f t="shared" si="0"/>
        <v>0.33939393939393936</v>
      </c>
      <c r="AO14" s="55">
        <f t="shared" si="0"/>
        <v>0.30188679245283023</v>
      </c>
      <c r="AP14" s="55">
        <f t="shared" si="0"/>
        <v>0.24230769230769231</v>
      </c>
      <c r="AQ14" s="55">
        <f t="shared" si="2"/>
        <v>0.1971496437054632</v>
      </c>
    </row>
    <row r="15" spans="1:43" s="46" customFormat="1">
      <c r="A15" s="46" t="s">
        <v>322</v>
      </c>
      <c r="B15" s="188">
        <v>567.9</v>
      </c>
      <c r="C15" s="188">
        <v>15.2</v>
      </c>
      <c r="D15" s="188">
        <v>21.1</v>
      </c>
      <c r="E15" s="188">
        <v>23.4</v>
      </c>
      <c r="F15" s="188">
        <v>25.3</v>
      </c>
      <c r="G15" s="188">
        <v>26.7</v>
      </c>
      <c r="H15" s="188">
        <v>28.2</v>
      </c>
      <c r="I15" s="188">
        <v>27.7</v>
      </c>
      <c r="J15" s="188">
        <v>27.1</v>
      </c>
      <c r="K15" s="188">
        <v>28</v>
      </c>
      <c r="L15" s="188">
        <v>27.4</v>
      </c>
      <c r="M15" s="188">
        <v>28.6</v>
      </c>
      <c r="N15" s="188">
        <v>28.1</v>
      </c>
      <c r="O15" s="188">
        <v>28.9</v>
      </c>
      <c r="P15" s="188">
        <v>29.7</v>
      </c>
      <c r="Q15" s="188">
        <v>30.4</v>
      </c>
      <c r="R15" s="188">
        <v>28.4</v>
      </c>
      <c r="S15" s="188">
        <v>32.299999999999997</v>
      </c>
      <c r="T15" s="188">
        <v>33.5</v>
      </c>
      <c r="U15" s="188">
        <v>36.700000000000003</v>
      </c>
      <c r="V15" s="188">
        <v>41.3</v>
      </c>
    </row>
    <row r="16" spans="1:43" s="55" customFormat="1">
      <c r="A16" s="55" t="s">
        <v>342</v>
      </c>
      <c r="B16" s="189">
        <v>356.7</v>
      </c>
      <c r="C16" s="189">
        <v>2.2999999999999998</v>
      </c>
      <c r="D16" s="189">
        <v>8</v>
      </c>
      <c r="E16" s="189">
        <v>10</v>
      </c>
      <c r="F16" s="189">
        <v>11.6</v>
      </c>
      <c r="G16" s="189">
        <v>14</v>
      </c>
      <c r="H16" s="189">
        <v>17.3</v>
      </c>
      <c r="I16" s="189">
        <v>16</v>
      </c>
      <c r="J16" s="189">
        <v>16.2</v>
      </c>
      <c r="K16" s="189">
        <v>18.3</v>
      </c>
      <c r="L16" s="189">
        <v>17.8</v>
      </c>
      <c r="M16" s="189">
        <v>19.600000000000001</v>
      </c>
      <c r="N16" s="189">
        <v>19.100000000000001</v>
      </c>
      <c r="O16" s="189">
        <v>20.100000000000001</v>
      </c>
      <c r="P16" s="189">
        <v>20.7</v>
      </c>
      <c r="Q16" s="189">
        <v>21.4</v>
      </c>
      <c r="R16" s="189">
        <v>19.8</v>
      </c>
      <c r="S16" s="189">
        <v>23.4</v>
      </c>
      <c r="T16" s="189">
        <v>24</v>
      </c>
      <c r="U16" s="189">
        <v>27</v>
      </c>
      <c r="V16" s="189">
        <v>30</v>
      </c>
    </row>
    <row r="17" spans="1:22" s="55" customFormat="1">
      <c r="A17" s="55" t="s">
        <v>344</v>
      </c>
      <c r="B17" s="189">
        <v>90.3</v>
      </c>
      <c r="C17" s="189">
        <v>3.3</v>
      </c>
      <c r="D17" s="189">
        <v>4.5</v>
      </c>
      <c r="E17" s="189">
        <v>4.2</v>
      </c>
      <c r="F17" s="189">
        <v>5</v>
      </c>
      <c r="G17" s="189">
        <v>4.9000000000000004</v>
      </c>
      <c r="H17" s="189">
        <v>3.9</v>
      </c>
      <c r="I17" s="189">
        <v>4.7</v>
      </c>
      <c r="J17" s="189">
        <v>4.5999999999999996</v>
      </c>
      <c r="K17" s="189">
        <v>4.0999999999999996</v>
      </c>
      <c r="L17" s="189">
        <v>4.4000000000000004</v>
      </c>
      <c r="M17" s="189">
        <v>3.8</v>
      </c>
      <c r="N17" s="189">
        <v>4.0999999999999996</v>
      </c>
      <c r="O17" s="189">
        <v>3.7</v>
      </c>
      <c r="P17" s="189">
        <v>4.0999999999999996</v>
      </c>
      <c r="Q17" s="189">
        <v>4.3</v>
      </c>
      <c r="R17" s="189">
        <v>4.0999999999999996</v>
      </c>
      <c r="S17" s="189">
        <v>4.5999999999999996</v>
      </c>
      <c r="T17" s="189">
        <v>5.2</v>
      </c>
      <c r="U17" s="189">
        <v>5.5</v>
      </c>
      <c r="V17" s="189">
        <v>7</v>
      </c>
    </row>
    <row r="18" spans="1:22" s="55" customFormat="1">
      <c r="A18" s="55" t="s">
        <v>343</v>
      </c>
      <c r="B18" s="189">
        <v>61.8</v>
      </c>
      <c r="C18" s="189">
        <v>8.1999999999999993</v>
      </c>
      <c r="D18" s="189">
        <v>7.3</v>
      </c>
      <c r="E18" s="189">
        <v>6.7</v>
      </c>
      <c r="F18" s="189">
        <v>6.2</v>
      </c>
      <c r="G18" s="189">
        <v>4.9000000000000004</v>
      </c>
      <c r="H18" s="189">
        <v>4.2</v>
      </c>
      <c r="I18" s="189">
        <v>3.8</v>
      </c>
      <c r="J18" s="189">
        <v>3.1</v>
      </c>
      <c r="K18" s="189">
        <v>2.7</v>
      </c>
      <c r="L18" s="189">
        <v>2.2999999999999998</v>
      </c>
      <c r="M18" s="189">
        <v>2.1</v>
      </c>
      <c r="N18" s="189">
        <v>1.9</v>
      </c>
      <c r="O18" s="189">
        <v>1.6</v>
      </c>
      <c r="P18" s="189">
        <v>1.6</v>
      </c>
      <c r="Q18" s="189">
        <v>1.2</v>
      </c>
      <c r="R18" s="189">
        <v>1</v>
      </c>
      <c r="S18" s="189">
        <v>0.9</v>
      </c>
      <c r="T18" s="189">
        <v>0.6</v>
      </c>
      <c r="U18" s="189">
        <v>0.7</v>
      </c>
      <c r="V18" s="189">
        <v>0.6</v>
      </c>
    </row>
    <row r="19" spans="1:22" s="55" customFormat="1">
      <c r="A19" s="55" t="s">
        <v>345</v>
      </c>
      <c r="B19" s="189">
        <v>59.2</v>
      </c>
      <c r="C19" s="189">
        <v>1.3</v>
      </c>
      <c r="D19" s="189">
        <v>1.3</v>
      </c>
      <c r="E19" s="189">
        <v>2.5</v>
      </c>
      <c r="F19" s="189">
        <v>2.6</v>
      </c>
      <c r="G19" s="189">
        <v>2.8</v>
      </c>
      <c r="H19" s="189">
        <v>2.9</v>
      </c>
      <c r="I19" s="189">
        <v>3.2</v>
      </c>
      <c r="J19" s="189">
        <v>3.2</v>
      </c>
      <c r="K19" s="189">
        <v>3</v>
      </c>
      <c r="L19" s="189">
        <v>2.9</v>
      </c>
      <c r="M19" s="189">
        <v>3</v>
      </c>
      <c r="N19" s="189">
        <v>3</v>
      </c>
      <c r="O19" s="189">
        <v>3.3</v>
      </c>
      <c r="P19" s="189">
        <v>3.3</v>
      </c>
      <c r="Q19" s="189">
        <v>3.4</v>
      </c>
      <c r="R19" s="189">
        <v>3.4</v>
      </c>
      <c r="S19" s="189">
        <v>3.3</v>
      </c>
      <c r="T19" s="189">
        <v>3.5</v>
      </c>
      <c r="U19" s="189">
        <v>3.5</v>
      </c>
      <c r="V19" s="189">
        <v>3.7</v>
      </c>
    </row>
    <row r="20" spans="1:22" s="46" customFormat="1">
      <c r="A20" s="46" t="s">
        <v>323</v>
      </c>
      <c r="B20" s="188">
        <v>714.5</v>
      </c>
      <c r="C20" s="188">
        <v>45.3</v>
      </c>
      <c r="D20" s="188">
        <v>43.7</v>
      </c>
      <c r="E20" s="188">
        <v>46.7</v>
      </c>
      <c r="F20" s="188">
        <v>44.4</v>
      </c>
      <c r="G20" s="188">
        <v>41</v>
      </c>
      <c r="H20" s="188">
        <v>38.700000000000003</v>
      </c>
      <c r="I20" s="188">
        <v>39.6</v>
      </c>
      <c r="J20" s="188">
        <v>38.9</v>
      </c>
      <c r="K20" s="188">
        <v>34.4</v>
      </c>
      <c r="L20" s="188">
        <v>33</v>
      </c>
      <c r="M20" s="188">
        <v>33.299999999999997</v>
      </c>
      <c r="N20" s="188">
        <v>33.700000000000003</v>
      </c>
      <c r="O20" s="188">
        <v>32.799999999999997</v>
      </c>
      <c r="P20" s="188">
        <v>32.700000000000003</v>
      </c>
      <c r="Q20" s="188">
        <v>29.2</v>
      </c>
      <c r="R20" s="188">
        <v>28.5</v>
      </c>
      <c r="S20" s="188">
        <v>29.7</v>
      </c>
      <c r="T20" s="188">
        <v>29.4</v>
      </c>
      <c r="U20" s="188">
        <v>28.7</v>
      </c>
      <c r="V20" s="188">
        <v>30.4</v>
      </c>
    </row>
    <row r="21" spans="1:22" s="55" customFormat="1">
      <c r="A21" s="55" t="s">
        <v>346</v>
      </c>
      <c r="B21" s="189">
        <v>227</v>
      </c>
      <c r="C21" s="189">
        <v>10</v>
      </c>
      <c r="D21" s="189">
        <v>9.8000000000000007</v>
      </c>
      <c r="E21" s="189">
        <v>15.1</v>
      </c>
      <c r="F21" s="189">
        <v>15.3</v>
      </c>
      <c r="G21" s="189">
        <v>13.1</v>
      </c>
      <c r="H21" s="189">
        <v>13.2</v>
      </c>
      <c r="I21" s="189">
        <v>14.8</v>
      </c>
      <c r="J21" s="189">
        <v>14.6</v>
      </c>
      <c r="K21" s="189">
        <v>10.8</v>
      </c>
      <c r="L21" s="189">
        <v>10.3</v>
      </c>
      <c r="M21" s="189">
        <v>11.6</v>
      </c>
      <c r="N21" s="189">
        <v>11.4</v>
      </c>
      <c r="O21" s="189">
        <v>11.7</v>
      </c>
      <c r="P21" s="189">
        <v>11.5</v>
      </c>
      <c r="Q21" s="189">
        <v>8.4</v>
      </c>
      <c r="R21" s="189">
        <v>8.4</v>
      </c>
      <c r="S21" s="189">
        <v>9.8000000000000007</v>
      </c>
      <c r="T21" s="189">
        <v>10.199999999999999</v>
      </c>
      <c r="U21" s="189">
        <v>8.5</v>
      </c>
      <c r="V21" s="189">
        <v>8.8000000000000007</v>
      </c>
    </row>
    <row r="22" spans="1:22" s="55" customFormat="1">
      <c r="A22" s="55" t="s">
        <v>347</v>
      </c>
      <c r="B22" s="189">
        <v>137.9</v>
      </c>
      <c r="C22" s="189">
        <v>10.3</v>
      </c>
      <c r="D22" s="189">
        <v>9.3000000000000007</v>
      </c>
      <c r="E22" s="189">
        <v>8.8000000000000007</v>
      </c>
      <c r="F22" s="189">
        <v>8.4</v>
      </c>
      <c r="G22" s="189">
        <v>7.9</v>
      </c>
      <c r="H22" s="189">
        <v>7.1</v>
      </c>
      <c r="I22" s="189">
        <v>6.8</v>
      </c>
      <c r="J22" s="189">
        <v>7</v>
      </c>
      <c r="K22" s="189">
        <v>6.6</v>
      </c>
      <c r="L22" s="189">
        <v>6.4</v>
      </c>
      <c r="M22" s="189">
        <v>6.2</v>
      </c>
      <c r="N22" s="189">
        <v>6.7</v>
      </c>
      <c r="O22" s="189">
        <v>5.9</v>
      </c>
      <c r="P22" s="189">
        <v>6.3</v>
      </c>
      <c r="Q22" s="189">
        <v>6.3</v>
      </c>
      <c r="R22" s="189">
        <v>6</v>
      </c>
      <c r="S22" s="189">
        <v>5.8</v>
      </c>
      <c r="T22" s="189">
        <v>5</v>
      </c>
      <c r="U22" s="189">
        <v>5.3</v>
      </c>
      <c r="V22" s="189">
        <v>5.9</v>
      </c>
    </row>
    <row r="23" spans="1:22" s="55" customFormat="1">
      <c r="A23" s="55" t="s">
        <v>348</v>
      </c>
      <c r="B23" s="189">
        <v>16.5</v>
      </c>
      <c r="C23" s="189">
        <v>4.3</v>
      </c>
      <c r="D23" s="189">
        <v>3</v>
      </c>
      <c r="E23" s="189">
        <v>2.7</v>
      </c>
      <c r="F23" s="189">
        <v>1.9</v>
      </c>
      <c r="G23" s="189">
        <v>1.1000000000000001</v>
      </c>
      <c r="H23" s="189">
        <v>0.8</v>
      </c>
      <c r="I23" s="189">
        <v>0.6</v>
      </c>
      <c r="J23" s="189">
        <v>0.4</v>
      </c>
      <c r="K23" s="189">
        <v>0.3</v>
      </c>
      <c r="L23" s="189">
        <v>0.2</v>
      </c>
      <c r="M23" s="189">
        <v>0.1</v>
      </c>
      <c r="N23" s="189">
        <v>0.2</v>
      </c>
      <c r="O23" s="189">
        <v>0.1</v>
      </c>
      <c r="P23" s="189">
        <v>0.1</v>
      </c>
      <c r="Q23" s="189">
        <v>0.1</v>
      </c>
      <c r="R23" s="189">
        <v>0.1</v>
      </c>
      <c r="S23" s="189">
        <v>0.1</v>
      </c>
      <c r="T23" s="189">
        <v>0.1</v>
      </c>
      <c r="U23" s="189">
        <v>0.1</v>
      </c>
      <c r="V23" s="189">
        <v>0.1</v>
      </c>
    </row>
    <row r="24" spans="1:22" s="55" customFormat="1">
      <c r="A24" s="55" t="s">
        <v>349</v>
      </c>
      <c r="B24" s="189">
        <v>102.1</v>
      </c>
      <c r="C24" s="189">
        <v>8.1999999999999993</v>
      </c>
      <c r="D24" s="189">
        <v>10.3</v>
      </c>
      <c r="E24" s="189">
        <v>8.6</v>
      </c>
      <c r="F24" s="189">
        <v>7.5</v>
      </c>
      <c r="G24" s="189">
        <v>7.7</v>
      </c>
      <c r="H24" s="189">
        <v>6.2</v>
      </c>
      <c r="I24" s="189">
        <v>5.9</v>
      </c>
      <c r="J24" s="189">
        <v>5.5</v>
      </c>
      <c r="K24" s="189">
        <v>5.0999999999999996</v>
      </c>
      <c r="L24" s="189">
        <v>5.0999999999999996</v>
      </c>
      <c r="M24" s="189">
        <v>4.7</v>
      </c>
      <c r="N24" s="189">
        <v>4.8</v>
      </c>
      <c r="O24" s="189">
        <v>4.3</v>
      </c>
      <c r="P24" s="189">
        <v>4.0999999999999996</v>
      </c>
      <c r="Q24" s="189">
        <v>3.3</v>
      </c>
      <c r="R24" s="189">
        <v>2.7</v>
      </c>
      <c r="S24" s="189">
        <v>2.2999999999999998</v>
      </c>
      <c r="T24" s="189">
        <v>1.6</v>
      </c>
      <c r="U24" s="189">
        <v>2</v>
      </c>
      <c r="V24" s="189">
        <v>1.6</v>
      </c>
    </row>
    <row r="25" spans="1:22" s="55" customFormat="1">
      <c r="A25" s="55" t="s">
        <v>350</v>
      </c>
      <c r="B25" s="189">
        <v>231</v>
      </c>
      <c r="C25" s="189">
        <v>12.5</v>
      </c>
      <c r="D25" s="189">
        <v>11.3</v>
      </c>
      <c r="E25" s="189">
        <v>11.5</v>
      </c>
      <c r="F25" s="189">
        <v>11.3</v>
      </c>
      <c r="G25" s="189">
        <v>11.2</v>
      </c>
      <c r="H25" s="189">
        <v>11.4</v>
      </c>
      <c r="I25" s="189">
        <v>11.5</v>
      </c>
      <c r="J25" s="189">
        <v>11.4</v>
      </c>
      <c r="K25" s="189">
        <v>11.6</v>
      </c>
      <c r="L25" s="189">
        <v>11</v>
      </c>
      <c r="M25" s="189">
        <v>10.7</v>
      </c>
      <c r="N25" s="189">
        <v>10.6</v>
      </c>
      <c r="O25" s="189">
        <v>10.8</v>
      </c>
      <c r="P25" s="189">
        <v>10.7</v>
      </c>
      <c r="Q25" s="189">
        <v>11.1</v>
      </c>
      <c r="R25" s="189">
        <v>11.3</v>
      </c>
      <c r="S25" s="189">
        <v>11.7</v>
      </c>
      <c r="T25" s="189">
        <v>12.5</v>
      </c>
      <c r="U25" s="189">
        <v>12.8</v>
      </c>
      <c r="V25" s="189">
        <v>14</v>
      </c>
    </row>
    <row r="26" spans="1:22" s="46" customFormat="1">
      <c r="A26" s="46" t="s">
        <v>324</v>
      </c>
      <c r="B26" s="188">
        <v>-99.6</v>
      </c>
      <c r="C26" s="188">
        <v>-3</v>
      </c>
      <c r="D26" s="188">
        <v>-3.1</v>
      </c>
      <c r="E26" s="188">
        <v>-3.4</v>
      </c>
      <c r="F26" s="188">
        <v>-3.6</v>
      </c>
      <c r="G26" s="188">
        <v>-3.6</v>
      </c>
      <c r="H26" s="188">
        <v>-3.7</v>
      </c>
      <c r="I26" s="188">
        <v>-3.9</v>
      </c>
      <c r="J26" s="188">
        <v>-4</v>
      </c>
      <c r="K26" s="188">
        <v>-4</v>
      </c>
      <c r="L26" s="188">
        <v>-4.0999999999999996</v>
      </c>
      <c r="M26" s="188">
        <v>-4.3</v>
      </c>
      <c r="N26" s="188">
        <v>-4.4000000000000004</v>
      </c>
      <c r="O26" s="188">
        <v>-4.5999999999999996</v>
      </c>
      <c r="P26" s="188">
        <v>-4.9000000000000004</v>
      </c>
      <c r="Q26" s="188">
        <v>-5</v>
      </c>
      <c r="R26" s="188">
        <v>-5.2</v>
      </c>
      <c r="S26" s="188">
        <v>-5.7</v>
      </c>
      <c r="T26" s="188">
        <v>-6.4</v>
      </c>
      <c r="U26" s="188">
        <v>-7.2</v>
      </c>
      <c r="V26" s="188">
        <v>-15.5</v>
      </c>
    </row>
    <row r="27" spans="1:22" s="46" customFormat="1">
      <c r="A27" s="46" t="s">
        <v>325</v>
      </c>
      <c r="B27" s="188">
        <v>58.1</v>
      </c>
      <c r="C27" s="188">
        <v>3.4</v>
      </c>
      <c r="D27" s="188">
        <v>3.3</v>
      </c>
      <c r="E27" s="188">
        <v>3.4</v>
      </c>
      <c r="F27" s="188">
        <v>3.3</v>
      </c>
      <c r="G27" s="188">
        <v>3.2</v>
      </c>
      <c r="H27" s="188">
        <v>3.2</v>
      </c>
      <c r="I27" s="188">
        <v>3.2</v>
      </c>
      <c r="J27" s="188">
        <v>3.1</v>
      </c>
      <c r="K27" s="188">
        <v>3</v>
      </c>
      <c r="L27" s="188">
        <v>2.9</v>
      </c>
      <c r="M27" s="188">
        <v>2.9</v>
      </c>
      <c r="N27" s="188">
        <v>2.9</v>
      </c>
      <c r="O27" s="188">
        <v>2.8</v>
      </c>
      <c r="P27" s="188">
        <v>2.8</v>
      </c>
      <c r="Q27" s="188">
        <v>2.7</v>
      </c>
      <c r="R27" s="188">
        <v>2.6</v>
      </c>
      <c r="S27" s="188">
        <v>2.6</v>
      </c>
      <c r="T27" s="188">
        <v>2.4</v>
      </c>
      <c r="U27" s="188">
        <v>2.2000000000000002</v>
      </c>
      <c r="V27" s="188">
        <v>1.4</v>
      </c>
    </row>
    <row r="28" spans="1:22" s="46" customFormat="1">
      <c r="A28" s="46" t="s">
        <v>326</v>
      </c>
      <c r="B28" s="188">
        <v>2227.4</v>
      </c>
      <c r="C28" s="188">
        <v>59.6</v>
      </c>
      <c r="D28" s="188">
        <v>68.3</v>
      </c>
      <c r="E28" s="188">
        <v>77.2</v>
      </c>
      <c r="F28" s="188">
        <v>80.900000000000006</v>
      </c>
      <c r="G28" s="188">
        <v>83</v>
      </c>
      <c r="H28" s="188">
        <v>84.4</v>
      </c>
      <c r="I28" s="188">
        <v>89.9</v>
      </c>
      <c r="J28" s="188">
        <v>93.2</v>
      </c>
      <c r="K28" s="188">
        <v>92.4</v>
      </c>
      <c r="L28" s="188">
        <v>94.3</v>
      </c>
      <c r="M28" s="188">
        <v>97.5</v>
      </c>
      <c r="N28" s="188">
        <v>102.3</v>
      </c>
      <c r="O28" s="188">
        <v>105.6</v>
      </c>
      <c r="P28" s="188">
        <v>110.1</v>
      </c>
      <c r="Q28" s="188">
        <v>112.2</v>
      </c>
      <c r="R28" s="188">
        <v>119.6</v>
      </c>
      <c r="S28" s="188">
        <v>130.1</v>
      </c>
      <c r="T28" s="188">
        <v>144.6</v>
      </c>
      <c r="U28" s="188">
        <v>167.4</v>
      </c>
      <c r="V28" s="188">
        <v>314.89999999999998</v>
      </c>
    </row>
    <row r="29" spans="1:22" s="46" customFormat="1">
      <c r="A29" s="46" t="s">
        <v>327</v>
      </c>
      <c r="B29" s="188">
        <v>1537</v>
      </c>
      <c r="C29" s="188">
        <v>20.3</v>
      </c>
      <c r="D29" s="188">
        <v>32.6</v>
      </c>
      <c r="E29" s="188">
        <v>38.5</v>
      </c>
      <c r="F29" s="188">
        <v>44.3</v>
      </c>
      <c r="G29" s="188">
        <v>49.6</v>
      </c>
      <c r="H29" s="188">
        <v>53.5</v>
      </c>
      <c r="I29" s="188">
        <v>57.4</v>
      </c>
      <c r="J29" s="188">
        <v>60.8</v>
      </c>
      <c r="K29" s="188">
        <v>64.400000000000006</v>
      </c>
      <c r="L29" s="188">
        <v>67</v>
      </c>
      <c r="M29" s="188">
        <v>70.2</v>
      </c>
      <c r="N29" s="188">
        <v>73.8</v>
      </c>
      <c r="O29" s="188">
        <v>77.8</v>
      </c>
      <c r="P29" s="188">
        <v>81.7</v>
      </c>
      <c r="Q29" s="188">
        <v>86.5</v>
      </c>
      <c r="R29" s="188">
        <v>92.6</v>
      </c>
      <c r="S29" s="188">
        <v>100.4</v>
      </c>
      <c r="T29" s="188">
        <v>112.7</v>
      </c>
      <c r="U29" s="188">
        <v>129.4</v>
      </c>
      <c r="V29" s="188">
        <v>223.4</v>
      </c>
    </row>
    <row r="30" spans="1:22" s="46" customFormat="1">
      <c r="A30" s="46" t="s">
        <v>328</v>
      </c>
      <c r="B30" s="188">
        <v>2020.5</v>
      </c>
      <c r="C30" s="188">
        <v>53.2</v>
      </c>
      <c r="D30" s="188">
        <v>65</v>
      </c>
      <c r="E30" s="188">
        <v>73.8</v>
      </c>
      <c r="F30" s="188">
        <v>77.400000000000006</v>
      </c>
      <c r="G30" s="188">
        <v>79.400000000000006</v>
      </c>
      <c r="H30" s="188">
        <v>80.7</v>
      </c>
      <c r="I30" s="188">
        <v>85.6</v>
      </c>
      <c r="J30" s="188">
        <v>88.4</v>
      </c>
      <c r="K30" s="188">
        <v>87.2</v>
      </c>
      <c r="L30" s="188">
        <v>89.1</v>
      </c>
      <c r="M30" s="188">
        <v>92.8</v>
      </c>
      <c r="N30" s="188">
        <v>96.9</v>
      </c>
      <c r="O30" s="188">
        <v>99.8</v>
      </c>
      <c r="P30" s="188">
        <v>103.7</v>
      </c>
      <c r="Q30" s="188">
        <v>104.5</v>
      </c>
      <c r="R30" s="188">
        <v>109.7</v>
      </c>
      <c r="S30" s="188">
        <v>118.5</v>
      </c>
      <c r="T30" s="188">
        <v>129.6</v>
      </c>
      <c r="U30" s="188">
        <v>145.30000000000001</v>
      </c>
      <c r="V30" s="188">
        <v>239.8</v>
      </c>
    </row>
    <row r="31" spans="1:22">
      <c r="A31" t="s">
        <v>329</v>
      </c>
      <c r="B31" s="190">
        <v>68.099999999999994</v>
      </c>
      <c r="C31" s="190">
        <v>3.4</v>
      </c>
      <c r="D31" s="190">
        <v>3.4</v>
      </c>
      <c r="E31" s="190">
        <v>3.4</v>
      </c>
      <c r="F31" s="190">
        <v>3.4</v>
      </c>
      <c r="G31" s="190">
        <v>3.4</v>
      </c>
      <c r="H31" s="190">
        <v>3.4</v>
      </c>
      <c r="I31" s="190">
        <v>3.4</v>
      </c>
      <c r="J31" s="190">
        <v>3.4</v>
      </c>
      <c r="K31" s="190">
        <v>3.4</v>
      </c>
      <c r="L31" s="190">
        <v>3.4</v>
      </c>
      <c r="M31" s="190">
        <v>3.4</v>
      </c>
      <c r="N31" s="190">
        <v>3.4</v>
      </c>
      <c r="O31" s="190">
        <v>3.4</v>
      </c>
      <c r="P31" s="190">
        <v>3.4</v>
      </c>
      <c r="Q31" s="190">
        <v>3.4</v>
      </c>
      <c r="R31" s="190">
        <v>3.4</v>
      </c>
      <c r="S31" s="190">
        <v>3.4</v>
      </c>
      <c r="T31" s="190">
        <v>3.4</v>
      </c>
      <c r="U31" s="190">
        <v>3.4</v>
      </c>
      <c r="V31" s="190">
        <v>3.4</v>
      </c>
    </row>
    <row r="32" spans="1:22">
      <c r="A32" t="s">
        <v>330</v>
      </c>
      <c r="B32" s="190">
        <v>47.7</v>
      </c>
      <c r="C32" s="190">
        <v>2.4</v>
      </c>
      <c r="D32" s="190">
        <v>2.2999999999999998</v>
      </c>
      <c r="E32" s="190">
        <v>2.4</v>
      </c>
      <c r="F32" s="190">
        <v>2.4</v>
      </c>
      <c r="G32" s="190">
        <v>2.4</v>
      </c>
      <c r="H32" s="190">
        <v>2.4</v>
      </c>
      <c r="I32" s="190">
        <v>2.4</v>
      </c>
      <c r="J32" s="190">
        <v>2.4</v>
      </c>
      <c r="K32" s="190">
        <v>2.4</v>
      </c>
      <c r="L32" s="190">
        <v>2.4</v>
      </c>
      <c r="M32" s="190">
        <v>2.4</v>
      </c>
      <c r="N32" s="190">
        <v>2.4</v>
      </c>
      <c r="O32" s="190">
        <v>2.4</v>
      </c>
      <c r="P32" s="190">
        <v>2.4</v>
      </c>
      <c r="Q32" s="190">
        <v>2.4</v>
      </c>
      <c r="R32" s="190">
        <v>2.4</v>
      </c>
      <c r="S32" s="190">
        <v>2.4</v>
      </c>
      <c r="T32" s="190">
        <v>2.4</v>
      </c>
      <c r="U32" s="190">
        <v>2.4</v>
      </c>
      <c r="V32" s="190">
        <v>2.4</v>
      </c>
    </row>
    <row r="33" spans="1:25">
      <c r="B33" s="224"/>
      <c r="C33" s="224"/>
      <c r="D33" s="224"/>
      <c r="E33" s="224"/>
      <c r="F33" s="224"/>
      <c r="G33" s="224"/>
      <c r="H33" s="224"/>
      <c r="I33" s="224"/>
      <c r="J33" s="224"/>
      <c r="K33" s="224"/>
      <c r="L33" s="224"/>
      <c r="M33" s="224"/>
      <c r="N33" s="224"/>
      <c r="O33" s="224"/>
      <c r="P33" s="224"/>
      <c r="Q33" s="224"/>
      <c r="R33" s="224"/>
      <c r="S33" s="224"/>
      <c r="T33" s="224"/>
      <c r="U33" s="224"/>
      <c r="V33" s="224"/>
    </row>
    <row r="34" spans="1:25">
      <c r="A34" t="s">
        <v>388</v>
      </c>
      <c r="B34" s="280"/>
      <c r="C34" s="280"/>
      <c r="D34" s="280"/>
      <c r="E34" s="280"/>
      <c r="F34" s="280"/>
      <c r="G34" s="280"/>
      <c r="H34" s="280"/>
      <c r="I34" s="280"/>
      <c r="J34" s="280"/>
      <c r="K34" s="280"/>
      <c r="L34" s="280"/>
      <c r="M34" s="280"/>
      <c r="N34" s="280"/>
      <c r="O34" s="280"/>
      <c r="P34" s="280"/>
      <c r="Q34" s="280"/>
      <c r="R34" s="280"/>
      <c r="S34" s="280"/>
      <c r="T34" s="280"/>
      <c r="U34" s="280"/>
      <c r="V34" s="280"/>
    </row>
    <row r="35" spans="1:25">
      <c r="A35" t="s">
        <v>368</v>
      </c>
      <c r="B35" s="280"/>
      <c r="C35" s="280"/>
      <c r="D35" s="280"/>
      <c r="E35" s="280"/>
      <c r="F35" s="280"/>
      <c r="G35" s="280"/>
      <c r="H35" s="280"/>
      <c r="I35" s="280"/>
      <c r="J35" s="280"/>
      <c r="K35" s="280"/>
      <c r="L35" s="280"/>
      <c r="M35" s="280"/>
      <c r="N35" s="280"/>
      <c r="O35" s="280"/>
      <c r="P35" s="280"/>
      <c r="Q35" s="280"/>
      <c r="R35" s="280"/>
      <c r="S35" s="280"/>
      <c r="T35" s="280"/>
      <c r="U35" s="280"/>
      <c r="V35" s="280"/>
    </row>
    <row r="36" spans="1:25" s="85" customFormat="1">
      <c r="A36" s="85" t="s">
        <v>369</v>
      </c>
      <c r="B36" s="280"/>
      <c r="C36" s="280"/>
      <c r="D36" s="280"/>
      <c r="E36" s="280"/>
      <c r="F36" s="280"/>
      <c r="G36" s="280"/>
      <c r="H36" s="280"/>
      <c r="I36" s="280"/>
      <c r="J36" s="280"/>
      <c r="K36" s="280"/>
      <c r="L36" s="280"/>
      <c r="M36" s="280"/>
      <c r="N36" s="280"/>
      <c r="O36" s="280"/>
      <c r="P36" s="280"/>
      <c r="Q36" s="280"/>
      <c r="R36" s="280"/>
      <c r="S36" s="280"/>
      <c r="T36" s="280"/>
      <c r="U36" s="280"/>
      <c r="V36" s="280"/>
    </row>
    <row r="37" spans="1:25">
      <c r="A37" t="s">
        <v>370</v>
      </c>
      <c r="B37" s="280"/>
      <c r="C37" s="280"/>
      <c r="D37" s="280"/>
      <c r="E37" s="280"/>
      <c r="F37" s="280"/>
      <c r="G37" s="280"/>
      <c r="H37" s="280"/>
      <c r="I37" s="280"/>
      <c r="J37" s="280"/>
      <c r="K37" s="280"/>
      <c r="L37" s="280"/>
      <c r="M37" s="280"/>
      <c r="N37" s="280"/>
      <c r="O37" s="280"/>
      <c r="P37" s="280"/>
      <c r="Q37" s="280"/>
      <c r="R37" s="280"/>
      <c r="S37" s="280"/>
      <c r="T37" s="280"/>
      <c r="U37" s="280"/>
      <c r="V37" s="280"/>
    </row>
    <row r="38" spans="1:25" s="85" customFormat="1">
      <c r="B38" s="280"/>
      <c r="C38" s="280"/>
      <c r="D38" s="280"/>
      <c r="E38" s="280"/>
      <c r="F38" s="280"/>
      <c r="G38" s="280"/>
      <c r="H38" s="280"/>
      <c r="I38" s="280"/>
      <c r="J38" s="280"/>
      <c r="K38" s="280"/>
      <c r="L38" s="280"/>
      <c r="M38" s="280"/>
      <c r="N38" s="280"/>
      <c r="O38" s="280"/>
      <c r="P38" s="280"/>
      <c r="Q38" s="280"/>
      <c r="R38" s="280"/>
      <c r="S38" s="280"/>
      <c r="T38" s="280"/>
      <c r="U38" s="280"/>
      <c r="V38" s="280"/>
    </row>
    <row r="39" spans="1:25">
      <c r="X39" s="268" t="s">
        <v>470</v>
      </c>
      <c r="Y39" s="268"/>
    </row>
    <row r="40" spans="1:25">
      <c r="A40" s="193" t="s">
        <v>458</v>
      </c>
      <c r="B40" s="188" t="s">
        <v>51</v>
      </c>
      <c r="C40" s="188" t="s">
        <v>300</v>
      </c>
      <c r="D40" s="188" t="s">
        <v>301</v>
      </c>
      <c r="E40" s="188" t="s">
        <v>302</v>
      </c>
      <c r="F40" s="188" t="s">
        <v>303</v>
      </c>
      <c r="G40" s="188" t="s">
        <v>304</v>
      </c>
      <c r="H40" s="188" t="s">
        <v>305</v>
      </c>
      <c r="I40" s="188" t="s">
        <v>306</v>
      </c>
      <c r="J40" s="188" t="s">
        <v>307</v>
      </c>
      <c r="K40" s="188" t="s">
        <v>308</v>
      </c>
      <c r="L40" s="188" t="s">
        <v>309</v>
      </c>
      <c r="M40" s="188" t="s">
        <v>310</v>
      </c>
      <c r="N40" s="188" t="s">
        <v>311</v>
      </c>
      <c r="O40" s="188" t="s">
        <v>312</v>
      </c>
      <c r="P40" s="188" t="s">
        <v>313</v>
      </c>
      <c r="Q40" s="188" t="s">
        <v>314</v>
      </c>
      <c r="R40" s="188" t="s">
        <v>315</v>
      </c>
      <c r="S40" s="188" t="s">
        <v>316</v>
      </c>
      <c r="T40" s="188" t="s">
        <v>317</v>
      </c>
      <c r="U40" s="188" t="s">
        <v>318</v>
      </c>
      <c r="V40" s="188" t="s">
        <v>319</v>
      </c>
      <c r="X40" s="222" t="s">
        <v>318</v>
      </c>
      <c r="Y40" s="222" t="s">
        <v>319</v>
      </c>
    </row>
    <row r="41" spans="1:25">
      <c r="A41" s="43" t="s">
        <v>462</v>
      </c>
      <c r="B41" s="102">
        <f>B2</f>
        <v>2227.4</v>
      </c>
      <c r="C41" s="102">
        <f>C2</f>
        <v>13.9</v>
      </c>
      <c r="D41" s="102">
        <f t="shared" ref="D41:V41" si="3">D2</f>
        <v>18.2</v>
      </c>
      <c r="E41" s="102">
        <f t="shared" si="3"/>
        <v>26.1</v>
      </c>
      <c r="F41" s="102">
        <f t="shared" si="3"/>
        <v>33.700000000000003</v>
      </c>
      <c r="G41" s="102">
        <f t="shared" si="3"/>
        <v>42.2</v>
      </c>
      <c r="H41" s="102">
        <f t="shared" si="3"/>
        <v>47.1</v>
      </c>
      <c r="I41" s="102">
        <f t="shared" si="3"/>
        <v>57.2</v>
      </c>
      <c r="J41" s="102">
        <f t="shared" si="3"/>
        <v>66.400000000000006</v>
      </c>
      <c r="K41" s="102">
        <f t="shared" si="3"/>
        <v>72.5</v>
      </c>
      <c r="L41" s="102">
        <f t="shared" si="3"/>
        <v>80.3</v>
      </c>
      <c r="M41" s="102">
        <f t="shared" si="3"/>
        <v>85.5</v>
      </c>
      <c r="N41" s="102">
        <f t="shared" si="3"/>
        <v>95.4</v>
      </c>
      <c r="O41" s="102">
        <f t="shared" si="3"/>
        <v>104.8</v>
      </c>
      <c r="P41" s="102">
        <f t="shared" si="3"/>
        <v>113.2</v>
      </c>
      <c r="Q41" s="102">
        <f t="shared" si="3"/>
        <v>124.6</v>
      </c>
      <c r="R41" s="102">
        <f t="shared" si="3"/>
        <v>143</v>
      </c>
      <c r="S41" s="102">
        <f t="shared" si="3"/>
        <v>157.1</v>
      </c>
      <c r="T41" s="102">
        <f t="shared" si="3"/>
        <v>188.2</v>
      </c>
      <c r="U41" s="102">
        <f t="shared" si="3"/>
        <v>226.9</v>
      </c>
      <c r="V41" s="102">
        <f t="shared" si="3"/>
        <v>531.20000000000005</v>
      </c>
      <c r="X41" s="279">
        <f t="shared" ref="X41:X43" si="4">U41/$B41</f>
        <v>0.10186764837927628</v>
      </c>
      <c r="Y41" s="279">
        <f t="shared" ref="Y41:Y43" si="5">V41/$B41</f>
        <v>0.23848433150758733</v>
      </c>
    </row>
    <row r="42" spans="1:25" s="43" customFormat="1">
      <c r="A42" s="43" t="s">
        <v>459</v>
      </c>
      <c r="B42" s="179">
        <f xml:space="preserve"> (B2+B13+B16)*$B2/($B2+$B13+$B16)</f>
        <v>2227.4</v>
      </c>
      <c r="C42" s="179">
        <f xml:space="preserve"> (C2+C13+C16)*$B2/($B2+$B13+$B16)</f>
        <v>14.675187771774938</v>
      </c>
      <c r="D42" s="179">
        <f t="shared" ref="D42:U42" si="6" xml:space="preserve"> (D2+D13+D16)*$B2/($B2+$B13+$B16)</f>
        <v>23.773804190275403</v>
      </c>
      <c r="E42" s="179">
        <f t="shared" si="6"/>
        <v>32.089743927614535</v>
      </c>
      <c r="F42" s="179">
        <f t="shared" si="6"/>
        <v>39.916510739227839</v>
      </c>
      <c r="G42" s="179">
        <f t="shared" si="6"/>
        <v>49.406465498308968</v>
      </c>
      <c r="H42" s="179">
        <f t="shared" si="6"/>
        <v>56.548390213906096</v>
      </c>
      <c r="I42" s="179">
        <f t="shared" si="6"/>
        <v>63.396811174067743</v>
      </c>
      <c r="J42" s="179">
        <f t="shared" si="6"/>
        <v>70.832239645100373</v>
      </c>
      <c r="K42" s="179">
        <f t="shared" si="6"/>
        <v>77.87632977555235</v>
      </c>
      <c r="L42" s="179">
        <f t="shared" si="6"/>
        <v>83.159397373391315</v>
      </c>
      <c r="M42" s="179">
        <f t="shared" si="6"/>
        <v>89.225141652391613</v>
      </c>
      <c r="N42" s="179">
        <f t="shared" si="6"/>
        <v>96.660570123424279</v>
      </c>
      <c r="O42" s="179">
        <f t="shared" si="6"/>
        <v>105.07434444590857</v>
      </c>
      <c r="P42" s="179">
        <f t="shared" si="6"/>
        <v>112.99894584266704</v>
      </c>
      <c r="Q42" s="179">
        <f t="shared" si="6"/>
        <v>122.58673518689331</v>
      </c>
      <c r="R42" s="179">
        <f t="shared" si="6"/>
        <v>136.38141169236175</v>
      </c>
      <c r="S42" s="179">
        <f t="shared" si="6"/>
        <v>151.93711073044321</v>
      </c>
      <c r="T42" s="179">
        <f t="shared" si="6"/>
        <v>179.4286291562349</v>
      </c>
      <c r="U42" s="179">
        <f t="shared" si="6"/>
        <v>216.99710985197879</v>
      </c>
      <c r="V42" s="179">
        <f xml:space="preserve"> V2+V13+V16</f>
        <v>515.80000000000007</v>
      </c>
      <c r="X42" s="279">
        <f t="shared" si="4"/>
        <v>9.7421706856415005E-2</v>
      </c>
      <c r="Y42" s="279">
        <f t="shared" si="5"/>
        <v>0.23157044087276649</v>
      </c>
    </row>
    <row r="43" spans="1:25" s="43" customFormat="1">
      <c r="A43" s="43" t="s">
        <v>460</v>
      </c>
      <c r="B43" s="179">
        <f xml:space="preserve"> (B2+B13+0.208*B14+B16+B17)*$B2/($B2+$B13+0.208*$B14+$B16+$B17)</f>
        <v>2227.4</v>
      </c>
      <c r="C43" s="179">
        <f xml:space="preserve"> (C2+C13+0.208*C14+C16+C17)*$B2/($B2+$B13+0.208*$B14+$B16+$B17)</f>
        <v>17.347077221252615</v>
      </c>
      <c r="D43" s="179">
        <f t="shared" ref="D43:T43" si="7" xml:space="preserve"> (D2+D13+0.208*D14+D16+D17)*$B2/($B2+$B13+0.208*$B14+$B16+$B17)</f>
        <v>27.374861457973171</v>
      </c>
      <c r="E43" s="179">
        <f t="shared" si="7"/>
        <v>35.03779762601711</v>
      </c>
      <c r="F43" s="179">
        <f t="shared" si="7"/>
        <v>43.355803612630567</v>
      </c>
      <c r="G43" s="179">
        <f t="shared" si="7"/>
        <v>52.381039543882316</v>
      </c>
      <c r="H43" s="179">
        <f t="shared" si="7"/>
        <v>58.361811646208501</v>
      </c>
      <c r="I43" s="179">
        <f t="shared" si="7"/>
        <v>65.661161053126037</v>
      </c>
      <c r="J43" s="179">
        <f t="shared" si="7"/>
        <v>72.672862705987839</v>
      </c>
      <c r="K43" s="179">
        <f t="shared" si="7"/>
        <v>78.957390836596858</v>
      </c>
      <c r="L43" s="179">
        <f t="shared" si="7"/>
        <v>84.223262387509934</v>
      </c>
      <c r="M43" s="179">
        <f t="shared" si="7"/>
        <v>89.473025664195887</v>
      </c>
      <c r="N43" s="179">
        <f t="shared" si="7"/>
        <v>96.868257655798644</v>
      </c>
      <c r="O43" s="179">
        <f t="shared" si="7"/>
        <v>104.53119382384257</v>
      </c>
      <c r="P43" s="179">
        <f t="shared" si="7"/>
        <v>112.48177774594222</v>
      </c>
      <c r="Q43" s="179">
        <f t="shared" si="7"/>
        <v>121.6911082397896</v>
      </c>
      <c r="R43" s="179">
        <f t="shared" si="7"/>
        <v>134.59997238113209</v>
      </c>
      <c r="S43" s="179">
        <f t="shared" si="7"/>
        <v>150.02556260529263</v>
      </c>
      <c r="T43" s="179">
        <f t="shared" si="7"/>
        <v>176.60651626207201</v>
      </c>
      <c r="U43" s="179">
        <f xml:space="preserve"> (U2+U13+0.208*U14+U16+U17)*$B2/($B2+$B13+0.208*$B14+$B16+$B17)</f>
        <v>212.75578480976043</v>
      </c>
      <c r="V43" s="179">
        <f xml:space="preserve"> (V2+V13+0.208*V14+V16+V17)*$B2/($B2+$B13+0.208*$B14+$B16+$B17)</f>
        <v>492.87790655868906</v>
      </c>
      <c r="X43" s="279">
        <f t="shared" si="4"/>
        <v>9.5517547279231577E-2</v>
      </c>
      <c r="Y43" s="279">
        <f t="shared" si="5"/>
        <v>0.22127947677053472</v>
      </c>
    </row>
    <row r="44" spans="1:25" s="43" customFormat="1" hidden="1">
      <c r="A44" s="55" t="s">
        <v>453</v>
      </c>
      <c r="B44" s="203">
        <f xml:space="preserve"> B13+0.208*B14+B16+B17</f>
        <v>95.649600000000007</v>
      </c>
      <c r="C44" s="203">
        <f t="shared" ref="C44:U44" si="8" xml:space="preserve"> C13+0.208*C14+C16+C17</f>
        <v>4.1920000000000002</v>
      </c>
      <c r="D44" s="203">
        <f t="shared" si="8"/>
        <v>10.3504</v>
      </c>
      <c r="E44" s="203">
        <f t="shared" si="8"/>
        <v>10.442399999999999</v>
      </c>
      <c r="F44" s="203">
        <f t="shared" si="8"/>
        <v>11.5176</v>
      </c>
      <c r="G44" s="203">
        <f t="shared" si="8"/>
        <v>12.430400000000001</v>
      </c>
      <c r="H44" s="203">
        <f t="shared" si="8"/>
        <v>13.768000000000002</v>
      </c>
      <c r="I44" s="203">
        <f t="shared" si="8"/>
        <v>11.280799999999999</v>
      </c>
      <c r="J44" s="203">
        <f t="shared" si="8"/>
        <v>9.3935999999999993</v>
      </c>
      <c r="K44" s="203">
        <f t="shared" si="8"/>
        <v>9.8480000000000008</v>
      </c>
      <c r="L44" s="203">
        <f t="shared" si="8"/>
        <v>7.5400000000000009</v>
      </c>
      <c r="M44" s="203">
        <f t="shared" si="8"/>
        <v>7.8152000000000017</v>
      </c>
      <c r="N44" s="203">
        <f t="shared" si="8"/>
        <v>5.6280000000000019</v>
      </c>
      <c r="O44" s="203">
        <f t="shared" si="8"/>
        <v>4.2200000000000033</v>
      </c>
      <c r="P44" s="203">
        <f t="shared" si="8"/>
        <v>4.1120000000000001</v>
      </c>
      <c r="Q44" s="203">
        <f t="shared" si="8"/>
        <v>2.3167999999999997</v>
      </c>
      <c r="R44" s="203">
        <f t="shared" si="8"/>
        <v>-2.6199999999999992</v>
      </c>
      <c r="S44" s="203">
        <f t="shared" si="8"/>
        <v>-0.63199999999999967</v>
      </c>
      <c r="T44" s="203">
        <f t="shared" si="8"/>
        <v>-4.0096000000000016</v>
      </c>
      <c r="U44" s="203">
        <f t="shared" si="8"/>
        <v>-5.0080000000000027</v>
      </c>
      <c r="V44" s="203">
        <f xml:space="preserve"> V13+0.208*V14+V16+V17</f>
        <v>-17.156799999999997</v>
      </c>
      <c r="X44" s="279">
        <f t="shared" ref="X44:X45" si="9">U44/$B44</f>
        <v>-5.2357772536424638E-2</v>
      </c>
      <c r="Y44" s="279">
        <f t="shared" ref="Y44:Y45" si="10">V44/$B44</f>
        <v>-0.17937137217510576</v>
      </c>
    </row>
    <row r="45" spans="1:25" s="43" customFormat="1" hidden="1">
      <c r="A45" s="55" t="s">
        <v>452</v>
      </c>
      <c r="B45" s="203">
        <f xml:space="preserve"> - (B2+B13+0.208*B14+B16+B17)*(1-$B2/($B2+$B13+0.208*$B14+$B16+$B17))</f>
        <v>-95.649600000000092</v>
      </c>
      <c r="C45" s="203">
        <f xml:space="preserve"> - (C2+C13+0.208*C14+C16+C17)*(1-$B2/($B2+$B13+0.208*$B14+$B16+$B17))</f>
        <v>-0.74492277874738522</v>
      </c>
      <c r="D45" s="203">
        <f xml:space="preserve"> - (D2+D13+0.208*D14+D16+D17)*(1-$B2/($B2+$B13+0.208*$B14+$B16+$B17))</f>
        <v>-1.1755385420268265</v>
      </c>
      <c r="E45" s="203">
        <f xml:space="preserve"> - (E2+E13+0.208*E14+E16+E17)*(1-$B2/($B2+$B13+0.208*$B14+$B16+$B17))</f>
        <v>-1.50460237398289</v>
      </c>
      <c r="F45" s="203">
        <f xml:space="preserve"> - (F2+F13+0.208*F14+F16+F17)*(1-$B2/($B2+$B13+0.208*$B14+$B16+$B17))</f>
        <v>-1.8617963873694321</v>
      </c>
      <c r="G45" s="203">
        <f xml:space="preserve"> - (G2+G13+0.208*G14+G16+G17)*(1-$B2/($B2+$B13+0.208*$B14+$B16+$B17))</f>
        <v>-2.2493604561176848</v>
      </c>
      <c r="H45" s="203">
        <f xml:space="preserve"> - (H2+H13+0.208*H14+H16+H17)*(1-$B2/($B2+$B13+0.208*$B14+$B16+$B17))</f>
        <v>-2.5061883537915013</v>
      </c>
      <c r="I45" s="203">
        <f xml:space="preserve"> - (I2+I13+0.208*I14+I16+I17)*(1-$B2/($B2+$B13+0.208*$B14+$B16+$B17))</f>
        <v>-2.8196389468739738</v>
      </c>
      <c r="J45" s="203">
        <f xml:space="preserve"> - (J2+J13+0.208*J14+J16+J17)*(1-$B2/($B2+$B13+0.208*$B14+$B16+$B17))</f>
        <v>-3.1207372940121494</v>
      </c>
      <c r="K45" s="203">
        <f xml:space="preserve"> - (K2+K13+0.208*K14+K16+K17)*(1-$B2/($B2+$B13+0.208*$B14+$B16+$B17))</f>
        <v>-3.3906091634031434</v>
      </c>
      <c r="L45" s="203">
        <f xml:space="preserve"> - (L2+L13+0.208*L14+L16+L17)*(1-$B2/($B2+$B13+0.208*$B14+$B16+$B17))</f>
        <v>-3.6167376124900681</v>
      </c>
      <c r="M45" s="203">
        <f xml:space="preserve"> - (M2+M13+0.208*M14+M16+M17)*(1-$B2/($B2+$B13+0.208*$B14+$B16+$B17))</f>
        <v>-3.8421743358041116</v>
      </c>
      <c r="N45" s="203">
        <f xml:space="preserve"> - (N2+N13+0.208*N14+N16+N17)*(1-$B2/($B2+$B13+0.208*$B14+$B16+$B17))</f>
        <v>-4.1597423442013497</v>
      </c>
      <c r="O45" s="203">
        <f xml:space="preserve"> - (O2+O13+0.208*O14+O16+O17)*(1-$B2/($B2+$B13+0.208*$B14+$B16+$B17))</f>
        <v>-4.4888061761574134</v>
      </c>
      <c r="P45" s="203">
        <f xml:space="preserve"> - (P2+P13+0.208*P14+P16+P17)*(1-$B2/($B2+$B13+0.208*$B14+$B16+$B17))</f>
        <v>-4.8302222540577739</v>
      </c>
      <c r="Q45" s="203">
        <f xml:space="preserve"> - (Q2+Q13+0.208*Q14+Q16+Q17)*(1-$B2/($B2+$B13+0.208*$B14+$B16+$B17))</f>
        <v>-5.2256917602103758</v>
      </c>
      <c r="R45" s="203">
        <f xml:space="preserve"> - (R2+R13+0.208*R14+R16+R17)*(1-$B2/($B2+$B13+0.208*$B14+$B16+$B17))</f>
        <v>-5.7800276188678934</v>
      </c>
      <c r="S45" s="203">
        <f xml:space="preserve"> - (S2+S13+0.208*S14+S16+S17)*(1-$B2/($B2+$B13+0.208*$B14+$B16+$B17))</f>
        <v>-6.442437394707377</v>
      </c>
      <c r="T45" s="203">
        <f xml:space="preserve"> - (T2+T13+0.208*T14+T16+T17)*(1-$B2/($B2+$B13+0.208*$B14+$B16+$B17))</f>
        <v>-7.583883737927942</v>
      </c>
      <c r="U45" s="203">
        <f xml:space="preserve"> - (U2+U13+0.208*U14+U16+U17)*(1-$B2/($B2+$B13+0.208*$B14+$B16+$B17))</f>
        <v>-9.1362151902395983</v>
      </c>
      <c r="V45" s="203">
        <f xml:space="preserve"> - (V2+V13+0.208*V14+V16+V17)*(1-$B2/($B2+$B13+0.208*$B14+$B16+$B17))</f>
        <v>-21.165293441310961</v>
      </c>
      <c r="X45" s="279">
        <f t="shared" si="9"/>
        <v>9.551754727923159E-2</v>
      </c>
      <c r="Y45" s="279">
        <f t="shared" si="10"/>
        <v>0.22127947677053475</v>
      </c>
    </row>
    <row r="46" spans="1:25" s="43" customFormat="1">
      <c r="A46" s="43" t="s">
        <v>461</v>
      </c>
      <c r="B46" s="179">
        <f xml:space="preserve"> B3+B7+B13+0.208*B14+B16+B17</f>
        <v>1989.6496</v>
      </c>
      <c r="C46" s="179">
        <f xml:space="preserve"> C3+C7+C13+0.208*C14+C16+C17</f>
        <v>16.792000000000002</v>
      </c>
      <c r="D46" s="179">
        <f xml:space="preserve"> D3+D7+D13+0.208*D14+D16+D17</f>
        <v>26.450399999999998</v>
      </c>
      <c r="E46" s="179">
        <f xml:space="preserve"> E3+E7+E13+0.208*E14+E16+E17</f>
        <v>33.242400000000004</v>
      </c>
      <c r="F46" s="179">
        <f xml:space="preserve"> F3+F7+F13+0.208*F14+F16+F17</f>
        <v>40.717599999999997</v>
      </c>
      <c r="G46" s="179">
        <f xml:space="preserve"> G3+G7+G13+0.208*G14+G16+G17</f>
        <v>48.730400000000003</v>
      </c>
      <c r="H46" s="179">
        <f xml:space="preserve"> H3+H7+H13+0.208*H14+H16+H17</f>
        <v>54.267999999999994</v>
      </c>
      <c r="I46" s="179">
        <f xml:space="preserve"> I3+I7+I13+0.208*I14+I16+I17</f>
        <v>60.380800000000008</v>
      </c>
      <c r="J46" s="179">
        <f xml:space="preserve"> J3+J7+J13+0.208*J14+J16+J17</f>
        <v>66.193599999999989</v>
      </c>
      <c r="K46" s="179">
        <f xml:space="preserve"> K3+K7+K13+0.208*K14+K16+K17</f>
        <v>71.748000000000005</v>
      </c>
      <c r="L46" s="179">
        <f xml:space="preserve"> L3+L7+L13+0.208*L14+L16+L17</f>
        <v>75.84</v>
      </c>
      <c r="M46" s="179">
        <f xml:space="preserve"> M3+M7+M13+0.208*M14+M16+M17</f>
        <v>80.615200000000002</v>
      </c>
      <c r="N46" s="179">
        <f xml:space="preserve"> N3+N7+N13+0.208*N14+N16+N17</f>
        <v>86.827999999999975</v>
      </c>
      <c r="O46" s="179">
        <f xml:space="preserve"> O3+O7+O13+0.208*O14+O16+O17</f>
        <v>93.42</v>
      </c>
      <c r="P46" s="179">
        <f xml:space="preserve"> P3+P7+P13+0.208*P14+P16+P17</f>
        <v>100.31200000000001</v>
      </c>
      <c r="Q46" s="179">
        <f xml:space="preserve"> Q3+Q7+Q13+0.208*Q14+Q16+Q17</f>
        <v>108.1168</v>
      </c>
      <c r="R46" s="179">
        <f xml:space="preserve"> R3+R7+R13+0.208*R14+R16+R17</f>
        <v>118.58</v>
      </c>
      <c r="S46" s="179">
        <f xml:space="preserve"> S3+S7+S13+0.208*S14+S16+S17</f>
        <v>132.46800000000002</v>
      </c>
      <c r="T46" s="179">
        <f xml:space="preserve"> T3+T7+T13+0.208*T14+T16+T17</f>
        <v>155.49039999999997</v>
      </c>
      <c r="U46" s="179">
        <f xml:space="preserve"> U3+U7+U13+0.208*U14+U16+U17</f>
        <v>187.09200000000001</v>
      </c>
      <c r="V46" s="179">
        <f xml:space="preserve"> V3+V7+V13+0.208*V14+V16+V17</f>
        <v>432.14320000000004</v>
      </c>
      <c r="X46" s="279">
        <f>U46/$B46</f>
        <v>9.4032637706659511E-2</v>
      </c>
      <c r="Y46" s="279">
        <f>V46/$B46</f>
        <v>0.21719563082866453</v>
      </c>
    </row>
    <row r="47" spans="1:25" s="43" customFormat="1">
      <c r="B47" s="179"/>
      <c r="C47" s="179"/>
      <c r="D47" s="179"/>
      <c r="E47" s="179"/>
      <c r="F47" s="179"/>
      <c r="G47" s="179"/>
      <c r="H47" s="179"/>
      <c r="I47" s="179"/>
      <c r="J47" s="179"/>
      <c r="K47" s="179"/>
      <c r="L47" s="179"/>
      <c r="M47" s="179"/>
      <c r="N47" s="179"/>
      <c r="O47" s="179"/>
      <c r="P47" s="179"/>
      <c r="Q47" s="179"/>
      <c r="R47" s="179"/>
      <c r="S47" s="179"/>
      <c r="T47" s="179"/>
      <c r="U47" s="179"/>
      <c r="V47" s="179"/>
      <c r="X47" s="279"/>
      <c r="Y47" s="279"/>
    </row>
    <row r="48" spans="1:25" s="85" customFormat="1">
      <c r="A48" s="43" t="s">
        <v>372</v>
      </c>
      <c r="B48" s="203"/>
      <c r="C48" s="203"/>
      <c r="D48" s="203"/>
      <c r="E48" s="203"/>
      <c r="F48" s="203"/>
      <c r="G48" s="203"/>
      <c r="H48" s="203"/>
      <c r="I48" s="203"/>
      <c r="J48" s="203"/>
      <c r="K48" s="203"/>
      <c r="L48" s="203"/>
      <c r="M48" s="203"/>
      <c r="N48" s="203"/>
      <c r="O48" s="203"/>
      <c r="P48" s="203"/>
      <c r="Q48" s="203"/>
      <c r="R48" s="203"/>
      <c r="S48" s="203"/>
      <c r="T48" s="203"/>
    </row>
    <row r="49" spans="1:22" s="85" customFormat="1">
      <c r="A49" s="43" t="s">
        <v>380</v>
      </c>
      <c r="B49" s="203"/>
      <c r="C49" s="203"/>
      <c r="D49" s="203"/>
      <c r="E49" s="203"/>
      <c r="F49" s="203"/>
      <c r="G49" s="203"/>
      <c r="H49" s="203"/>
      <c r="I49" s="203"/>
      <c r="J49" s="203"/>
      <c r="K49" s="203"/>
      <c r="L49" s="203"/>
      <c r="M49" s="203"/>
      <c r="N49" s="203"/>
      <c r="O49" s="203"/>
      <c r="P49" s="203"/>
      <c r="Q49" s="203"/>
      <c r="R49" s="203"/>
      <c r="S49" s="203"/>
      <c r="T49" s="203"/>
      <c r="U49" s="214"/>
      <c r="V49" s="214"/>
    </row>
    <row r="50" spans="1:22" s="85" customFormat="1">
      <c r="A50" s="43" t="s">
        <v>378</v>
      </c>
      <c r="B50" s="203"/>
      <c r="C50" s="203"/>
      <c r="D50" s="203"/>
      <c r="E50" s="203"/>
      <c r="F50" s="203"/>
      <c r="G50" s="203"/>
      <c r="H50" s="203"/>
      <c r="I50" s="203"/>
      <c r="J50" s="203"/>
      <c r="K50" s="203"/>
      <c r="L50" s="203"/>
      <c r="M50" s="203"/>
      <c r="N50" s="203"/>
      <c r="O50" s="203"/>
      <c r="P50" s="203"/>
      <c r="Q50" s="203"/>
      <c r="R50" s="203"/>
      <c r="S50" s="203"/>
      <c r="T50" s="203"/>
      <c r="U50" s="203"/>
      <c r="V50" s="203"/>
    </row>
    <row r="51" spans="1:22" s="85" customFormat="1">
      <c r="A51" s="43" t="s">
        <v>463</v>
      </c>
      <c r="B51" s="190"/>
      <c r="C51" s="190"/>
      <c r="D51" s="190"/>
      <c r="E51" s="190"/>
      <c r="F51" s="190"/>
      <c r="G51" s="190"/>
      <c r="H51" s="190"/>
      <c r="I51" s="190"/>
      <c r="J51" s="190"/>
      <c r="K51" s="190"/>
      <c r="L51" s="190"/>
      <c r="M51" s="190"/>
      <c r="N51" s="190"/>
      <c r="O51" s="190"/>
      <c r="P51" s="190"/>
      <c r="Q51" s="190"/>
      <c r="R51" s="190"/>
      <c r="S51" s="190"/>
      <c r="T51" s="190"/>
      <c r="U51" s="227"/>
      <c r="V51" s="190"/>
    </row>
    <row r="52" spans="1:22" s="85" customFormat="1">
      <c r="A52" s="85" t="s">
        <v>464</v>
      </c>
      <c r="B52" s="190"/>
      <c r="C52" s="190"/>
      <c r="D52" s="190"/>
      <c r="E52" s="190"/>
      <c r="F52" s="190"/>
      <c r="G52" s="190"/>
      <c r="H52" s="190"/>
      <c r="I52" s="190"/>
      <c r="J52" s="190"/>
      <c r="K52" s="190"/>
      <c r="L52" s="190"/>
      <c r="M52" s="190"/>
      <c r="N52" s="190"/>
      <c r="O52" s="190"/>
      <c r="P52" s="190"/>
      <c r="Q52" s="190"/>
      <c r="R52" s="190"/>
      <c r="S52" s="190"/>
      <c r="T52" s="190"/>
      <c r="U52" s="190"/>
      <c r="V52" s="190"/>
    </row>
    <row r="53" spans="1:22" s="85" customFormat="1">
      <c r="A53" s="85" t="s">
        <v>465</v>
      </c>
      <c r="B53" s="190"/>
      <c r="C53" s="190"/>
      <c r="D53" s="190"/>
      <c r="E53" s="190"/>
      <c r="F53" s="190"/>
      <c r="G53" s="190"/>
      <c r="H53" s="190"/>
      <c r="I53" s="190"/>
      <c r="J53" s="190"/>
      <c r="K53" s="190"/>
      <c r="L53" s="190"/>
      <c r="M53" s="190"/>
      <c r="N53" s="190"/>
      <c r="O53" s="190"/>
      <c r="P53" s="190"/>
      <c r="Q53" s="190"/>
      <c r="R53" s="190"/>
      <c r="S53" s="190"/>
      <c r="T53" s="190"/>
      <c r="U53" s="190"/>
      <c r="V53" s="190"/>
    </row>
    <row r="54" spans="1:22" s="85" customFormat="1">
      <c r="A54" s="85" t="s">
        <v>379</v>
      </c>
      <c r="B54" s="203"/>
      <c r="C54" s="203"/>
      <c r="D54" s="203"/>
      <c r="E54" s="203"/>
      <c r="F54" s="203"/>
      <c r="G54" s="203"/>
      <c r="H54" s="203"/>
      <c r="I54" s="203"/>
      <c r="J54" s="203"/>
      <c r="K54" s="279"/>
      <c r="L54" s="279"/>
      <c r="M54" s="279"/>
      <c r="N54" s="203"/>
      <c r="O54" s="203"/>
      <c r="P54" s="203"/>
      <c r="Q54" s="203"/>
      <c r="R54" s="203"/>
      <c r="S54" s="203"/>
      <c r="T54" s="203"/>
      <c r="U54" s="203"/>
      <c r="V54" s="203"/>
    </row>
    <row r="55" spans="1:22" s="85" customFormat="1">
      <c r="A55" s="85" t="s">
        <v>466</v>
      </c>
      <c r="B55" s="203"/>
      <c r="C55" s="203"/>
      <c r="D55" s="203"/>
      <c r="E55" s="203"/>
      <c r="F55" s="203"/>
      <c r="G55" s="203"/>
      <c r="H55" s="203"/>
      <c r="I55" s="203"/>
      <c r="J55" s="203"/>
      <c r="K55" s="279"/>
      <c r="L55" s="279"/>
      <c r="M55" s="279"/>
      <c r="N55" s="203"/>
      <c r="O55" s="203"/>
      <c r="P55" s="203"/>
      <c r="Q55" s="203"/>
      <c r="R55" s="203"/>
      <c r="S55" s="203"/>
      <c r="T55" s="203"/>
      <c r="U55" s="203"/>
      <c r="V55" s="203"/>
    </row>
    <row r="56" spans="1:22" s="85" customFormat="1">
      <c r="A56" s="55"/>
      <c r="B56" s="203"/>
      <c r="C56" s="247"/>
      <c r="D56" s="247"/>
      <c r="E56" s="247"/>
      <c r="F56" s="247"/>
      <c r="G56" s="247"/>
      <c r="H56" s="247"/>
      <c r="I56" s="247"/>
      <c r="J56" s="247"/>
      <c r="K56" s="247"/>
      <c r="L56" s="247"/>
      <c r="M56" s="247"/>
      <c r="N56" s="247"/>
      <c r="O56" s="247"/>
      <c r="P56" s="247"/>
      <c r="Q56" s="247"/>
      <c r="R56" s="247"/>
      <c r="S56" s="247"/>
      <c r="T56" s="247"/>
      <c r="U56" s="247"/>
      <c r="V56" s="247"/>
    </row>
    <row r="57" spans="1:22" s="85" customFormat="1">
      <c r="A57" s="193" t="s">
        <v>351</v>
      </c>
      <c r="B57" s="188" t="s">
        <v>51</v>
      </c>
      <c r="C57" s="188" t="s">
        <v>300</v>
      </c>
      <c r="D57" s="188" t="s">
        <v>301</v>
      </c>
      <c r="E57" s="188" t="s">
        <v>302</v>
      </c>
      <c r="F57" s="188" t="s">
        <v>303</v>
      </c>
      <c r="G57" s="188" t="s">
        <v>304</v>
      </c>
      <c r="H57" s="188" t="s">
        <v>305</v>
      </c>
      <c r="I57" s="188" t="s">
        <v>306</v>
      </c>
      <c r="J57" s="188" t="s">
        <v>307</v>
      </c>
      <c r="K57" s="188" t="s">
        <v>308</v>
      </c>
      <c r="L57" s="188" t="s">
        <v>309</v>
      </c>
      <c r="M57" s="188" t="s">
        <v>310</v>
      </c>
      <c r="N57" s="188" t="s">
        <v>311</v>
      </c>
      <c r="O57" s="188" t="s">
        <v>312</v>
      </c>
      <c r="P57" s="188" t="s">
        <v>313</v>
      </c>
      <c r="Q57" s="188" t="s">
        <v>314</v>
      </c>
      <c r="R57" s="188" t="s">
        <v>315</v>
      </c>
      <c r="S57" s="188" t="s">
        <v>316</v>
      </c>
      <c r="T57" s="188" t="s">
        <v>317</v>
      </c>
      <c r="U57" s="188" t="s">
        <v>318</v>
      </c>
      <c r="V57" s="188" t="s">
        <v>319</v>
      </c>
    </row>
    <row r="58" spans="1:22" s="85" customFormat="1">
      <c r="A58" s="85" t="s">
        <v>454</v>
      </c>
      <c r="B58" s="198">
        <f>-B9/B41</f>
        <v>0.55715183622160369</v>
      </c>
      <c r="C58" s="198">
        <f>-C9/C41</f>
        <v>1.079136690647482</v>
      </c>
      <c r="D58" s="198">
        <f>-D9/D41</f>
        <v>0.82417582417582425</v>
      </c>
      <c r="E58" s="198">
        <f>-E9/E41</f>
        <v>0.72796934865900376</v>
      </c>
      <c r="F58" s="198">
        <f>-F9/F41</f>
        <v>0.66172106824925814</v>
      </c>
      <c r="G58" s="198">
        <f>-G9/G41</f>
        <v>0.63033175355450233</v>
      </c>
      <c r="H58" s="198">
        <f>-H9/H41</f>
        <v>0.61995753715498936</v>
      </c>
      <c r="I58" s="198">
        <f>-I9/I41</f>
        <v>0.59440559440559437</v>
      </c>
      <c r="J58" s="198">
        <f>-J9/J41</f>
        <v>0.57680722891566261</v>
      </c>
      <c r="K58" s="198">
        <f>-K9/K41</f>
        <v>0.57379310344827583</v>
      </c>
      <c r="L58" s="198">
        <f>-L9/L41</f>
        <v>0.5666251556662516</v>
      </c>
      <c r="M58" s="198">
        <f>-M9/M41</f>
        <v>0.56959064327485387</v>
      </c>
      <c r="N58" s="198">
        <f>-N9/N41</f>
        <v>0.56079664570230603</v>
      </c>
      <c r="O58" s="198">
        <f>-O9/O41</f>
        <v>0.56393129770992367</v>
      </c>
      <c r="P58" s="198">
        <f>-P9/P41</f>
        <v>0.56007067137809186</v>
      </c>
      <c r="Q58" s="198">
        <f>-Q9/Q41</f>
        <v>0.5585874799357945</v>
      </c>
      <c r="R58" s="198">
        <f>-R9/R41</f>
        <v>0.54335664335664335</v>
      </c>
      <c r="S58" s="198">
        <f>-S9/S41</f>
        <v>0.54678548695098672</v>
      </c>
      <c r="T58" s="198">
        <f>-T9/T41</f>
        <v>0.5472901168969182</v>
      </c>
      <c r="U58" s="198">
        <f>-U9/U41</f>
        <v>0.52886734244160427</v>
      </c>
      <c r="V58" s="198">
        <f>-V9/V41</f>
        <v>0.51581325301204817</v>
      </c>
    </row>
    <row r="59" spans="1:22">
      <c r="A59" t="s">
        <v>364</v>
      </c>
      <c r="B59" s="198">
        <f>-B9/B42</f>
        <v>0.55715183622160369</v>
      </c>
      <c r="C59" s="198">
        <f>-C9/C42</f>
        <v>1.0221334291101731</v>
      </c>
      <c r="D59" s="198">
        <f>-D9/D42</f>
        <v>0.63094656117911918</v>
      </c>
      <c r="E59" s="198">
        <f>-E9/E42</f>
        <v>0.59208948637479542</v>
      </c>
      <c r="F59" s="198">
        <f>-F9/F42</f>
        <v>0.55866606542051123</v>
      </c>
      <c r="G59" s="198">
        <f>-G9/G42</f>
        <v>0.53839107355110105</v>
      </c>
      <c r="H59" s="198">
        <f>-H9/H42</f>
        <v>0.51637190536361688</v>
      </c>
      <c r="I59" s="198">
        <f>-I9/I42</f>
        <v>0.53630457700225131</v>
      </c>
      <c r="J59" s="198">
        <f>-J9/J42</f>
        <v>0.54071423114529871</v>
      </c>
      <c r="K59" s="198">
        <f>-K9/K42</f>
        <v>0.53418028456009048</v>
      </c>
      <c r="L59" s="198">
        <f>-L9/L42</f>
        <v>0.54714201205309276</v>
      </c>
      <c r="M59" s="198">
        <f>-M9/M42</f>
        <v>0.54581028506212115</v>
      </c>
      <c r="N59" s="198">
        <f>-N9/N42</f>
        <v>0.55348318276714836</v>
      </c>
      <c r="O59" s="198">
        <f>-O9/O42</f>
        <v>0.56245889814163164</v>
      </c>
      <c r="P59" s="198">
        <f>-P9/P42</f>
        <v>0.56106718100073572</v>
      </c>
      <c r="Q59" s="198">
        <f>-Q9/Q42</f>
        <v>0.56776126628944978</v>
      </c>
      <c r="R59" s="198">
        <f>-R9/R42</f>
        <v>0.56972573487704781</v>
      </c>
      <c r="S59" s="198">
        <f>-S9/S42</f>
        <v>0.56536549620453236</v>
      </c>
      <c r="T59" s="198">
        <f>-T9/T42</f>
        <v>0.57404440129960654</v>
      </c>
      <c r="U59" s="198">
        <f>-U9/U42</f>
        <v>0.55300275695771306</v>
      </c>
      <c r="V59" s="198">
        <f>-V9/V42</f>
        <v>0.53121364870104681</v>
      </c>
    </row>
    <row r="60" spans="1:22" s="85" customFormat="1">
      <c r="A60" s="85" t="s">
        <v>365</v>
      </c>
      <c r="B60" s="198">
        <f>-B9/B43</f>
        <v>0.55715183622160369</v>
      </c>
      <c r="C60" s="198">
        <f>-C9/C43</f>
        <v>0.86469898119914324</v>
      </c>
      <c r="D60" s="198">
        <f>-D9/D43</f>
        <v>0.5479479785871616</v>
      </c>
      <c r="E60" s="198">
        <f>-E9/E43</f>
        <v>0.54227152638987963</v>
      </c>
      <c r="F60" s="198">
        <f>-F9/F43</f>
        <v>0.5143486717313086</v>
      </c>
      <c r="G60" s="198">
        <f>-G9/G43</f>
        <v>0.5078173368001947</v>
      </c>
      <c r="H60" s="198">
        <f>-H9/H43</f>
        <v>0.50032716902298202</v>
      </c>
      <c r="I60" s="198">
        <f>-I9/I43</f>
        <v>0.5178099115928031</v>
      </c>
      <c r="J60" s="198">
        <f>-J9/J43</f>
        <v>0.52701928304310885</v>
      </c>
      <c r="K60" s="198">
        <f>-K9/K43</f>
        <v>0.52686644732336252</v>
      </c>
      <c r="L60" s="198">
        <f>-L9/L43</f>
        <v>0.54023079503445492</v>
      </c>
      <c r="M60" s="198">
        <f>-M9/M43</f>
        <v>0.54429812380300568</v>
      </c>
      <c r="N60" s="198">
        <f>-N9/N43</f>
        <v>0.55229650346454262</v>
      </c>
      <c r="O60" s="198">
        <f>-O9/O43</f>
        <v>0.56538146976103754</v>
      </c>
      <c r="P60" s="198">
        <f>-P9/P43</f>
        <v>0.56364685258797087</v>
      </c>
      <c r="Q60" s="198">
        <f>-Q9/Q43</f>
        <v>0.57193989771918874</v>
      </c>
      <c r="R60" s="198">
        <f>-R9/R43</f>
        <v>0.5772660917045761</v>
      </c>
      <c r="S60" s="198">
        <f>-S9/S43</f>
        <v>0.57256909094883546</v>
      </c>
      <c r="T60" s="198">
        <f>-T9/T43</f>
        <v>0.58321743829177308</v>
      </c>
      <c r="U60" s="198">
        <f>-U9/U43</f>
        <v>0.56402696691561294</v>
      </c>
      <c r="V60" s="198">
        <f>-V9/V43</f>
        <v>0.55591860855173802</v>
      </c>
    </row>
    <row r="61" spans="1:22">
      <c r="A61" s="85" t="s">
        <v>366</v>
      </c>
      <c r="B61" s="198">
        <f>- (B9 - B10*(B18+B19)/B29)/B43</f>
        <v>0.54714600537027192</v>
      </c>
      <c r="C61" s="198">
        <f>- (C9 - C10*(C18+C19)/C29)/C43</f>
        <v>0.66776343326429732</v>
      </c>
      <c r="D61" s="198">
        <f>- (D9 - D10*(D18+D19)/D29)/D43</f>
        <v>0.4602538910529464</v>
      </c>
      <c r="E61" s="198">
        <f>- (E9 - E10*(E18+E19)/E29)/E43</f>
        <v>0.47679863341550621</v>
      </c>
      <c r="F61" s="198">
        <f>- (F9 - F10*(F18+F19)/F29)/F43</f>
        <v>0.46761478762011977</v>
      </c>
      <c r="G61" s="198">
        <f>- (G9 - G10*(G18+G19)/G29)/G43</f>
        <v>0.47580932554602284</v>
      </c>
      <c r="H61" s="198">
        <f>- (H9 - H10*(H18+H19)/H29)/H43</f>
        <v>0.47440444398091297</v>
      </c>
      <c r="I61" s="198">
        <f>- (I9 - I10*(I18+I19)/I29)/I43</f>
        <v>0.49570826902481757</v>
      </c>
      <c r="J61" s="198">
        <f>- (J9 - J10*(J18+J19)/J29)/J43</f>
        <v>0.5093391150517802</v>
      </c>
      <c r="K61" s="198">
        <f>- (K9 - K10*(K18+K19)/K29)/K43</f>
        <v>0.51240586074321182</v>
      </c>
      <c r="L61" s="198">
        <f>- (L9 - L10*(L18+L19)/L29)/L43</f>
        <v>0.52797481281874792</v>
      </c>
      <c r="M61" s="198">
        <f>- (M9 - M10*(M18+M19)/M29)/M43</f>
        <v>0.53301171594619445</v>
      </c>
      <c r="N61" s="198">
        <f>- (N9 - N10*(N18+N19)/N29)/N43</f>
        <v>0.54242642234495742</v>
      </c>
      <c r="O61" s="198">
        <f>- (O9 - O10*(O18+O19)/O29)/O43</f>
        <v>0.55628343650564727</v>
      </c>
      <c r="P61" s="198">
        <f>- (P9 - P10*(P18+P19)/P29)/P43</f>
        <v>0.55543554023565311</v>
      </c>
      <c r="Q61" s="198">
        <f>- (Q9 - Q10*(Q18+Q19)/Q29)/Q43</f>
        <v>0.56499157466437822</v>
      </c>
      <c r="R61" s="198">
        <f>- (R9 - R10*(R18+R19)/R29)/R43</f>
        <v>0.57144129646317965</v>
      </c>
      <c r="S61" s="198">
        <f>- (S9 - S10*(S18+S19)/S29)/S43</f>
        <v>0.56774521182640292</v>
      </c>
      <c r="T61" s="198">
        <f>- (T9 - T10*(T18+T19)/T29)/T43</f>
        <v>0.57940656117196609</v>
      </c>
      <c r="U61" s="198">
        <f>- (U9 - U10*(U18+U19)/U29)/U43</f>
        <v>0.56128093145072233</v>
      </c>
      <c r="V61" s="198">
        <f>- (V9 - V10*(V18+V19)/V29)/V43</f>
        <v>0.55477047273282287</v>
      </c>
    </row>
    <row r="62" spans="1:22" s="85" customFormat="1" ht="15.6">
      <c r="A62" s="85" t="s">
        <v>455</v>
      </c>
      <c r="B62" s="248">
        <f>- (B9 - B10*(B18+B19+(B16+B17)*($B$44)/($B$16+$B$17))/B29)/B43</f>
        <v>0.53923647050582935</v>
      </c>
      <c r="C62" s="248">
        <f>- (C9 - C10*(C18+C19+(C16+C17)*($B$44)/($B$16+$B$17))/C29)/C43</f>
        <v>0.6429227136692911</v>
      </c>
      <c r="D62" s="248">
        <f>- (D9 - D10*(D18+D19+(D16+D17)*($B$44)/($B$16+$B$17))/D29)/D43</f>
        <v>0.4329793463004209</v>
      </c>
      <c r="E62" s="248">
        <f>- (E9 - E10*(E18+E19+(E16+E17)*($B$44)/($B$16+$B$17))/E29)/E43</f>
        <v>0.45517455124000017</v>
      </c>
      <c r="F62" s="248">
        <f>- (F9 - F10*(F18+F19+(F16+F17)*($B$44)/($B$16+$B$17))/F29)/F43</f>
        <v>0.44875082495489865</v>
      </c>
      <c r="G62" s="248">
        <f>- (G9 - G10*(G18+G19+(G16+G17)*($B$44)/($B$16+$B$17))/G29)/G43</f>
        <v>0.45899786657145697</v>
      </c>
      <c r="H62" s="248">
        <f>- (H9 - H10*(H18+H19+(H16+H17)*($B$44)/($B$16+$B$17))/H29)/H43</f>
        <v>0.45784164234210084</v>
      </c>
      <c r="I62" s="248">
        <f>- (I9 - I10*(I18+I19+(I16+I17)*($B$44)/($B$16+$B$17))/I29)/I43</f>
        <v>0.4817229463309553</v>
      </c>
      <c r="J62" s="248">
        <f>- (J9 - J10*(J18+J19+(J16+J17)*($B$44)/($B$16+$B$17))/J29)/J43</f>
        <v>0.49684847170704438</v>
      </c>
      <c r="K62" s="248">
        <f>- (K9 - K10*(K18+K19+(K16+K17)*($B$44)/($B$16+$B$17))/K29)/K43</f>
        <v>0.50024582902441916</v>
      </c>
      <c r="L62" s="248">
        <f>- (L9 - L10*(L18+L19+(L16+L17)*($B$44)/($B$16+$B$17))/L29)/L43</f>
        <v>0.51677854217549524</v>
      </c>
      <c r="M62" s="248">
        <f>- (M9 - M10*(M18+M19+(M16+M17)*($B$44)/($B$16+$B$17))/M29)/M43</f>
        <v>0.52193076437870045</v>
      </c>
      <c r="N62" s="248">
        <f>- (N9 - N10*(N18+N19+(N16+N17)*($B$44)/($B$16+$B$17))/N29)/N43</f>
        <v>0.53242669262003561</v>
      </c>
      <c r="O62" s="248">
        <f>- (O9 - O10*(O18+O19+(O16+O17)*($B$44)/($B$16+$B$17))/O29)/O43</f>
        <v>0.54682751122069928</v>
      </c>
      <c r="P62" s="248">
        <f>- (P9 - P10*(P18+P19+(P16+P17)*($B$44)/($B$16+$B$17))/P29)/P43</f>
        <v>0.54654263204912101</v>
      </c>
      <c r="Q62" s="248">
        <f>- (Q9 - Q10*(Q18+Q19+(Q16+Q17)*($B$44)/($B$16+$B$17))/Q29)/Q43</f>
        <v>0.55668482870280367</v>
      </c>
      <c r="R62" s="248">
        <f>- (R9 - R10*(R18+R19+(R16+R17)*($B$44)/($B$16+$B$17))/R29)/R43</f>
        <v>0.56467109608458332</v>
      </c>
      <c r="S62" s="248">
        <f>- (S9 - S10*(S18+S19+(S16+S17)*($B$44)/($B$16+$B$17))/S29)/S43</f>
        <v>0.56086374861224897</v>
      </c>
      <c r="T62" s="248">
        <f>- (T9 - T10*(T18+T19+(T16+T17)*($B$44)/($B$16+$B$17))/T29)/T43</f>
        <v>0.57359892267846824</v>
      </c>
      <c r="U62" s="248">
        <f>- (U9 - U10*(U18+U19+(U16+U17)*($B$44)/($B$16+$B$17))/U29)/U43</f>
        <v>0.55673402679610196</v>
      </c>
      <c r="V62" s="248">
        <f>- (V9 - V10*(V18+V19+(V16+V17)*($B$44)/($B$16+$B$17))/V29)/V43</f>
        <v>0.55265648642746834</v>
      </c>
    </row>
    <row r="63" spans="1:22" s="85" customFormat="1"/>
    <row r="64" spans="1:22">
      <c r="A64" s="193"/>
      <c r="B64" s="188" t="s">
        <v>51</v>
      </c>
      <c r="C64" s="252" t="s">
        <v>352</v>
      </c>
      <c r="D64" s="252"/>
      <c r="E64" s="252" t="s">
        <v>353</v>
      </c>
      <c r="F64" s="252"/>
      <c r="G64" s="252" t="s">
        <v>354</v>
      </c>
      <c r="H64" s="252"/>
      <c r="I64" s="252" t="s">
        <v>355</v>
      </c>
      <c r="J64" s="252"/>
      <c r="K64" s="252" t="s">
        <v>356</v>
      </c>
      <c r="L64" s="252"/>
      <c r="M64" s="252" t="s">
        <v>357</v>
      </c>
      <c r="N64" s="252"/>
      <c r="O64" s="252" t="s">
        <v>358</v>
      </c>
      <c r="P64" s="252"/>
      <c r="Q64" s="252" t="s">
        <v>359</v>
      </c>
      <c r="R64" s="252"/>
      <c r="S64" s="252" t="s">
        <v>360</v>
      </c>
      <c r="T64" s="252"/>
      <c r="U64" s="252" t="s">
        <v>361</v>
      </c>
      <c r="V64" s="252"/>
    </row>
    <row r="65" spans="1:22" s="85" customFormat="1">
      <c r="A65" s="85" t="s">
        <v>454</v>
      </c>
      <c r="B65" s="204">
        <f>B58</f>
        <v>0.55715183622160369</v>
      </c>
      <c r="C65" s="275">
        <f>SUMPRODUCT(C58:D58,C$42:D$42)/SUM(C$42:D$42)</f>
        <v>0.92148913198943405</v>
      </c>
      <c r="D65" s="275"/>
      <c r="E65" s="275">
        <f>SUMPRODUCT(E58:F58,E$42:F$42)/SUM(E$42:F$42)</f>
        <v>0.69124475843186206</v>
      </c>
      <c r="F65" s="275"/>
      <c r="G65" s="275">
        <f>SUMPRODUCT(G58:H58,G$42:H$42)/SUM(G$42:H$42)</f>
        <v>0.62479500648255548</v>
      </c>
      <c r="H65" s="275"/>
      <c r="I65" s="275">
        <f>SUMPRODUCT(I58:J58,I$42:J$42)/SUM(I$42:J$42)</f>
        <v>0.58511899337446416</v>
      </c>
      <c r="J65" s="275"/>
      <c r="K65" s="275">
        <f>SUMPRODUCT(K58:L58,K$42:L$42)/SUM(K$42:L$42)</f>
        <v>0.57009155082693885</v>
      </c>
      <c r="L65" s="275"/>
      <c r="M65" s="275">
        <f>SUMPRODUCT(M58:N58,M$42:N$42)/SUM(M$42:N$42)</f>
        <v>0.56501776453712904</v>
      </c>
      <c r="N65" s="275"/>
      <c r="O65" s="275">
        <f>SUMPRODUCT(O58:P58,O$42:P$42)/SUM(O$42:P$42)</f>
        <v>0.56193083857431769</v>
      </c>
      <c r="P65" s="275"/>
      <c r="Q65" s="275">
        <f>SUMPRODUCT(Q58:R58,Q$42:R$42)/SUM(Q$42:R$42)</f>
        <v>0.55056640468406171</v>
      </c>
      <c r="R65" s="275"/>
      <c r="S65" s="275">
        <f>SUMPRODUCT(S58:T58,S$42:T$42)/SUM(S$42:T$42)</f>
        <v>0.54705873505279901</v>
      </c>
      <c r="T65" s="275"/>
      <c r="U65" s="275">
        <f>SUMPRODUCT(U58:V58,U$42:V$42)/SUM(U$42:V$42)</f>
        <v>0.51967885187956442</v>
      </c>
      <c r="V65" s="275"/>
    </row>
    <row r="66" spans="1:22">
      <c r="A66" s="85" t="s">
        <v>362</v>
      </c>
      <c r="B66" s="204">
        <f>B59</f>
        <v>0.55715183622160369</v>
      </c>
      <c r="C66" s="275">
        <f>SUMPRODUCT(C59:D59,C$42:D$42)/SUM(C$42:D$42)</f>
        <v>0.78025452603830003</v>
      </c>
      <c r="D66" s="275"/>
      <c r="E66" s="275">
        <f>SUMPRODUCT(E59:F59,E$42:F$42)/SUM(E$42:F$42)</f>
        <v>0.5735612856283987</v>
      </c>
      <c r="F66" s="275"/>
      <c r="G66" s="275">
        <f>SUMPRODUCT(G59:H59,G$42:H$42)/SUM(G$42:H$42)</f>
        <v>0.52663938452767922</v>
      </c>
      <c r="H66" s="275"/>
      <c r="I66" s="275">
        <f>SUMPRODUCT(I59:J59,I$42:J$42)/SUM(I$42:J$42)</f>
        <v>0.53863153735178948</v>
      </c>
      <c r="J66" s="275"/>
      <c r="K66" s="275">
        <f>SUMPRODUCT(K59:L59,K$42:L$42)/SUM(K$42:L$42)</f>
        <v>0.54087376473569915</v>
      </c>
      <c r="L66" s="275"/>
      <c r="M66" s="275">
        <f>SUMPRODUCT(M59:N59,M$42:N$42)/SUM(M$42:N$42)</f>
        <v>0.5498001918687353</v>
      </c>
      <c r="N66" s="275"/>
      <c r="O66" s="275">
        <f>SUMPRODUCT(O59:P59,O$42:P$42)/SUM(O$42:P$42)</f>
        <v>0.56173775265139614</v>
      </c>
      <c r="P66" s="275"/>
      <c r="Q66" s="275">
        <f>SUMPRODUCT(Q59:R59,Q$42:R$42)/SUM(Q$42:R$42)</f>
        <v>0.56879582209266544</v>
      </c>
      <c r="R66" s="275"/>
      <c r="S66" s="275">
        <f>SUMPRODUCT(S59:T59,S$42:T$42)/SUM(S$42:T$42)</f>
        <v>0.57006496828730946</v>
      </c>
      <c r="T66" s="275"/>
      <c r="U66" s="275">
        <f>SUMPRODUCT(U59:V59,U$42:V$42)/SUM(U$42:V$42)</f>
        <v>0.53766587600159332</v>
      </c>
      <c r="V66" s="275"/>
    </row>
    <row r="67" spans="1:22" s="85" customFormat="1">
      <c r="A67" s="85" t="s">
        <v>363</v>
      </c>
      <c r="B67" s="204">
        <f>B60</f>
        <v>0.55715183622160369</v>
      </c>
      <c r="C67" s="275">
        <f>SUMPRODUCT(C60:D60,C$42:D$42)/SUM(C$42:D$42)</f>
        <v>0.66884530782837592</v>
      </c>
      <c r="D67" s="275"/>
      <c r="E67" s="275">
        <f>SUMPRODUCT(E60:F60,E$42:F$42)/SUM(E$42:F$42)</f>
        <v>0.52679255261175861</v>
      </c>
      <c r="F67" s="275"/>
      <c r="G67" s="275">
        <f>SUMPRODUCT(G60:H60,G$42:H$42)/SUM(G$42:H$42)</f>
        <v>0.50381981420072197</v>
      </c>
      <c r="H67" s="275"/>
      <c r="I67" s="275">
        <f>SUMPRODUCT(I60:J60,I$42:J$42)/SUM(I$42:J$42)</f>
        <v>0.52266966737270204</v>
      </c>
      <c r="J67" s="275"/>
      <c r="K67" s="275">
        <f>SUMPRODUCT(K60:L60,K$42:L$42)/SUM(K$42:L$42)</f>
        <v>0.5337678419493822</v>
      </c>
      <c r="L67" s="275"/>
      <c r="M67" s="275">
        <f>SUMPRODUCT(M60:N60,M$42:N$42)/SUM(M$42:N$42)</f>
        <v>0.54845728122700499</v>
      </c>
      <c r="N67" s="275"/>
      <c r="O67" s="275">
        <f>SUMPRODUCT(O60:P60,O$42:P$42)/SUM(O$42:P$42)</f>
        <v>0.56448264390419944</v>
      </c>
      <c r="P67" s="275"/>
      <c r="Q67" s="275">
        <f>SUMPRODUCT(Q60:R60,Q$42:R$42)/SUM(Q$42:R$42)</f>
        <v>0.57474485216408111</v>
      </c>
      <c r="R67" s="275"/>
      <c r="S67" s="275">
        <f>SUMPRODUCT(S60:T60,S$42:T$42)/SUM(S$42:T$42)</f>
        <v>0.5783349808298357</v>
      </c>
      <c r="T67" s="275"/>
      <c r="U67" s="275">
        <f>SUMPRODUCT(U60:V60,U$42:V$42)/SUM(U$42:V$42)</f>
        <v>0.55831966923681686</v>
      </c>
      <c r="V67" s="275"/>
    </row>
    <row r="68" spans="1:22">
      <c r="A68" s="85" t="s">
        <v>366</v>
      </c>
      <c r="B68" s="218">
        <f>B61</f>
        <v>0.54714600537027192</v>
      </c>
      <c r="C68" s="274">
        <f>SUMPRODUCT(C61:D61,C$42:D$42)/SUM(C$42:D$42)</f>
        <v>0.53945600640079028</v>
      </c>
      <c r="D68" s="274"/>
      <c r="E68" s="274">
        <f>SUMPRODUCT(E61:F61,E$42:F$42)/SUM(E$42:F$42)</f>
        <v>0.47170758846371585</v>
      </c>
      <c r="F68" s="274"/>
      <c r="G68" s="274">
        <f>SUMPRODUCT(G61:H61,G$42:H$42)/SUM(G$42:H$42)</f>
        <v>0.4750595364928063</v>
      </c>
      <c r="H68" s="274"/>
      <c r="I68" s="274">
        <f>SUMPRODUCT(I61:J61,I$42:J$42)/SUM(I$42:J$42)</f>
        <v>0.50290122275916216</v>
      </c>
      <c r="J68" s="274"/>
      <c r="K68" s="274">
        <f>SUMPRODUCT(K61:L61,K$42:L$42)/SUM(K$42:L$42)</f>
        <v>0.52044572056350691</v>
      </c>
      <c r="L68" s="274"/>
      <c r="M68" s="274">
        <f>SUMPRODUCT(M61:N61,M$42:N$42)/SUM(M$42:N$42)</f>
        <v>0.53790736327355126</v>
      </c>
      <c r="N68" s="274"/>
      <c r="O68" s="274">
        <f>SUMPRODUCT(O61:P61,O$42:P$42)/SUM(O$42:P$42)</f>
        <v>0.55584408244918992</v>
      </c>
      <c r="P68" s="274"/>
      <c r="Q68" s="274">
        <f>SUMPRODUCT(Q61:R61,Q$42:R$42)/SUM(Q$42:R$42)</f>
        <v>0.56838821697171826</v>
      </c>
      <c r="R68" s="274"/>
      <c r="S68" s="274">
        <f>SUMPRODUCT(S61:T61,S$42:T$42)/SUM(S$42:T$42)</f>
        <v>0.5740596241971625</v>
      </c>
      <c r="T68" s="274"/>
      <c r="U68" s="274">
        <f>SUMPRODUCT(U61:V61,U$42:V$42)/SUM(U$42:V$42)</f>
        <v>0.55669836069335299</v>
      </c>
      <c r="V68" s="274"/>
    </row>
    <row r="69" spans="1:22">
      <c r="A69" s="85" t="s">
        <v>455</v>
      </c>
      <c r="B69" s="218">
        <f>B62</f>
        <v>0.53923647050582935</v>
      </c>
      <c r="C69" s="274">
        <f>SUMPRODUCT(C62:D62,C$42:D$42)/SUM(C$42:D$42)</f>
        <v>0.51311040254808127</v>
      </c>
      <c r="D69" s="274"/>
      <c r="E69" s="274">
        <f>SUMPRODUCT(E62:F62,E$42:F$42)/SUM(E$42:F$42)</f>
        <v>0.45161357253847645</v>
      </c>
      <c r="F69" s="274"/>
      <c r="G69" s="274">
        <f>SUMPRODUCT(G62:H62,G$42:H$42)/SUM(G$42:H$42)</f>
        <v>0.4583807866041737</v>
      </c>
      <c r="H69" s="274"/>
      <c r="I69" s="274">
        <f>SUMPRODUCT(I62:J62,I$42:J$42)/SUM(I$42:J$42)</f>
        <v>0.48970463756440169</v>
      </c>
      <c r="J69" s="274"/>
      <c r="K69" s="274">
        <f>SUMPRODUCT(K62:L62,K$42:L$42)/SUM(K$42:L$42)</f>
        <v>0.50878337834301868</v>
      </c>
      <c r="L69" s="274"/>
      <c r="M69" s="274">
        <f>SUMPRODUCT(M62:N62,M$42:N$42)/SUM(M$42:N$42)</f>
        <v>0.52738864706419475</v>
      </c>
      <c r="N69" s="274"/>
      <c r="O69" s="274">
        <f>SUMPRODUCT(O62:P62,O$42:P$42)/SUM(O$42:P$42)</f>
        <v>0.54667989549922191</v>
      </c>
      <c r="P69" s="274"/>
      <c r="Q69" s="274">
        <f>SUMPRODUCT(Q62:R62,Q$42:R$42)/SUM(Q$42:R$42)</f>
        <v>0.56089066804175369</v>
      </c>
      <c r="R69" s="274"/>
      <c r="S69" s="274">
        <f>SUMPRODUCT(S62:T62,S$42:T$42)/SUM(S$42:T$42)</f>
        <v>0.567759617888141</v>
      </c>
      <c r="T69" s="274"/>
      <c r="U69" s="274">
        <f>SUMPRODUCT(U62:V62,U$42:V$42)/SUM(U$42:V$42)</f>
        <v>0.55386393452381388</v>
      </c>
      <c r="V69" s="274"/>
    </row>
    <row r="70" spans="1:22">
      <c r="B70" s="202"/>
    </row>
    <row r="71" spans="1:22">
      <c r="A71" t="s">
        <v>367</v>
      </c>
    </row>
    <row r="72" spans="1:22" s="85" customFormat="1">
      <c r="A72" s="85" t="s">
        <v>456</v>
      </c>
      <c r="B72" s="200"/>
      <c r="C72" s="200"/>
      <c r="D72" s="200"/>
      <c r="E72" s="200"/>
      <c r="F72" s="200"/>
      <c r="G72" s="200"/>
      <c r="H72" s="200"/>
      <c r="I72" s="200"/>
      <c r="J72" s="200"/>
      <c r="K72" s="200"/>
      <c r="L72" s="200"/>
      <c r="M72" s="200"/>
      <c r="N72" s="200"/>
      <c r="O72" s="200"/>
      <c r="P72" s="200"/>
      <c r="Q72" s="200"/>
      <c r="R72" s="200"/>
      <c r="S72" s="200"/>
      <c r="T72" s="200"/>
      <c r="U72" s="200"/>
      <c r="V72" s="200"/>
    </row>
    <row r="73" spans="1:22" s="85" customFormat="1">
      <c r="A73" t="s">
        <v>371</v>
      </c>
      <c r="B73" s="200"/>
      <c r="C73" s="200"/>
      <c r="D73" s="200"/>
      <c r="E73" s="200"/>
      <c r="F73" s="200"/>
      <c r="G73" s="200"/>
      <c r="H73" s="200"/>
      <c r="I73" s="200"/>
      <c r="J73" s="200"/>
      <c r="K73" s="200"/>
      <c r="L73" s="200"/>
      <c r="M73" s="200"/>
      <c r="N73" s="200"/>
      <c r="O73" s="200"/>
      <c r="P73" s="200"/>
      <c r="Q73" s="200"/>
      <c r="R73" s="200"/>
      <c r="S73" s="200"/>
      <c r="T73" s="200"/>
      <c r="U73" s="200"/>
      <c r="V73" s="200"/>
    </row>
    <row r="75" spans="1:22">
      <c r="A75" s="193" t="s">
        <v>446</v>
      </c>
      <c r="B75" s="188" t="s">
        <v>51</v>
      </c>
      <c r="C75" s="188" t="s">
        <v>300</v>
      </c>
      <c r="D75" s="188" t="s">
        <v>301</v>
      </c>
      <c r="E75" s="188" t="s">
        <v>302</v>
      </c>
      <c r="F75" s="188" t="s">
        <v>303</v>
      </c>
      <c r="G75" s="188" t="s">
        <v>304</v>
      </c>
      <c r="H75" s="188" t="s">
        <v>305</v>
      </c>
      <c r="I75" s="188" t="s">
        <v>306</v>
      </c>
      <c r="J75" s="188" t="s">
        <v>307</v>
      </c>
      <c r="K75" s="188" t="s">
        <v>308</v>
      </c>
      <c r="L75" s="188" t="s">
        <v>309</v>
      </c>
      <c r="M75" s="188" t="s">
        <v>310</v>
      </c>
      <c r="N75" s="188" t="s">
        <v>311</v>
      </c>
      <c r="O75" s="188" t="s">
        <v>312</v>
      </c>
      <c r="P75" s="188" t="s">
        <v>313</v>
      </c>
      <c r="Q75" s="188" t="s">
        <v>314</v>
      </c>
      <c r="R75" s="188" t="s">
        <v>315</v>
      </c>
      <c r="S75" s="188" t="s">
        <v>316</v>
      </c>
      <c r="T75" s="188" t="s">
        <v>317</v>
      </c>
      <c r="U75" s="188" t="s">
        <v>318</v>
      </c>
      <c r="V75" s="188" t="s">
        <v>319</v>
      </c>
    </row>
    <row r="76" spans="1:22">
      <c r="A76" t="s">
        <v>457</v>
      </c>
      <c r="B76" s="191">
        <f>- (B10 - B10*(B18+B19+(B16+B17)*($B$44)/($B$16+$B$17))/B29)/B43</f>
        <v>0.10918349394122495</v>
      </c>
      <c r="C76" s="198">
        <f>- (C10 - C10*(C18+C19+(C16+C17)*($B$44)/($B$16+$B$17))/C29)/C43</f>
        <v>0.19904390332039767</v>
      </c>
      <c r="D76" s="198">
        <f>- (D10 - D10*(D18+D19+(D16+D17)*($B$44)/($B$16+$B$17))/D29)/D43</f>
        <v>0.21745314138947064</v>
      </c>
      <c r="E76" s="198">
        <f>- (E10 - E10*(E18+E19+(E16+E17)*($B$44)/($B$16+$B$17))/E29)/E43</f>
        <v>0.1868928487102702</v>
      </c>
      <c r="F76" s="198">
        <f>- (F10 - F10*(F18+F19+(F16+F17)*($B$44)/($B$16+$B$17))/F29)/F43</f>
        <v>0.16966477437423344</v>
      </c>
      <c r="G76" s="198">
        <f>- (G10 - G10*(G18+G19+(G16+G17)*($B$44)/($B$16+$B$17))/G29)/G43</f>
        <v>0.15736200486307073</v>
      </c>
      <c r="H76" s="198">
        <f>- (H10 - H10*(H18+H19+(H16+H17)*($B$44)/($B$16+$B$17))/H29)/H43</f>
        <v>0.15284768314315975</v>
      </c>
      <c r="I76" s="198">
        <f>- (I10 - I10*(I18+I19+(I16+I17)*($B$44)/($B$16+$B$17))/I29)/I43</f>
        <v>0.14514650379563324</v>
      </c>
      <c r="J76" s="198">
        <f>- (J10 - J10*(J18+J19+(J16+J17)*($B$44)/($B$16+$B$17))/J29)/J43</f>
        <v>0.14045684165961564</v>
      </c>
      <c r="K76" s="198">
        <f>- (K10 - K10*(K18+K19+(K16+K17)*($B$44)/($B$16+$B$17))/K29)/K43</f>
        <v>0.13675864060661858</v>
      </c>
      <c r="L76" s="198">
        <f>- (L10 - L10*(L18+L19+(L16+L17)*($B$44)/($B$16+$B$17))/L29)/L43</f>
        <v>0.13446136415111165</v>
      </c>
      <c r="M76" s="198">
        <f>- (M10 - M10*(M18+M19+(M16+M17)*($B$44)/($B$16+$B$17))/M29)/M43</f>
        <v>0.13298672519297969</v>
      </c>
      <c r="N76" s="198">
        <f>- (N10 - N10*(N18+N19+(N16+N17)*($B$44)/($B$16+$B$17))/N29)/N43</f>
        <v>0.12878569663006148</v>
      </c>
      <c r="O76" s="198">
        <f>- (O10 - O10*(O18+O19+(O16+O17)*($B$44)/($B$16+$B$17))/O29)/O43</f>
        <v>0.1259005286574903</v>
      </c>
      <c r="P76" s="198">
        <f>- (P10 - P10*(P18+P19+(P16+P17)*($B$44)/($B$16+$B$17))/P29)/P43</f>
        <v>0.11980684460081498</v>
      </c>
      <c r="Q76" s="198">
        <f>- (Q10 - Q10*(Q18+Q19+(Q16+Q17)*($B$44)/($B$16+$B$17))/Q29)/Q43</f>
        <v>0.11540361451429167</v>
      </c>
      <c r="R76" s="198">
        <f>- (R10 - R10*(R18+R19+(R16+R17)*($B$44)/($B$16+$B$17))/R29)/R43</f>
        <v>0.10999046786939599</v>
      </c>
      <c r="S76" s="198">
        <f>- (S10 - S10*(S18+S19+(S16+S17)*($B$44)/($B$16+$B$17))/S29)/S43</f>
        <v>0.10360833954251536</v>
      </c>
      <c r="T76" s="198">
        <f>- (T10 - T10*(T18+T19+(T16+T17)*($B$44)/($B$16+$B$17))/T29)/T43</f>
        <v>9.5134131070168937E-2</v>
      </c>
      <c r="U76" s="198">
        <f>- (U10 - U10*(U18+U19+(U16+U17)*($B$44)/($B$16+$B$17))/U29)/U43</f>
        <v>7.7311104917831011E-2</v>
      </c>
      <c r="V76" s="198">
        <f>- (V10 - V10*(V18+V19+(V16+V17)*($B$44)/($B$16+$B$17))/V29)/V43</f>
        <v>5.6387538793325587E-2</v>
      </c>
    </row>
    <row r="77" spans="1:22">
      <c r="A77" t="s">
        <v>445</v>
      </c>
      <c r="B77" s="198">
        <f>-B11/B43</f>
        <v>3.811618927897998E-2</v>
      </c>
      <c r="C77" s="198">
        <f>-C11/C43</f>
        <v>7.4940578370592412E-2</v>
      </c>
      <c r="D77" s="198">
        <f>-D11/D43</f>
        <v>5.1141811334801751E-2</v>
      </c>
      <c r="E77" s="198">
        <f>-E11/E43</f>
        <v>5.422715263898796E-2</v>
      </c>
      <c r="F77" s="198">
        <f>-F11/F43</f>
        <v>5.3049414573184281E-2</v>
      </c>
      <c r="G77" s="198">
        <f>-G11/G43</f>
        <v>5.3454456505283646E-2</v>
      </c>
      <c r="H77" s="198">
        <f>-H11/H43</f>
        <v>5.1403476269484452E-2</v>
      </c>
      <c r="I77" s="198">
        <f>-I11/I43</f>
        <v>5.178099115928031E-2</v>
      </c>
      <c r="J77" s="198">
        <f>-J11/J43</f>
        <v>4.9537060547132958E-2</v>
      </c>
      <c r="K77" s="198">
        <f>-K11/K43</f>
        <v>5.0660235319554082E-2</v>
      </c>
      <c r="L77" s="198">
        <f>-L11/L43</f>
        <v>4.8680137574533301E-2</v>
      </c>
      <c r="M77" s="198">
        <f>-M11/M43</f>
        <v>5.0294487825739746E-2</v>
      </c>
      <c r="N77" s="198">
        <f>-N11/N43</f>
        <v>4.7487175998820484E-2</v>
      </c>
      <c r="O77" s="198">
        <f>-O11/O43</f>
        <v>4.7832611654910109E-2</v>
      </c>
      <c r="P77" s="198">
        <f>-P11/P43</f>
        <v>4.6229710306899818E-2</v>
      </c>
      <c r="Q77" s="198">
        <f>-Q11/Q43</f>
        <v>4.5196399963441644E-2</v>
      </c>
      <c r="R77" s="198">
        <f>-R11/R43</f>
        <v>4.2347705569061561E-2</v>
      </c>
      <c r="S77" s="198">
        <f>-S11/S43</f>
        <v>3.7326972168957834E-2</v>
      </c>
      <c r="T77" s="198">
        <f>-T11/T43</f>
        <v>3.6238753447255807E-2</v>
      </c>
      <c r="U77" s="198">
        <f>-U11/U43</f>
        <v>2.9611415763069675E-2</v>
      </c>
      <c r="V77" s="198">
        <f>-V11/V43</f>
        <v>1.6839870259049001E-2</v>
      </c>
    </row>
    <row r="78" spans="1:22">
      <c r="A78" t="s">
        <v>444</v>
      </c>
      <c r="B78" s="198">
        <f>-B12/B43</f>
        <v>0.15906437999461256</v>
      </c>
      <c r="C78" s="198">
        <f>-C12/C43</f>
        <v>0.26517435423440389</v>
      </c>
      <c r="D78" s="198">
        <f>-D12/D43</f>
        <v>4.7488824810887342E-2</v>
      </c>
      <c r="E78" s="198">
        <f>-E12/E43</f>
        <v>5.422715263898796E-2</v>
      </c>
      <c r="F78" s="198">
        <f>-F12/F43</f>
        <v>5.9968903430556157E-2</v>
      </c>
      <c r="G78" s="198">
        <f>-G12/G43</f>
        <v>6.8727158363936114E-2</v>
      </c>
      <c r="H78" s="198">
        <f>-H12/H43</f>
        <v>7.196486677727823E-2</v>
      </c>
      <c r="I78" s="198">
        <f>-I12/I43</f>
        <v>8.2240397723562855E-2</v>
      </c>
      <c r="J78" s="198">
        <f>-J12/J43</f>
        <v>8.6689855957482673E-2</v>
      </c>
      <c r="K78" s="198">
        <f>-K12/K43</f>
        <v>8.8655411809219639E-2</v>
      </c>
      <c r="L78" s="198">
        <f>-L12/L43</f>
        <v>9.0236352577183682E-2</v>
      </c>
      <c r="M78" s="198">
        <f>-M12/M43</f>
        <v>9.5000699226397298E-2</v>
      </c>
      <c r="N78" s="198">
        <f>-N12/N43</f>
        <v>0.101168331475748</v>
      </c>
      <c r="O78" s="198">
        <f>-O12/O43</f>
        <v>0.10905835457319506</v>
      </c>
      <c r="P78" s="198">
        <f>-P12/P43</f>
        <v>0.11824137443880146</v>
      </c>
      <c r="Q78" s="198">
        <f>-Q12/Q43</f>
        <v>0.12161940353798843</v>
      </c>
      <c r="R78" s="198">
        <f>-R12/R43</f>
        <v>0.12704311670718471</v>
      </c>
      <c r="S78" s="198">
        <f>-S12/S43</f>
        <v>0.14197580485692893</v>
      </c>
      <c r="T78" s="198">
        <f>-T12/T43</f>
        <v>0.15684585476390403</v>
      </c>
      <c r="U78" s="198">
        <f>-U12/U43</f>
        <v>0.17625842716112902</v>
      </c>
      <c r="V78" s="198">
        <f>-V12/V43</f>
        <v>0.30169743464103449</v>
      </c>
    </row>
    <row r="79" spans="1:22" s="85" customFormat="1">
      <c r="A79" s="85" t="s">
        <v>46</v>
      </c>
      <c r="B79" s="198">
        <f>-(B13+B14)/B$43</f>
        <v>0.23287240729101194</v>
      </c>
      <c r="C79" s="198">
        <f>-(C13+C14)/C$43</f>
        <v>0.12682251724254101</v>
      </c>
      <c r="D79" s="198">
        <f>-(D13+D14)/D$43</f>
        <v>0.11324258224134673</v>
      </c>
      <c r="E79" s="198">
        <f>-(E13+E14)/E$43</f>
        <v>0.15697333658654411</v>
      </c>
      <c r="F79" s="198">
        <f>-(F13+F14)/F$43</f>
        <v>0.16837422886271536</v>
      </c>
      <c r="G79" s="198">
        <f>-(G13+G14)/G$43</f>
        <v>0.17945424683916653</v>
      </c>
      <c r="H79" s="198">
        <f>-(H13+H14)/H$43</f>
        <v>0.1816256161521784</v>
      </c>
      <c r="I79" s="198">
        <f>-(I13+I14)/I$43</f>
        <v>0.20255505365247886</v>
      </c>
      <c r="J79" s="198">
        <f>-(J13+J14)/J$43</f>
        <v>0.22016471354281314</v>
      </c>
      <c r="K79" s="198">
        <f>-(K13+K14)/K$43</f>
        <v>0.2241715412890268</v>
      </c>
      <c r="L79" s="198">
        <f>-(L13+L14)/L$43</f>
        <v>0.24458800830131369</v>
      </c>
      <c r="M79" s="198">
        <f>-(M13+M14)/M$43</f>
        <v>0.24588416270361654</v>
      </c>
      <c r="N79" s="198">
        <f>-(N13+N14)/N$43</f>
        <v>0.25498548851540564</v>
      </c>
      <c r="O79" s="198">
        <f>-(O13+O14)/O$43</f>
        <v>0.26307936410200561</v>
      </c>
      <c r="P79" s="198">
        <f>-(P13+P14)/P$43</f>
        <v>0.26137566981208743</v>
      </c>
      <c r="Q79" s="198">
        <f>-(Q13+Q14)/Q$43</f>
        <v>0.27610891614029809</v>
      </c>
      <c r="R79" s="198">
        <f>-(R13+R14)/R$43</f>
        <v>0.28528980593894104</v>
      </c>
      <c r="S79" s="198">
        <f>-(S13+S14)/S$43</f>
        <v>0.27795263204384679</v>
      </c>
      <c r="T79" s="198">
        <f>-(T13+T14)/T$43</f>
        <v>0.28311526130668596</v>
      </c>
      <c r="U79" s="198">
        <f>-(U13+U14)/U$43</f>
        <v>0.27308305648164261</v>
      </c>
      <c r="V79" s="198">
        <f>-(V13+V14)/V$43</f>
        <v>0.17752875273093827</v>
      </c>
    </row>
    <row r="80" spans="1:22">
      <c r="B80" s="249"/>
      <c r="C80" s="249"/>
      <c r="D80" s="249"/>
      <c r="E80" s="249"/>
      <c r="F80" s="249"/>
      <c r="G80" s="249"/>
      <c r="H80" s="249"/>
      <c r="I80" s="249"/>
      <c r="J80" s="249"/>
      <c r="K80" s="249"/>
      <c r="L80" s="249"/>
      <c r="M80" s="249"/>
      <c r="N80" s="249"/>
      <c r="O80" s="249"/>
      <c r="P80" s="249"/>
      <c r="Q80" s="249"/>
      <c r="R80" s="249"/>
      <c r="S80" s="249"/>
      <c r="T80" s="249"/>
      <c r="U80" s="249"/>
      <c r="V80" s="249"/>
    </row>
    <row r="83" spans="2:22">
      <c r="B83" s="250"/>
      <c r="C83" s="250"/>
      <c r="D83" s="250"/>
      <c r="E83" s="250"/>
      <c r="F83" s="250"/>
      <c r="G83" s="250"/>
      <c r="H83" s="250"/>
      <c r="I83" s="250"/>
      <c r="J83" s="250"/>
      <c r="K83" s="250"/>
      <c r="L83" s="250"/>
      <c r="M83" s="250"/>
      <c r="N83" s="250"/>
      <c r="O83" s="250"/>
      <c r="P83" s="250"/>
      <c r="Q83" s="250"/>
      <c r="R83" s="250"/>
      <c r="S83" s="250"/>
      <c r="T83" s="250"/>
      <c r="U83" s="250"/>
      <c r="V83" s="250"/>
    </row>
    <row r="84" spans="2:22">
      <c r="B84" s="250"/>
      <c r="C84" s="250"/>
      <c r="D84" s="250"/>
      <c r="E84" s="250"/>
      <c r="F84" s="250"/>
      <c r="G84" s="250"/>
      <c r="H84" s="250"/>
      <c r="I84" s="250"/>
      <c r="J84" s="250"/>
      <c r="K84" s="250"/>
      <c r="L84" s="250"/>
      <c r="M84" s="250"/>
      <c r="N84" s="250"/>
      <c r="O84" s="250"/>
      <c r="P84" s="250"/>
      <c r="Q84" s="250"/>
      <c r="R84" s="250"/>
      <c r="S84" s="250"/>
      <c r="T84" s="250"/>
      <c r="U84" s="250"/>
      <c r="V84" s="250"/>
    </row>
    <row r="86" spans="2:22" s="85" customFormat="1">
      <c r="B86" s="200"/>
      <c r="C86" s="200"/>
      <c r="D86" s="200"/>
      <c r="E86" s="200"/>
      <c r="F86" s="200"/>
      <c r="G86" s="200"/>
      <c r="H86" s="200"/>
      <c r="I86" s="200"/>
      <c r="J86" s="200"/>
      <c r="K86" s="200"/>
      <c r="L86" s="200"/>
      <c r="M86" s="200"/>
      <c r="N86" s="200"/>
      <c r="O86" s="200"/>
      <c r="P86" s="200"/>
      <c r="Q86" s="200"/>
      <c r="R86" s="200"/>
      <c r="S86" s="200"/>
      <c r="T86" s="200"/>
      <c r="U86" s="200"/>
      <c r="V86" s="200"/>
    </row>
    <row r="90" spans="2:22">
      <c r="U90" s="200"/>
    </row>
  </sheetData>
  <mergeCells count="61">
    <mergeCell ref="X39:Y39"/>
    <mergeCell ref="C67:D67"/>
    <mergeCell ref="E67:F67"/>
    <mergeCell ref="G67:H67"/>
    <mergeCell ref="I67:J67"/>
    <mergeCell ref="K67:L67"/>
    <mergeCell ref="C68:D68"/>
    <mergeCell ref="E68:F68"/>
    <mergeCell ref="G68:H68"/>
    <mergeCell ref="I68:J68"/>
    <mergeCell ref="K68:L68"/>
    <mergeCell ref="M68:N68"/>
    <mergeCell ref="O66:P66"/>
    <mergeCell ref="Q66:R66"/>
    <mergeCell ref="S66:T66"/>
    <mergeCell ref="U66:V66"/>
    <mergeCell ref="M67:N67"/>
    <mergeCell ref="O67:P67"/>
    <mergeCell ref="Q67:R67"/>
    <mergeCell ref="S67:T67"/>
    <mergeCell ref="U67:V67"/>
    <mergeCell ref="O68:P68"/>
    <mergeCell ref="Q68:R68"/>
    <mergeCell ref="S68:T68"/>
    <mergeCell ref="U68:V68"/>
    <mergeCell ref="O64:P64"/>
    <mergeCell ref="Q64:R64"/>
    <mergeCell ref="S64:T64"/>
    <mergeCell ref="U64:V64"/>
    <mergeCell ref="C66:D66"/>
    <mergeCell ref="E66:F66"/>
    <mergeCell ref="G66:H66"/>
    <mergeCell ref="I66:J66"/>
    <mergeCell ref="K66:L66"/>
    <mergeCell ref="M66:N66"/>
    <mergeCell ref="C64:D64"/>
    <mergeCell ref="E64:F64"/>
    <mergeCell ref="G64:H64"/>
    <mergeCell ref="I64:J64"/>
    <mergeCell ref="K64:L64"/>
    <mergeCell ref="M64:N64"/>
    <mergeCell ref="C65:D65"/>
    <mergeCell ref="E65:F65"/>
    <mergeCell ref="G65:H65"/>
    <mergeCell ref="I65:J65"/>
    <mergeCell ref="K65:L65"/>
    <mergeCell ref="M65:N65"/>
    <mergeCell ref="O65:P65"/>
    <mergeCell ref="Q65:R65"/>
    <mergeCell ref="S65:T65"/>
    <mergeCell ref="U65:V65"/>
    <mergeCell ref="C69:D69"/>
    <mergeCell ref="E69:F69"/>
    <mergeCell ref="G69:H69"/>
    <mergeCell ref="I69:J69"/>
    <mergeCell ref="K69:L69"/>
    <mergeCell ref="M69:N69"/>
    <mergeCell ref="O69:P69"/>
    <mergeCell ref="Q69:R69"/>
    <mergeCell ref="S69:T69"/>
    <mergeCell ref="U69:V69"/>
  </mergeCells>
  <phoneticPr fontId="100" type="noConversion"/>
  <pageMargins left="0.7" right="0.7" top="0.75" bottom="0.75" header="0.3" footer="0.3"/>
  <pageSetup paperSize="9"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4C5522-3DEA-425A-B8AF-466B345A54FE}">
  <sheetPr codeName="Feuil2"/>
  <dimension ref="B2:AP71"/>
  <sheetViews>
    <sheetView topLeftCell="U1" zoomScaleNormal="100" workbookViewId="0">
      <selection activeCell="AF23" sqref="AF23"/>
    </sheetView>
  </sheetViews>
  <sheetFormatPr baseColWidth="10" defaultRowHeight="14.4"/>
  <cols>
    <col min="1" max="1" width="3.109375" customWidth="1"/>
    <col min="2" max="6" width="12.5546875" style="85" customWidth="1"/>
    <col min="7" max="7" width="12.5546875" style="22" customWidth="1"/>
    <col min="8" max="15" width="13" style="22" customWidth="1"/>
    <col min="16" max="16" width="11.5546875" style="20"/>
    <col min="17" max="18" width="11.5546875" style="214"/>
    <col min="19" max="19" width="11.44140625" style="20"/>
    <col min="20" max="21" width="11.5546875" style="214"/>
    <col min="22" max="23" width="11.44140625" style="20"/>
    <col min="26" max="26" width="13.6640625" bestFit="1" customWidth="1"/>
    <col min="27" max="29" width="12" customWidth="1"/>
    <col min="30" max="30" width="12" style="85" customWidth="1"/>
    <col min="31" max="31" width="12" customWidth="1"/>
    <col min="33" max="33" width="13.33203125" bestFit="1" customWidth="1"/>
  </cols>
  <sheetData>
    <row r="2" spans="2:42" s="30" customFormat="1" ht="23.4" customHeight="1">
      <c r="B2" s="252" t="s">
        <v>95</v>
      </c>
      <c r="C2" s="252"/>
      <c r="D2" s="252"/>
      <c r="E2" s="252"/>
      <c r="F2" s="252"/>
      <c r="H2" s="252" t="s">
        <v>43</v>
      </c>
      <c r="I2" s="252"/>
      <c r="J2" s="252"/>
      <c r="K2" s="252"/>
      <c r="L2" s="252"/>
      <c r="M2" s="252"/>
      <c r="N2" s="252"/>
      <c r="O2" s="252"/>
      <c r="P2" s="252"/>
      <c r="Q2" s="252"/>
      <c r="R2" s="222"/>
      <c r="S2" s="273" t="s">
        <v>386</v>
      </c>
      <c r="T2" s="273"/>
      <c r="U2" s="273"/>
      <c r="V2" s="273"/>
      <c r="W2" s="273"/>
      <c r="Z2" s="229"/>
      <c r="AA2" s="271" t="s">
        <v>385</v>
      </c>
      <c r="AB2" s="271"/>
      <c r="AC2" s="271"/>
      <c r="AD2" s="271"/>
      <c r="AE2" s="271"/>
      <c r="AG2" s="196" t="s">
        <v>393</v>
      </c>
      <c r="AI2" s="252" t="s">
        <v>451</v>
      </c>
      <c r="AJ2" s="252"/>
      <c r="AK2" s="252"/>
      <c r="AL2" s="252"/>
      <c r="AM2" s="252"/>
      <c r="AN2" s="252"/>
    </row>
    <row r="3" spans="2:42" s="28" customFormat="1" ht="42.6" customHeight="1">
      <c r="B3" s="21" t="s">
        <v>10</v>
      </c>
      <c r="C3" s="21" t="s">
        <v>92</v>
      </c>
      <c r="D3" s="21" t="s">
        <v>16</v>
      </c>
      <c r="E3" s="39" t="s">
        <v>93</v>
      </c>
      <c r="F3" s="39" t="s">
        <v>94</v>
      </c>
      <c r="H3" s="13" t="s">
        <v>5</v>
      </c>
      <c r="I3" s="12" t="s">
        <v>44</v>
      </c>
      <c r="J3" s="12" t="s">
        <v>45</v>
      </c>
      <c r="K3" s="12" t="s">
        <v>373</v>
      </c>
      <c r="L3" s="12" t="s">
        <v>47</v>
      </c>
      <c r="M3" s="12" t="s">
        <v>48</v>
      </c>
      <c r="N3" s="12" t="s">
        <v>49</v>
      </c>
      <c r="O3" s="12" t="s">
        <v>50</v>
      </c>
      <c r="P3" s="207" t="s">
        <v>51</v>
      </c>
      <c r="Q3" s="118" t="s">
        <v>94</v>
      </c>
      <c r="R3" s="118"/>
      <c r="S3" s="118" t="s">
        <v>52</v>
      </c>
      <c r="T3" s="118" t="s">
        <v>473</v>
      </c>
      <c r="U3" s="118" t="s">
        <v>390</v>
      </c>
      <c r="V3" s="118" t="s">
        <v>375</v>
      </c>
      <c r="W3" s="206" t="s">
        <v>376</v>
      </c>
      <c r="X3" s="17"/>
      <c r="Z3" s="85"/>
      <c r="AA3" s="8" t="s">
        <v>70</v>
      </c>
      <c r="AB3" s="8" t="s">
        <v>71</v>
      </c>
      <c r="AC3" s="12" t="s">
        <v>28</v>
      </c>
      <c r="AD3" s="12" t="s">
        <v>29</v>
      </c>
      <c r="AE3" s="197" t="s">
        <v>409</v>
      </c>
      <c r="AI3"/>
      <c r="AJ3"/>
      <c r="AK3"/>
      <c r="AL3" s="8"/>
      <c r="AM3" s="8" t="s">
        <v>70</v>
      </c>
      <c r="AN3" s="8" t="s">
        <v>437</v>
      </c>
      <c r="AO3"/>
      <c r="AP3"/>
    </row>
    <row r="4" spans="2:42">
      <c r="B4" s="154" t="s">
        <v>77</v>
      </c>
      <c r="C4" s="185">
        <v>37833502</v>
      </c>
      <c r="D4" s="97"/>
      <c r="E4" s="97">
        <v>32900</v>
      </c>
      <c r="F4" s="186">
        <v>100</v>
      </c>
      <c r="H4" s="282">
        <v>90</v>
      </c>
      <c r="I4" s="283">
        <v>6.4000000000000001E-2</v>
      </c>
      <c r="J4" s="283">
        <v>1.9E-3</v>
      </c>
      <c r="K4" s="283">
        <v>0.12480000000000001</v>
      </c>
      <c r="L4" s="283">
        <v>7.4200000000000002E-2</v>
      </c>
      <c r="M4" s="283">
        <v>2.8000000000000004E-3</v>
      </c>
      <c r="N4" s="283">
        <v>1E-4</v>
      </c>
      <c r="O4" s="283">
        <v>2.7000000000000001E-3</v>
      </c>
      <c r="P4" s="283">
        <v>0.2676</v>
      </c>
      <c r="Q4" s="284">
        <v>1.77E-2</v>
      </c>
      <c r="R4" s="284"/>
      <c r="S4" s="284">
        <f>L4*AA$9</f>
        <v>7.7910000000000007E-2</v>
      </c>
      <c r="T4" s="284">
        <f>L4*$AA$13</f>
        <v>2.9680000000000002E-2</v>
      </c>
      <c r="U4" s="284">
        <f>J4*AA$17</f>
        <v>7.7669366829928206E-3</v>
      </c>
      <c r="V4" s="284">
        <f>K4*AA$5</f>
        <v>0.13478400000000001</v>
      </c>
      <c r="W4" s="284">
        <f xml:space="preserve"> S4 + T4 + P4 + U4 + V4</f>
        <v>0.51774093668299281</v>
      </c>
      <c r="X4" s="43"/>
      <c r="Z4" s="73"/>
      <c r="AA4" s="85"/>
      <c r="AB4" s="85"/>
      <c r="AC4" s="85"/>
      <c r="AE4" s="43"/>
      <c r="AG4" s="85"/>
      <c r="AI4" s="277" t="s">
        <v>470</v>
      </c>
      <c r="AJ4" s="277"/>
      <c r="AK4" s="277"/>
      <c r="AL4" s="277"/>
      <c r="AM4" s="277"/>
      <c r="AN4" s="277"/>
      <c r="AO4" s="7"/>
    </row>
    <row r="5" spans="2:42">
      <c r="B5" s="154" t="s">
        <v>78</v>
      </c>
      <c r="C5" s="185">
        <v>34050091</v>
      </c>
      <c r="D5" s="97">
        <v>3400</v>
      </c>
      <c r="E5" s="97">
        <v>36500</v>
      </c>
      <c r="F5" s="186">
        <v>99.85</v>
      </c>
      <c r="H5" s="282">
        <v>91</v>
      </c>
      <c r="I5" s="283">
        <v>6.6400000000000001E-2</v>
      </c>
      <c r="J5" s="283">
        <v>2.0999999999999999E-3</v>
      </c>
      <c r="K5" s="283">
        <v>0.1273</v>
      </c>
      <c r="L5" s="283">
        <v>7.400000000000001E-2</v>
      </c>
      <c r="M5" s="283">
        <v>3.0000000000000001E-3</v>
      </c>
      <c r="N5" s="283">
        <v>1E-4</v>
      </c>
      <c r="O5" s="283">
        <v>3.0000000000000001E-3</v>
      </c>
      <c r="P5" s="283">
        <v>0.27279999999999999</v>
      </c>
      <c r="Q5" s="284">
        <v>1.84E-2</v>
      </c>
      <c r="R5" s="284"/>
      <c r="S5" s="284">
        <f>L5*AA$9</f>
        <v>7.7700000000000019E-2</v>
      </c>
      <c r="T5" s="284">
        <f>L5*$AA$13</f>
        <v>2.9600000000000005E-2</v>
      </c>
      <c r="U5" s="284">
        <f>J5*AA$17</f>
        <v>8.5845089654131169E-3</v>
      </c>
      <c r="V5" s="284">
        <f>K5*AA$5</f>
        <v>0.137484</v>
      </c>
      <c r="W5" s="284">
        <f t="shared" ref="W5:W44" si="0" xml:space="preserve"> S5 + T5 + P5 + U5 + V5</f>
        <v>0.52616850896541312</v>
      </c>
      <c r="X5" s="43"/>
      <c r="Z5" s="208" t="s">
        <v>429</v>
      </c>
      <c r="AA5" s="219">
        <v>1.08</v>
      </c>
      <c r="AB5" s="228">
        <v>0.6</v>
      </c>
      <c r="AC5" s="228">
        <v>0.3</v>
      </c>
      <c r="AD5" s="228">
        <v>0.25</v>
      </c>
      <c r="AE5" s="228">
        <v>0.15</v>
      </c>
      <c r="AG5" s="201" t="s">
        <v>373</v>
      </c>
      <c r="AI5" t="s">
        <v>469</v>
      </c>
      <c r="AM5" s="107">
        <f>('Bach et al. (2025)'!F13-'Bach et al. (2025)'!F14)/100</f>
        <v>0.11099999999999997</v>
      </c>
      <c r="AN5" s="107">
        <f xml:space="preserve"> 'Bach et al. (2025)'!F14 /100</f>
        <v>0.27810000000000001</v>
      </c>
      <c r="AP5" s="90" t="s">
        <v>450</v>
      </c>
    </row>
    <row r="6" spans="2:42">
      <c r="B6" s="154" t="s">
        <v>79</v>
      </c>
      <c r="C6" s="185">
        <v>30266479</v>
      </c>
      <c r="D6" s="97">
        <v>9700</v>
      </c>
      <c r="E6" s="97">
        <v>40200</v>
      </c>
      <c r="F6" s="186">
        <v>97.75</v>
      </c>
      <c r="H6" s="282">
        <v>92</v>
      </c>
      <c r="I6" s="283">
        <v>6.8900000000000003E-2</v>
      </c>
      <c r="J6" s="283">
        <v>2.2000000000000001E-3</v>
      </c>
      <c r="K6" s="283">
        <v>0.13070000000000001</v>
      </c>
      <c r="L6" s="283">
        <v>7.3700000000000002E-2</v>
      </c>
      <c r="M6" s="283">
        <v>3.4999999999999996E-3</v>
      </c>
      <c r="N6" s="283">
        <v>1E-4</v>
      </c>
      <c r="O6" s="283">
        <v>3.4000000000000002E-3</v>
      </c>
      <c r="P6" s="283">
        <v>0.27899999999999997</v>
      </c>
      <c r="Q6" s="284">
        <v>1.9099999999999999E-2</v>
      </c>
      <c r="R6" s="284"/>
      <c r="S6" s="284">
        <f>L6*AA$9</f>
        <v>7.7385000000000009E-2</v>
      </c>
      <c r="T6" s="284">
        <f>L6*$AA$13</f>
        <v>2.9480000000000003E-2</v>
      </c>
      <c r="U6" s="284">
        <f>J6*AA$17</f>
        <v>8.9932951066232676E-3</v>
      </c>
      <c r="V6" s="284">
        <f>K6*AA$5</f>
        <v>0.14115600000000003</v>
      </c>
      <c r="W6" s="284">
        <f t="shared" si="0"/>
        <v>0.53601429510662335</v>
      </c>
      <c r="X6" s="43"/>
      <c r="Z6" s="230" t="s">
        <v>430</v>
      </c>
      <c r="AA6" s="125">
        <f>(SUMPRODUCT(V4:V8, Q4:Q8))/SUM(Q4:Q8) + (SUMPRODUCT(K4:K8, Q4:Q8))/SUM(Q4:Q8)</f>
        <v>0.27332501355578726</v>
      </c>
      <c r="AB6" s="272">
        <f>(SUMPRODUCT(V9:V39, Q9:Q39)+AVERAGE(V40:V45)*Q40)/SUM(Q9:Q40) + (SUMPRODUCT(K9:K39, Q9:Q39)+AVERAGE(K40:K45)*Q40)/SUM(Q9:Q40)</f>
        <v>0.17749512090163938</v>
      </c>
      <c r="AC6" s="272"/>
      <c r="AD6" s="272"/>
      <c r="AE6" s="272"/>
      <c r="AG6" s="199"/>
      <c r="AI6" t="s">
        <v>449</v>
      </c>
      <c r="AM6" s="90">
        <v>0.1125</v>
      </c>
      <c r="AN6" s="90">
        <v>0.27050000000000002</v>
      </c>
    </row>
    <row r="7" spans="2:42">
      <c r="B7" s="14" t="s">
        <v>80</v>
      </c>
      <c r="C7" s="53">
        <v>26483450</v>
      </c>
      <c r="D7" s="97">
        <v>14500</v>
      </c>
      <c r="E7" s="97">
        <v>44200</v>
      </c>
      <c r="F7" s="186">
        <v>94.04</v>
      </c>
      <c r="H7" s="282">
        <v>93</v>
      </c>
      <c r="I7" s="283">
        <v>7.2000000000000008E-2</v>
      </c>
      <c r="J7" s="283">
        <v>2.5999999999999999E-3</v>
      </c>
      <c r="K7" s="283">
        <v>0.1343</v>
      </c>
      <c r="L7" s="283">
        <v>7.3599999999999999E-2</v>
      </c>
      <c r="M7" s="283">
        <v>4.0000000000000001E-3</v>
      </c>
      <c r="N7" s="283">
        <v>1E-4</v>
      </c>
      <c r="O7" s="283">
        <v>3.9000000000000003E-3</v>
      </c>
      <c r="P7" s="283">
        <v>0.28649999999999998</v>
      </c>
      <c r="Q7" s="284">
        <v>1.9699999999999999E-2</v>
      </c>
      <c r="R7" s="284"/>
      <c r="S7" s="284">
        <f>L7*AA$9</f>
        <v>7.7280000000000001E-2</v>
      </c>
      <c r="T7" s="284">
        <f>L7*$AA$13</f>
        <v>2.9440000000000001E-2</v>
      </c>
      <c r="U7" s="284">
        <f>J7*AA$17</f>
        <v>1.062843967146386E-2</v>
      </c>
      <c r="V7" s="284">
        <f>K7*AA$5</f>
        <v>0.14504400000000001</v>
      </c>
      <c r="W7" s="284">
        <f t="shared" si="0"/>
        <v>0.54889243967146384</v>
      </c>
      <c r="X7" s="43"/>
      <c r="Z7" s="230" t="s">
        <v>431</v>
      </c>
      <c r="AA7" s="125">
        <f>'Insee (2024)'!U79</f>
        <v>0.27308305648164261</v>
      </c>
      <c r="AB7" s="272">
        <f>'Insee (2024)'!V79</f>
        <v>0.17752875273093827</v>
      </c>
      <c r="AC7" s="272"/>
      <c r="AD7" s="272"/>
      <c r="AE7" s="272"/>
      <c r="AG7" s="199"/>
      <c r="AO7" s="26"/>
    </row>
    <row r="8" spans="2:42">
      <c r="B8" s="14" t="s">
        <v>81</v>
      </c>
      <c r="C8" s="53">
        <v>22699895</v>
      </c>
      <c r="D8" s="97">
        <v>18200</v>
      </c>
      <c r="E8" s="97">
        <v>48900</v>
      </c>
      <c r="F8" s="186">
        <v>89.18</v>
      </c>
      <c r="H8" s="282">
        <v>94</v>
      </c>
      <c r="I8" s="283">
        <v>7.5300000000000006E-2</v>
      </c>
      <c r="J8" s="283">
        <v>2.8000000000000004E-3</v>
      </c>
      <c r="K8" s="283">
        <v>0.13849999999999998</v>
      </c>
      <c r="L8" s="283">
        <v>7.3300000000000004E-2</v>
      </c>
      <c r="M8" s="283">
        <v>4.5999999999999999E-3</v>
      </c>
      <c r="N8" s="283">
        <v>1E-4</v>
      </c>
      <c r="O8" s="283">
        <v>4.5000000000000005E-3</v>
      </c>
      <c r="P8" s="283">
        <v>0.29460000000000003</v>
      </c>
      <c r="Q8" s="284">
        <v>2.1000000000000001E-2</v>
      </c>
      <c r="R8" s="284"/>
      <c r="S8" s="284">
        <f>L8*AA$9</f>
        <v>7.6965000000000006E-2</v>
      </c>
      <c r="T8" s="284">
        <f>L8*$AA$13</f>
        <v>2.9320000000000002E-2</v>
      </c>
      <c r="U8" s="284">
        <f>J8*AA$17</f>
        <v>1.1446011953884158E-2</v>
      </c>
      <c r="V8" s="284">
        <f>K8*AA$5</f>
        <v>0.14957999999999999</v>
      </c>
      <c r="W8" s="284">
        <f t="shared" si="0"/>
        <v>0.56191101195388415</v>
      </c>
      <c r="X8" s="47"/>
      <c r="Z8" s="107"/>
      <c r="AA8" s="214"/>
      <c r="AB8" s="215"/>
      <c r="AC8" s="199"/>
      <c r="AD8" s="199"/>
      <c r="AE8" s="43"/>
      <c r="AG8" s="199"/>
      <c r="AI8" t="s">
        <v>468</v>
      </c>
      <c r="AM8" s="107">
        <f>'Insee (2024)'!U43/'Insee (2024)'!B43</f>
        <v>9.5517547279231577E-2</v>
      </c>
      <c r="AN8" s="107">
        <f>'Insee (2024)'!V43/'Insee (2024)'!B43</f>
        <v>0.22127947677053472</v>
      </c>
    </row>
    <row r="9" spans="2:42">
      <c r="B9" s="14" t="s">
        <v>82</v>
      </c>
      <c r="C9" s="53">
        <v>18915941</v>
      </c>
      <c r="D9" s="97">
        <v>21900</v>
      </c>
      <c r="E9" s="97">
        <v>54600</v>
      </c>
      <c r="F9" s="186">
        <v>82.98</v>
      </c>
      <c r="H9" s="282">
        <v>95</v>
      </c>
      <c r="I9" s="283">
        <v>7.980000000000001E-2</v>
      </c>
      <c r="J9" s="283">
        <v>3.3E-3</v>
      </c>
      <c r="K9" s="283">
        <v>0.14150000000000001</v>
      </c>
      <c r="L9" s="283">
        <v>7.2900000000000006E-2</v>
      </c>
      <c r="M9" s="283">
        <v>5.3E-3</v>
      </c>
      <c r="N9" s="283">
        <v>1E-4</v>
      </c>
      <c r="O9" s="283">
        <v>5.1999999999999998E-3</v>
      </c>
      <c r="P9" s="283">
        <v>0.30299999999999999</v>
      </c>
      <c r="Q9" s="284">
        <v>2.5100000000000001E-2</v>
      </c>
      <c r="R9" s="284"/>
      <c r="S9" s="284">
        <f>L9*AB$9</f>
        <v>7.2900000000000006E-2</v>
      </c>
      <c r="T9" s="284">
        <f>L9*$AB$13</f>
        <v>1.8954000000000002E-2</v>
      </c>
      <c r="U9" s="284">
        <f>J9*AB$17</f>
        <v>1.34899426599349E-2</v>
      </c>
      <c r="V9" s="284">
        <f>K9*AB$5</f>
        <v>8.4900000000000003E-2</v>
      </c>
      <c r="W9" s="284">
        <f t="shared" si="0"/>
        <v>0.49324394265993488</v>
      </c>
      <c r="X9" s="47"/>
      <c r="Z9" s="220" t="s">
        <v>432</v>
      </c>
      <c r="AA9" s="219">
        <v>1.05</v>
      </c>
      <c r="AB9" s="228">
        <v>1</v>
      </c>
      <c r="AC9" s="228">
        <v>0.8</v>
      </c>
      <c r="AD9" s="228">
        <v>0.4</v>
      </c>
      <c r="AE9" s="228">
        <v>0.3</v>
      </c>
      <c r="AG9" s="201" t="s">
        <v>391</v>
      </c>
      <c r="AI9" s="85" t="s">
        <v>467</v>
      </c>
      <c r="AM9" s="168">
        <f>'Insee (2024)'!X46</f>
        <v>9.4032637706659511E-2</v>
      </c>
      <c r="AN9" s="168">
        <f>'Insee (2024)'!Y46</f>
        <v>0.21719563082866453</v>
      </c>
    </row>
    <row r="10" spans="2:42">
      <c r="B10" s="14" t="s">
        <v>83</v>
      </c>
      <c r="C10" s="53">
        <v>15133006</v>
      </c>
      <c r="D10" s="97">
        <v>27000</v>
      </c>
      <c r="E10" s="97">
        <v>62200</v>
      </c>
      <c r="F10" s="186">
        <v>75.62</v>
      </c>
      <c r="H10" s="282">
        <v>96</v>
      </c>
      <c r="I10" s="283">
        <v>8.6599999999999996E-2</v>
      </c>
      <c r="J10" s="283">
        <v>3.8E-3</v>
      </c>
      <c r="K10" s="283">
        <v>0.14360000000000001</v>
      </c>
      <c r="L10" s="283">
        <v>7.2800000000000004E-2</v>
      </c>
      <c r="M10" s="283">
        <v>6.7000000000000002E-3</v>
      </c>
      <c r="N10" s="283">
        <v>1E-4</v>
      </c>
      <c r="O10" s="283">
        <v>6.6E-3</v>
      </c>
      <c r="P10" s="283">
        <v>0.31359999999999999</v>
      </c>
      <c r="Q10" s="284">
        <v>2.9499999999999998E-2</v>
      </c>
      <c r="R10" s="284"/>
      <c r="S10" s="284">
        <f>L10*AB$9</f>
        <v>7.2800000000000004E-2</v>
      </c>
      <c r="T10" s="284">
        <f t="shared" ref="T10:T45" si="1">L10*$AB$13</f>
        <v>1.8928E-2</v>
      </c>
      <c r="U10" s="284">
        <f>J10*AB$17</f>
        <v>1.5533873365985641E-2</v>
      </c>
      <c r="V10" s="284">
        <f>K10*AB$5</f>
        <v>8.616E-2</v>
      </c>
      <c r="W10" s="284">
        <f t="shared" si="0"/>
        <v>0.5070218733659857</v>
      </c>
      <c r="X10" s="47"/>
      <c r="Z10" s="212" t="s">
        <v>433</v>
      </c>
      <c r="AA10" s="125">
        <f>(SUMPRODUCT(S4:S8, Q4:Q8))/SUM(Q4:Q8)</f>
        <v>7.7428795620437973E-2</v>
      </c>
      <c r="AB10" s="272">
        <f>(SUMPRODUCT(S9:S39, Q9:Q39)+AVERAGE(S40:S45)*Q40)/SUM(Q9:Q40)</f>
        <v>5.6428684426229503E-2</v>
      </c>
      <c r="AC10" s="272"/>
      <c r="AD10" s="272"/>
      <c r="AE10" s="272"/>
      <c r="AG10" s="199"/>
    </row>
    <row r="11" spans="2:42">
      <c r="B11" s="14" t="s">
        <v>84</v>
      </c>
      <c r="C11" s="53">
        <v>11349720</v>
      </c>
      <c r="D11" s="97">
        <v>33600</v>
      </c>
      <c r="E11" s="97">
        <v>72900</v>
      </c>
      <c r="F11" s="186">
        <v>66.47</v>
      </c>
      <c r="H11" s="282">
        <v>97</v>
      </c>
      <c r="I11" s="283">
        <v>9.5399999999999985E-2</v>
      </c>
      <c r="J11" s="283">
        <v>4.6999999999999993E-3</v>
      </c>
      <c r="K11" s="283">
        <v>0.1452</v>
      </c>
      <c r="L11" s="283">
        <v>7.2599999999999998E-2</v>
      </c>
      <c r="M11" s="283">
        <v>8.8000000000000005E-3</v>
      </c>
      <c r="N11" s="283">
        <v>2.0000000000000001E-4</v>
      </c>
      <c r="O11" s="283">
        <v>8.6E-3</v>
      </c>
      <c r="P11" s="283">
        <v>0.32669999999999999</v>
      </c>
      <c r="Q11" s="284">
        <v>3.15E-2</v>
      </c>
      <c r="R11" s="284"/>
      <c r="S11" s="284">
        <f>L11*AB$9</f>
        <v>7.2599999999999998E-2</v>
      </c>
      <c r="T11" s="284">
        <f t="shared" si="1"/>
        <v>1.8876E-2</v>
      </c>
      <c r="U11" s="284">
        <f>J11*AB$17</f>
        <v>1.9212948636876975E-2</v>
      </c>
      <c r="V11" s="284">
        <f>K11*AB$5</f>
        <v>8.7119999999999989E-2</v>
      </c>
      <c r="W11" s="284">
        <f t="shared" si="0"/>
        <v>0.52450894863687691</v>
      </c>
      <c r="X11" s="47"/>
      <c r="Z11" s="212" t="s">
        <v>431</v>
      </c>
      <c r="AA11" s="125">
        <f>'Insee (2024)'!U76</f>
        <v>7.7311104917831011E-2</v>
      </c>
      <c r="AB11" s="272">
        <f>'Insee (2024)'!V$76</f>
        <v>5.6387538793325587E-2</v>
      </c>
      <c r="AC11" s="272"/>
      <c r="AD11" s="272"/>
      <c r="AE11" s="272"/>
      <c r="AG11" s="199"/>
      <c r="AI11" s="277" t="s">
        <v>471</v>
      </c>
      <c r="AJ11" s="277"/>
      <c r="AK11" s="277"/>
      <c r="AL11" s="277"/>
      <c r="AM11" s="277"/>
      <c r="AN11" s="277"/>
    </row>
    <row r="12" spans="2:42">
      <c r="B12" s="14" t="s">
        <v>85</v>
      </c>
      <c r="C12" s="53">
        <v>7566688</v>
      </c>
      <c r="D12" s="97">
        <v>44300</v>
      </c>
      <c r="E12" s="97">
        <v>90100</v>
      </c>
      <c r="F12" s="186">
        <v>54.77</v>
      </c>
      <c r="H12" s="285">
        <v>98</v>
      </c>
      <c r="I12" s="286">
        <v>0.1065</v>
      </c>
      <c r="J12" s="286">
        <v>6.0000000000000001E-3</v>
      </c>
      <c r="K12" s="286">
        <v>0.14419999999999999</v>
      </c>
      <c r="L12" s="286">
        <v>7.2499999999999995E-2</v>
      </c>
      <c r="M12" s="286">
        <v>1.2500000000000001E-2</v>
      </c>
      <c r="N12" s="286">
        <v>2.9999999999999997E-4</v>
      </c>
      <c r="O12" s="286">
        <v>1.2199999999999999E-2</v>
      </c>
      <c r="P12" s="286">
        <v>0.3417</v>
      </c>
      <c r="Q12" s="287">
        <v>3.9800000000000002E-2</v>
      </c>
      <c r="R12" s="284"/>
      <c r="S12" s="287">
        <f>L12*AB$9</f>
        <v>7.2499999999999995E-2</v>
      </c>
      <c r="T12" s="287">
        <f t="shared" si="1"/>
        <v>1.8849999999999999E-2</v>
      </c>
      <c r="U12" s="287">
        <f>J12*AB$17</f>
        <v>2.4527168472608909E-2</v>
      </c>
      <c r="V12" s="287">
        <f>K12*AB$5</f>
        <v>8.652E-2</v>
      </c>
      <c r="W12" s="287">
        <f xml:space="preserve"> S12 + T12 + P12 + U12 + V12</f>
        <v>0.54409716847260892</v>
      </c>
      <c r="X12" s="47"/>
      <c r="Z12" s="85"/>
      <c r="AA12" s="85"/>
      <c r="AB12" s="85"/>
      <c r="AC12" s="85"/>
      <c r="AE12" s="43"/>
      <c r="AG12" s="199"/>
      <c r="AI12" t="s">
        <v>440</v>
      </c>
      <c r="AM12" s="90">
        <f xml:space="preserve"> SUMPRODUCT(P4:P8, Q4:Q8) /SUM(Q4:Q8)</f>
        <v>0.28066308654848798</v>
      </c>
      <c r="AN12" s="90">
        <f>(SUMPRODUCT(P9:P39, Q9:Q39)+AVERAGE(P40:P45)*Q40)/SUM(Q9:Q40)</f>
        <v>0.36098527322404378</v>
      </c>
    </row>
    <row r="13" spans="2:42">
      <c r="B13" s="14" t="s">
        <v>86</v>
      </c>
      <c r="C13" s="53">
        <v>3783318</v>
      </c>
      <c r="D13" s="97">
        <v>62900</v>
      </c>
      <c r="E13" s="97">
        <v>128000</v>
      </c>
      <c r="F13" s="186">
        <v>38.909999999999997</v>
      </c>
      <c r="H13" s="14">
        <v>99</v>
      </c>
      <c r="I13" s="73">
        <v>0.12130000000000001</v>
      </c>
      <c r="J13" s="73">
        <v>8.0000000000000002E-3</v>
      </c>
      <c r="K13" s="73">
        <v>0.13780000000000001</v>
      </c>
      <c r="L13" s="73">
        <v>7.22E-2</v>
      </c>
      <c r="M13" s="73">
        <v>2.1299999999999999E-2</v>
      </c>
      <c r="N13" s="73">
        <v>5.0000000000000001E-4</v>
      </c>
      <c r="O13" s="73">
        <v>2.0799999999999999E-2</v>
      </c>
      <c r="P13" s="73">
        <v>0.36049999999999999</v>
      </c>
      <c r="Q13" s="107">
        <v>5.1000000000000004E-3</v>
      </c>
      <c r="R13" s="107"/>
      <c r="S13" s="107">
        <f>L13*AC$9</f>
        <v>5.7760000000000006E-2</v>
      </c>
      <c r="T13" s="107">
        <f t="shared" si="1"/>
        <v>1.8772E-2</v>
      </c>
      <c r="U13" s="107">
        <f>J13*AC$17</f>
        <v>1.1646859175065355E-2</v>
      </c>
      <c r="V13" s="107">
        <f>K13*AC$5</f>
        <v>4.1340000000000002E-2</v>
      </c>
      <c r="W13" s="107">
        <f t="shared" si="0"/>
        <v>0.49001885917506532</v>
      </c>
      <c r="X13" s="47"/>
      <c r="Z13" s="226" t="s">
        <v>434</v>
      </c>
      <c r="AA13" s="219">
        <v>0.4</v>
      </c>
      <c r="AB13" s="281">
        <v>0.26</v>
      </c>
      <c r="AC13" s="281"/>
      <c r="AD13" s="281"/>
      <c r="AE13" s="281"/>
      <c r="AG13" s="199" t="s">
        <v>391</v>
      </c>
      <c r="AI13" s="245" t="s">
        <v>441</v>
      </c>
      <c r="AM13" s="90">
        <f xml:space="preserve"> SUMPRODUCT(W4:W8, Q4:Q8) /SUM(Q4:Q8)</f>
        <v>0.53906882683366508</v>
      </c>
      <c r="AN13" s="90">
        <f>(SUMPRODUCT(W9:W39, Q9:Q39)+AVERAGE(W40:W45)*Q40)/SUM(Q9:Q40)</f>
        <v>0.50931771905161016</v>
      </c>
    </row>
    <row r="14" spans="2:42">
      <c r="B14" s="14" t="s">
        <v>87</v>
      </c>
      <c r="C14" s="53">
        <v>1891637</v>
      </c>
      <c r="D14" s="97">
        <v>86300</v>
      </c>
      <c r="E14" s="97">
        <v>183000</v>
      </c>
      <c r="F14" s="186">
        <v>27.81</v>
      </c>
      <c r="H14" s="14">
        <v>99.1</v>
      </c>
      <c r="I14" s="73">
        <v>0.13239999999999999</v>
      </c>
      <c r="J14" s="73">
        <v>9.4999999999999998E-3</v>
      </c>
      <c r="K14" s="73">
        <v>0.13159999999999999</v>
      </c>
      <c r="L14" s="73">
        <v>7.1399999999999991E-2</v>
      </c>
      <c r="M14" s="73">
        <v>3.1099999999999999E-2</v>
      </c>
      <c r="N14" s="73">
        <v>7.000000000000001E-4</v>
      </c>
      <c r="O14" s="73">
        <v>3.04E-2</v>
      </c>
      <c r="P14" s="73">
        <v>0.376</v>
      </c>
      <c r="Q14" s="107">
        <v>5.7000000000000002E-3</v>
      </c>
      <c r="R14" s="107"/>
      <c r="S14" s="107">
        <f>L14*AC$9</f>
        <v>5.7119999999999997E-2</v>
      </c>
      <c r="T14" s="107">
        <f t="shared" si="1"/>
        <v>1.8563999999999997E-2</v>
      </c>
      <c r="U14" s="107">
        <f>J14*AC$17</f>
        <v>1.3830645270390109E-2</v>
      </c>
      <c r="V14" s="107">
        <f>K14*AC$5</f>
        <v>3.9479999999999994E-2</v>
      </c>
      <c r="W14" s="107">
        <f t="shared" si="0"/>
        <v>0.50499464527039006</v>
      </c>
      <c r="X14" s="47"/>
      <c r="Z14" s="226" t="s">
        <v>435</v>
      </c>
      <c r="AA14" s="125">
        <f>(SUMPRODUCT(T4:T8, Q4:Q8))/SUM(Q4:Q8)</f>
        <v>2.9496684045881131E-2</v>
      </c>
      <c r="AB14" s="272">
        <f>(SUMPRODUCT(T9:T39, Q9:Q39)+AVERAGE(T40:T45)*Q40)/SUM(Q9:Q40)</f>
        <v>1.6990971584699449E-2</v>
      </c>
      <c r="AC14" s="272"/>
      <c r="AD14" s="272"/>
      <c r="AE14" s="272"/>
      <c r="AF14" s="190"/>
      <c r="AH14" s="26"/>
      <c r="AM14" s="85"/>
    </row>
    <row r="15" spans="2:42">
      <c r="B15" s="14" t="s">
        <v>54</v>
      </c>
      <c r="C15" s="53">
        <v>378333</v>
      </c>
      <c r="D15" s="97">
        <v>180000</v>
      </c>
      <c r="E15" s="97">
        <v>455000</v>
      </c>
      <c r="F15" s="186">
        <v>13.83</v>
      </c>
      <c r="H15" s="14">
        <v>99.2</v>
      </c>
      <c r="I15" s="73">
        <v>0.1356</v>
      </c>
      <c r="J15" s="73">
        <v>9.4999999999999998E-3</v>
      </c>
      <c r="K15" s="73">
        <v>0.13100000000000001</v>
      </c>
      <c r="L15" s="73">
        <v>7.0999999999999994E-2</v>
      </c>
      <c r="M15" s="73">
        <v>3.4200000000000001E-2</v>
      </c>
      <c r="N15" s="73">
        <v>8.0000000000000004E-4</v>
      </c>
      <c r="O15" s="73">
        <v>3.3399999999999999E-2</v>
      </c>
      <c r="P15" s="73">
        <v>0.38130000000000003</v>
      </c>
      <c r="Q15" s="107">
        <v>6.3E-3</v>
      </c>
      <c r="R15" s="107"/>
      <c r="S15" s="107">
        <f>L15*AC$9</f>
        <v>5.6799999999999996E-2</v>
      </c>
      <c r="T15" s="107">
        <f t="shared" si="1"/>
        <v>1.8460000000000001E-2</v>
      </c>
      <c r="U15" s="107">
        <f>J15*AC$17</f>
        <v>1.3830645270390109E-2</v>
      </c>
      <c r="V15" s="107">
        <f>K15*AC$5</f>
        <v>3.9300000000000002E-2</v>
      </c>
      <c r="W15" s="107">
        <f t="shared" si="0"/>
        <v>0.50969064527039021</v>
      </c>
      <c r="X15" s="47"/>
      <c r="Z15" s="226" t="s">
        <v>431</v>
      </c>
      <c r="AA15" s="125">
        <f>'Insee (2024)'!U77</f>
        <v>2.9611415763069675E-2</v>
      </c>
      <c r="AB15" s="272">
        <f>'Insee (2024)'!V77</f>
        <v>1.6839870259049001E-2</v>
      </c>
      <c r="AC15" s="272"/>
      <c r="AD15" s="272"/>
      <c r="AE15" s="272"/>
      <c r="AI15" t="s">
        <v>442</v>
      </c>
      <c r="AL15" s="90"/>
      <c r="AM15" s="90">
        <f>'Insee (2024)'!U62</f>
        <v>0.55673402679610196</v>
      </c>
      <c r="AN15" s="90">
        <f>'Insee (2024)'!V62</f>
        <v>0.55265648642746834</v>
      </c>
    </row>
    <row r="16" spans="2:42">
      <c r="B16" s="14" t="s">
        <v>88</v>
      </c>
      <c r="C16" s="53">
        <v>37833</v>
      </c>
      <c r="D16" s="97">
        <v>626000</v>
      </c>
      <c r="E16" s="97">
        <v>2035000</v>
      </c>
      <c r="F16" s="186">
        <v>6.19</v>
      </c>
      <c r="H16" s="14">
        <v>99.3</v>
      </c>
      <c r="I16" s="73">
        <v>0.1406</v>
      </c>
      <c r="J16" s="73">
        <v>1.01E-2</v>
      </c>
      <c r="K16" s="73">
        <v>0.13009999999999999</v>
      </c>
      <c r="L16" s="73">
        <v>7.0999999999999994E-2</v>
      </c>
      <c r="M16" s="73">
        <v>3.7200000000000004E-2</v>
      </c>
      <c r="N16" s="73">
        <v>8.9999999999999998E-4</v>
      </c>
      <c r="O16" s="73">
        <v>3.6299999999999999E-2</v>
      </c>
      <c r="P16" s="73">
        <v>0.38909999999999995</v>
      </c>
      <c r="Q16" s="107">
        <v>6.7000000000000002E-3</v>
      </c>
      <c r="R16" s="107"/>
      <c r="S16" s="107">
        <f>L16*AC$9</f>
        <v>5.6799999999999996E-2</v>
      </c>
      <c r="T16" s="107">
        <f t="shared" si="1"/>
        <v>1.8460000000000001E-2</v>
      </c>
      <c r="U16" s="107">
        <f>J16*AC$17</f>
        <v>1.470415970852001E-2</v>
      </c>
      <c r="V16" s="107">
        <f>K16*AC$5</f>
        <v>3.9029999999999995E-2</v>
      </c>
      <c r="W16" s="107">
        <f t="shared" si="0"/>
        <v>0.51809415970851991</v>
      </c>
      <c r="X16" s="47"/>
      <c r="Z16" s="47"/>
      <c r="AA16" s="154"/>
      <c r="AB16" s="85"/>
      <c r="AC16" s="43"/>
      <c r="AD16" s="43"/>
      <c r="AE16" s="43"/>
      <c r="AG16" s="85"/>
    </row>
    <row r="17" spans="2:41">
      <c r="B17" s="14" t="s">
        <v>89</v>
      </c>
      <c r="C17" s="53">
        <v>3783</v>
      </c>
      <c r="D17" s="97">
        <v>2592000</v>
      </c>
      <c r="E17" s="97">
        <v>10875000</v>
      </c>
      <c r="F17" s="186">
        <v>3.31</v>
      </c>
      <c r="H17" s="14">
        <v>99.4</v>
      </c>
      <c r="I17" s="73">
        <v>0.14429999999999998</v>
      </c>
      <c r="J17" s="73">
        <v>1.09E-2</v>
      </c>
      <c r="K17" s="73">
        <v>0.127</v>
      </c>
      <c r="L17" s="73">
        <v>7.0000000000000007E-2</v>
      </c>
      <c r="M17" s="73">
        <v>4.2599999999999999E-2</v>
      </c>
      <c r="N17" s="73">
        <v>8.9999999999999998E-4</v>
      </c>
      <c r="O17" s="73">
        <v>4.1700000000000001E-2</v>
      </c>
      <c r="P17" s="73">
        <v>0.39479999999999998</v>
      </c>
      <c r="Q17" s="107">
        <v>6.7999999999999996E-3</v>
      </c>
      <c r="R17" s="107"/>
      <c r="S17" s="107">
        <f>L17*AC$9</f>
        <v>5.6000000000000008E-2</v>
      </c>
      <c r="T17" s="107">
        <f t="shared" si="1"/>
        <v>1.8200000000000001E-2</v>
      </c>
      <c r="U17" s="107">
        <f>J17*AC$17</f>
        <v>1.5868845626026546E-2</v>
      </c>
      <c r="V17" s="107">
        <f>K17*AC$5</f>
        <v>3.8100000000000002E-2</v>
      </c>
      <c r="W17" s="107">
        <f t="shared" si="0"/>
        <v>0.52296884562602652</v>
      </c>
      <c r="X17" s="47"/>
      <c r="Z17" s="230" t="s">
        <v>436</v>
      </c>
      <c r="AA17" s="231">
        <f>'Bozio et al. (2020)'!L6</f>
        <v>4.0878614121014847</v>
      </c>
      <c r="AB17" s="231">
        <f>'Bozio et al. (2020)'!L6</f>
        <v>4.0878614121014847</v>
      </c>
      <c r="AC17" s="231">
        <f>'Bozio et al. (2020)'!L7</f>
        <v>1.4558573968831694</v>
      </c>
      <c r="AD17" s="231">
        <f>'Bozio et al. (2020)'!L8</f>
        <v>1.223898079536192</v>
      </c>
      <c r="AE17" s="231">
        <f>'Bozio et al. (2020)'!L9</f>
        <v>0.88039752283655248</v>
      </c>
      <c r="AG17" s="201" t="s">
        <v>392</v>
      </c>
      <c r="AL17" t="s">
        <v>472</v>
      </c>
      <c r="AM17" s="251">
        <f>AM15-AM13</f>
        <v>1.7665199962436873E-2</v>
      </c>
      <c r="AN17" s="251">
        <f>AN15-AN13</f>
        <v>4.3338767375858178E-2</v>
      </c>
    </row>
    <row r="18" spans="2:41">
      <c r="B18" s="14" t="s">
        <v>90</v>
      </c>
      <c r="C18" s="53">
        <v>378</v>
      </c>
      <c r="D18" s="97">
        <v>14876000</v>
      </c>
      <c r="E18" s="97">
        <v>64768000</v>
      </c>
      <c r="F18" s="186">
        <v>1.97</v>
      </c>
      <c r="H18" s="14">
        <v>99.5</v>
      </c>
      <c r="I18" s="73">
        <v>0.14829999999999999</v>
      </c>
      <c r="J18" s="73">
        <v>1.1000000000000001E-2</v>
      </c>
      <c r="K18" s="73">
        <v>0.12470000000000001</v>
      </c>
      <c r="L18" s="73">
        <v>6.93E-2</v>
      </c>
      <c r="M18" s="73">
        <v>4.7400000000000005E-2</v>
      </c>
      <c r="N18" s="73">
        <v>1.1000000000000001E-3</v>
      </c>
      <c r="O18" s="73">
        <v>4.6300000000000001E-2</v>
      </c>
      <c r="P18" s="73">
        <v>0.4007</v>
      </c>
      <c r="Q18" s="107">
        <v>7.3000000000000001E-3</v>
      </c>
      <c r="R18" s="107"/>
      <c r="S18" s="107">
        <f>L18*AC$9</f>
        <v>5.5440000000000003E-2</v>
      </c>
      <c r="T18" s="107">
        <f t="shared" si="1"/>
        <v>1.8017999999999999E-2</v>
      </c>
      <c r="U18" s="107">
        <f>J18*AC$17</f>
        <v>1.6014431365714864E-2</v>
      </c>
      <c r="V18" s="107">
        <f>K18*AC$5</f>
        <v>3.7409999999999999E-2</v>
      </c>
      <c r="W18" s="107">
        <f t="shared" si="0"/>
        <v>0.52758243136571481</v>
      </c>
      <c r="X18" s="47"/>
      <c r="AD18" s="186"/>
      <c r="AE18" s="43"/>
    </row>
    <row r="19" spans="2:41">
      <c r="B19" s="14" t="s">
        <v>91</v>
      </c>
      <c r="C19" s="53">
        <v>75</v>
      </c>
      <c r="D19" s="97">
        <v>61540000</v>
      </c>
      <c r="E19" s="97">
        <v>217289000</v>
      </c>
      <c r="F19" s="186">
        <v>1.31</v>
      </c>
      <c r="H19" s="14">
        <v>99.6</v>
      </c>
      <c r="I19" s="73">
        <v>0.15229999999999999</v>
      </c>
      <c r="J19" s="73">
        <v>1.18E-2</v>
      </c>
      <c r="K19" s="73">
        <v>0.12130000000000001</v>
      </c>
      <c r="L19" s="73">
        <v>6.8400000000000002E-2</v>
      </c>
      <c r="M19" s="73">
        <v>5.4100000000000002E-2</v>
      </c>
      <c r="N19" s="73">
        <v>1.4000000000000002E-3</v>
      </c>
      <c r="O19" s="73">
        <v>5.2699999999999997E-2</v>
      </c>
      <c r="P19" s="73">
        <v>0.4078</v>
      </c>
      <c r="Q19" s="107">
        <v>8.3999999999999995E-3</v>
      </c>
      <c r="R19" s="107"/>
      <c r="S19" s="107">
        <f>L19*AC$9</f>
        <v>5.4720000000000005E-2</v>
      </c>
      <c r="T19" s="107">
        <f t="shared" si="1"/>
        <v>1.7784000000000001E-2</v>
      </c>
      <c r="U19" s="107">
        <f>J19*AC$17</f>
        <v>1.7179117283221398E-2</v>
      </c>
      <c r="V19" s="107">
        <f>K19*AC$5</f>
        <v>3.6389999999999999E-2</v>
      </c>
      <c r="W19" s="107">
        <f t="shared" si="0"/>
        <v>0.5338731172832214</v>
      </c>
      <c r="X19" s="47"/>
      <c r="AA19" s="225"/>
      <c r="AB19" s="225"/>
      <c r="AD19" s="186"/>
      <c r="AE19" s="43"/>
      <c r="AG19" s="211"/>
      <c r="AI19" s="2" t="s">
        <v>447</v>
      </c>
      <c r="AM19" s="90">
        <f>(SUMPRODUCT(I4:I8, Q4:Q8) + SUMPRODUCT(J4:J8, Q4:Q8) + SUMPRODUCT(L4:L8, Q4:Q8)+ SUMPRODUCT(M4:M8, Q4:Q8))/SUM(Q4:Q8)</f>
        <v>0.14925338894681964</v>
      </c>
      <c r="AN19" s="90">
        <f>(SUMPRODUCT(I9:I39, Q9:Q39)+AVERAGE(I40:I45)*Q40 + SUMPRODUCT(J9:J39, Q9:Q39)+AVERAGE(J40:J45)*Q40 + SUMPRODUCT(L9:L39, Q9:Q39)+AVERAGE(L40:L45)*Q40 + SUMPRODUCT(M9:M39, Q9:Q39)+AVERAGE(M40:M45)*Q40)/SUM(Q9:Q40)</f>
        <v>0.24100844262295082</v>
      </c>
    </row>
    <row r="20" spans="2:41">
      <c r="B20" s="47"/>
      <c r="C20" s="47"/>
      <c r="D20" s="43"/>
      <c r="E20" s="43"/>
      <c r="F20" s="43"/>
      <c r="H20" s="14">
        <v>99.7</v>
      </c>
      <c r="I20" s="73">
        <v>0.15640000000000001</v>
      </c>
      <c r="J20" s="73">
        <v>1.21E-2</v>
      </c>
      <c r="K20" s="73">
        <v>0.1153</v>
      </c>
      <c r="L20" s="73">
        <v>6.6600000000000006E-2</v>
      </c>
      <c r="M20" s="73">
        <v>6.4299999999999996E-2</v>
      </c>
      <c r="N20" s="73">
        <v>1.5E-3</v>
      </c>
      <c r="O20" s="73">
        <v>6.2800000000000009E-2</v>
      </c>
      <c r="P20" s="73">
        <v>0.41470000000000001</v>
      </c>
      <c r="Q20" s="107">
        <v>1.0500000000000001E-2</v>
      </c>
      <c r="R20" s="107"/>
      <c r="S20" s="107">
        <f>L20*AC$9</f>
        <v>5.3280000000000008E-2</v>
      </c>
      <c r="T20" s="107">
        <f t="shared" si="1"/>
        <v>1.7316000000000002E-2</v>
      </c>
      <c r="U20" s="107">
        <f>J20*AC$17</f>
        <v>1.7615874502286348E-2</v>
      </c>
      <c r="V20" s="107">
        <f>K20*AC$5</f>
        <v>3.4589999999999996E-2</v>
      </c>
      <c r="W20" s="107">
        <f t="shared" si="0"/>
        <v>0.53750187450228637</v>
      </c>
      <c r="X20" s="47"/>
      <c r="AA20" s="63"/>
      <c r="AB20" s="63"/>
      <c r="AD20" s="46"/>
      <c r="AE20" s="46"/>
      <c r="AI20" s="246" t="s">
        <v>439</v>
      </c>
      <c r="AM20" s="90">
        <f>(SUMPRODUCT(I4:I8, Q4:Q8) + SUMPRODUCT(J4:J8, Q4:Q8) + SUMPRODUCT(L4:L8, Q4:Q8)+ SUMPRODUCT(M4:M8, Q4:Q8) + SUMPRODUCT(U4:U8, Q4:Q8))/SUM(Q4:Q8)</f>
        <v>0.1588148925270958</v>
      </c>
      <c r="AN20" s="90">
        <f>(SUMPRODUCT(I9:I39, Q9:Q39)+AVERAGE(I40:I45)*Q40 + SUMPRODUCT(J9:J39, Q9:Q39)+AVERAGE(J40:J45)*Q40 + SUMPRODUCT(L9:L39, Q9:Q39)+AVERAGE(L40:L45)*Q40 + SUMPRODUCT(M9:M39, Q9:Q39)+AVERAGE(M40:M45)*Q40 + SUMPRODUCT(U9:U39, Q9:Q39)+AVERAGE(U40:U45)*Q40)/SUM(Q9:Q40)</f>
        <v>0.25837152137401442</v>
      </c>
      <c r="AO20" s="7"/>
    </row>
    <row r="21" spans="2:41">
      <c r="B21" s="2" t="s">
        <v>99</v>
      </c>
      <c r="C21" s="47"/>
      <c r="D21" s="43"/>
      <c r="E21" s="43"/>
      <c r="F21" s="43"/>
      <c r="H21" s="14">
        <v>99.8</v>
      </c>
      <c r="I21" s="73">
        <v>0.16120000000000001</v>
      </c>
      <c r="J21" s="73">
        <v>1.34E-2</v>
      </c>
      <c r="K21" s="73">
        <v>0.10710000000000001</v>
      </c>
      <c r="L21" s="73">
        <v>6.5299999999999997E-2</v>
      </c>
      <c r="M21" s="73">
        <v>7.7499999999999999E-2</v>
      </c>
      <c r="N21" s="73">
        <v>2E-3</v>
      </c>
      <c r="O21" s="73">
        <v>7.5499999999999998E-2</v>
      </c>
      <c r="P21" s="73">
        <v>0.42450000000000004</v>
      </c>
      <c r="Q21" s="107">
        <v>1.41E-2</v>
      </c>
      <c r="R21" s="107"/>
      <c r="S21" s="107">
        <f>L21*AC$9</f>
        <v>5.2240000000000002E-2</v>
      </c>
      <c r="T21" s="107">
        <f t="shared" si="1"/>
        <v>1.6978E-2</v>
      </c>
      <c r="U21" s="107">
        <f>J21*AC$17</f>
        <v>1.9508489118234471E-2</v>
      </c>
      <c r="V21" s="107">
        <f>K21*AC$5</f>
        <v>3.2130000000000006E-2</v>
      </c>
      <c r="W21" s="107">
        <f t="shared" si="0"/>
        <v>0.54535648911823453</v>
      </c>
      <c r="X21" s="47"/>
      <c r="AA21" s="63"/>
      <c r="AB21" s="63"/>
      <c r="AI21" s="245" t="s">
        <v>438</v>
      </c>
      <c r="AM21" s="90">
        <f>(SUMPRODUCT(I4:I8, Q4:Q8) + SUMPRODUCT(J4:J8, Q4:Q8) + SUMPRODUCT(L4:L8, Q4:Q8)+ SUMPRODUCT(O4:O8, Q4:Q8) + SUMPRODUCT(U4:U8, Q4:Q8))/SUM(Q4:Q8)</f>
        <v>0.15873407917985907</v>
      </c>
      <c r="AN21" s="90">
        <f>(SUMPRODUCT(I9:I39, Q9:Q39)+AVERAGE(I40:I45)*Q40 + SUMPRODUCT(J9:J39, Q9:Q39)+AVERAGE(J40:J45)*Q40 + SUMPRODUCT(L9:L39, Q9:Q39)+AVERAGE(L40:L45)*Q40 + SUMPRODUCT(O9:O39, Q9:Q39)+AVERAGE(O40:O45)*Q40 + SUMPRODUCT(U9:U39, Q9:Q39)+AVERAGE(U40:U45)*Q40)/SUM(Q9:Q40)</f>
        <v>0.25339413066363192</v>
      </c>
    </row>
    <row r="22" spans="2:41">
      <c r="H22" s="14">
        <v>99.9</v>
      </c>
      <c r="I22" s="73">
        <v>0.16300000000000001</v>
      </c>
      <c r="J22" s="73">
        <v>1.3500000000000002E-2</v>
      </c>
      <c r="K22" s="73">
        <v>9.9499999999999991E-2</v>
      </c>
      <c r="L22" s="73">
        <v>6.1500000000000006E-2</v>
      </c>
      <c r="M22" s="73">
        <v>9.9000000000000005E-2</v>
      </c>
      <c r="N22" s="73">
        <v>2.8000000000000004E-3</v>
      </c>
      <c r="O22" s="73">
        <v>9.6099999999999991E-2</v>
      </c>
      <c r="P22" s="73">
        <v>0.4365</v>
      </c>
      <c r="Q22" s="107">
        <v>1.8E-3</v>
      </c>
      <c r="R22" s="107"/>
      <c r="S22" s="107">
        <f>L22*AD$9</f>
        <v>2.4600000000000004E-2</v>
      </c>
      <c r="T22" s="107">
        <f t="shared" si="1"/>
        <v>1.5990000000000001E-2</v>
      </c>
      <c r="U22" s="107">
        <f>J22*AD$17</f>
        <v>1.6522624073738595E-2</v>
      </c>
      <c r="V22" s="107">
        <f>K22*AD$5</f>
        <v>2.4874999999999998E-2</v>
      </c>
      <c r="W22" s="107">
        <f t="shared" si="0"/>
        <v>0.51848762407373861</v>
      </c>
      <c r="X22" s="47"/>
      <c r="Y22" s="2"/>
      <c r="AM22" s="199"/>
      <c r="AN22" s="199"/>
    </row>
    <row r="23" spans="2:41">
      <c r="H23" s="14">
        <v>99.91</v>
      </c>
      <c r="I23" s="73">
        <v>0.16510000000000002</v>
      </c>
      <c r="J23" s="73">
        <v>1.44E-2</v>
      </c>
      <c r="K23" s="73">
        <v>9.2200000000000004E-2</v>
      </c>
      <c r="L23" s="73">
        <v>5.91E-2</v>
      </c>
      <c r="M23" s="73">
        <v>0.1167</v>
      </c>
      <c r="N23" s="73">
        <v>3.4999999999999996E-3</v>
      </c>
      <c r="O23" s="73">
        <v>0.11320000000000001</v>
      </c>
      <c r="P23" s="73">
        <v>0.44750000000000001</v>
      </c>
      <c r="Q23" s="107">
        <v>2E-3</v>
      </c>
      <c r="R23" s="107"/>
      <c r="S23" s="107">
        <f>L23*AD$9</f>
        <v>2.3640000000000001E-2</v>
      </c>
      <c r="T23" s="107">
        <f t="shared" si="1"/>
        <v>1.5366000000000001E-2</v>
      </c>
      <c r="U23" s="107">
        <f>J23*AD$17</f>
        <v>1.7624132345321165E-2</v>
      </c>
      <c r="V23" s="107">
        <f>K23*AD$5</f>
        <v>2.3050000000000001E-2</v>
      </c>
      <c r="W23" s="107">
        <f t="shared" si="0"/>
        <v>0.52718013234532113</v>
      </c>
      <c r="X23" s="47"/>
      <c r="AI23" t="s">
        <v>448</v>
      </c>
      <c r="AM23" s="214">
        <f>'Insee (2024)'!U78</f>
        <v>0.17625842716112902</v>
      </c>
      <c r="AN23" s="214">
        <f>'Insee (2024)'!V78</f>
        <v>0.30169743464103449</v>
      </c>
    </row>
    <row r="24" spans="2:41">
      <c r="H24" s="14">
        <v>99.92</v>
      </c>
      <c r="I24" s="73">
        <v>0.1628</v>
      </c>
      <c r="J24" s="73">
        <v>1.38E-2</v>
      </c>
      <c r="K24" s="73">
        <v>9.2399999999999996E-2</v>
      </c>
      <c r="L24" s="73">
        <v>5.7500000000000002E-2</v>
      </c>
      <c r="M24" s="73">
        <v>0.1207</v>
      </c>
      <c r="N24" s="73">
        <v>3.5999999999999999E-3</v>
      </c>
      <c r="O24" s="73">
        <v>0.11710000000000001</v>
      </c>
      <c r="P24" s="73">
        <v>0.44719999999999999</v>
      </c>
      <c r="Q24" s="107">
        <v>2.0999999999999999E-3</v>
      </c>
      <c r="R24" s="107"/>
      <c r="S24" s="107">
        <f>L24*AD$9</f>
        <v>2.3000000000000003E-2</v>
      </c>
      <c r="T24" s="107">
        <f t="shared" si="1"/>
        <v>1.4950000000000001E-2</v>
      </c>
      <c r="U24" s="107">
        <f>J24*AD$17</f>
        <v>1.6889793497599448E-2</v>
      </c>
      <c r="V24" s="107">
        <f>K24*AD$5</f>
        <v>2.3099999999999999E-2</v>
      </c>
      <c r="W24" s="107">
        <f t="shared" si="0"/>
        <v>0.52513979349759943</v>
      </c>
      <c r="X24" s="47"/>
      <c r="Y24" s="47"/>
      <c r="AL24" s="7"/>
      <c r="AM24" s="251">
        <f>AM23-AM20</f>
        <v>1.7443534634033225E-2</v>
      </c>
      <c r="AN24" s="251">
        <f>AN23-AN20</f>
        <v>4.3325913267020066E-2</v>
      </c>
    </row>
    <row r="25" spans="2:41">
      <c r="H25" s="14">
        <v>99.93</v>
      </c>
      <c r="I25" s="73">
        <v>0.15609999999999999</v>
      </c>
      <c r="J25" s="73">
        <v>1.44E-2</v>
      </c>
      <c r="K25" s="73">
        <v>8.5699999999999998E-2</v>
      </c>
      <c r="L25" s="73">
        <v>5.5099999999999996E-2</v>
      </c>
      <c r="M25" s="73">
        <v>0.12939999999999999</v>
      </c>
      <c r="N25" s="73">
        <v>4.1999999999999997E-3</v>
      </c>
      <c r="O25" s="73">
        <v>0.12520000000000001</v>
      </c>
      <c r="P25" s="73">
        <v>0.44060000000000005</v>
      </c>
      <c r="Q25" s="107">
        <v>2.3E-3</v>
      </c>
      <c r="R25" s="107"/>
      <c r="S25" s="107">
        <f>L25*AD$9</f>
        <v>2.2040000000000001E-2</v>
      </c>
      <c r="T25" s="107">
        <f t="shared" si="1"/>
        <v>1.4326E-2</v>
      </c>
      <c r="U25" s="107">
        <f>J25*AD$17</f>
        <v>1.7624132345321165E-2</v>
      </c>
      <c r="V25" s="107">
        <f>K25*AD$5</f>
        <v>2.1425E-2</v>
      </c>
      <c r="W25" s="107">
        <f t="shared" si="0"/>
        <v>0.51601513234532126</v>
      </c>
      <c r="X25" s="47"/>
      <c r="Y25" s="47"/>
    </row>
    <row r="26" spans="2:41">
      <c r="H26" s="14">
        <v>99.94</v>
      </c>
      <c r="I26" s="73">
        <v>0.15460000000000002</v>
      </c>
      <c r="J26" s="73">
        <v>1.4800000000000001E-2</v>
      </c>
      <c r="K26" s="73">
        <v>8.1900000000000001E-2</v>
      </c>
      <c r="L26" s="73">
        <v>5.5099999999999996E-2</v>
      </c>
      <c r="M26" s="73">
        <v>0.13699999999999998</v>
      </c>
      <c r="N26" s="73">
        <v>4.6999999999999993E-3</v>
      </c>
      <c r="O26" s="73">
        <v>0.1323</v>
      </c>
      <c r="P26" s="73">
        <v>0.44350000000000001</v>
      </c>
      <c r="Q26" s="107">
        <v>2.5999999999999999E-3</v>
      </c>
      <c r="R26" s="107"/>
      <c r="S26" s="107">
        <f>L26*AD$9</f>
        <v>2.2040000000000001E-2</v>
      </c>
      <c r="T26" s="107">
        <f t="shared" si="1"/>
        <v>1.4326E-2</v>
      </c>
      <c r="U26" s="107">
        <f>J26*AD$17</f>
        <v>1.8113691577135643E-2</v>
      </c>
      <c r="V26" s="107">
        <f>K26*AD$5</f>
        <v>2.0475E-2</v>
      </c>
      <c r="W26" s="107">
        <f t="shared" si="0"/>
        <v>0.51845469157713564</v>
      </c>
      <c r="X26" s="47"/>
      <c r="Y26" s="47"/>
    </row>
    <row r="27" spans="2:41">
      <c r="H27" s="14">
        <v>99.95</v>
      </c>
      <c r="I27" s="73">
        <v>0.15439999999999998</v>
      </c>
      <c r="J27" s="73">
        <v>1.5100000000000001E-2</v>
      </c>
      <c r="K27" s="73">
        <v>7.6200000000000004E-2</v>
      </c>
      <c r="L27" s="73">
        <v>5.3399999999999996E-2</v>
      </c>
      <c r="M27" s="73">
        <v>0.1406</v>
      </c>
      <c r="N27" s="73">
        <v>4.7999999999999996E-3</v>
      </c>
      <c r="O27" s="73">
        <v>0.13589999999999999</v>
      </c>
      <c r="P27" s="73">
        <v>0.43979999999999997</v>
      </c>
      <c r="Q27" s="107">
        <v>2.8999999999999998E-3</v>
      </c>
      <c r="R27" s="107"/>
      <c r="S27" s="107">
        <f>L27*AD$9</f>
        <v>2.1360000000000001E-2</v>
      </c>
      <c r="T27" s="107">
        <f t="shared" si="1"/>
        <v>1.3883999999999999E-2</v>
      </c>
      <c r="U27" s="107">
        <f>J27*AD$17</f>
        <v>1.8480861000996499E-2</v>
      </c>
      <c r="V27" s="107">
        <f>K27*AD$5</f>
        <v>1.9050000000000001E-2</v>
      </c>
      <c r="W27" s="107">
        <f t="shared" si="0"/>
        <v>0.51257486100099647</v>
      </c>
      <c r="X27" s="47"/>
      <c r="Y27" s="47"/>
    </row>
    <row r="28" spans="2:41">
      <c r="H28" s="14">
        <v>99.96</v>
      </c>
      <c r="I28" s="73">
        <v>0.15210000000000001</v>
      </c>
      <c r="J28" s="73">
        <v>1.4800000000000001E-2</v>
      </c>
      <c r="K28" s="73">
        <v>7.3899999999999993E-2</v>
      </c>
      <c r="L28" s="73">
        <v>5.21E-2</v>
      </c>
      <c r="M28" s="73">
        <v>0.14880000000000002</v>
      </c>
      <c r="N28" s="73">
        <v>4.6999999999999993E-3</v>
      </c>
      <c r="O28" s="73">
        <v>0.14410000000000001</v>
      </c>
      <c r="P28" s="73">
        <v>0.44159999999999999</v>
      </c>
      <c r="Q28" s="107">
        <v>3.3999999999999998E-3</v>
      </c>
      <c r="R28" s="107"/>
      <c r="S28" s="107">
        <f>L28*AD$9</f>
        <v>2.0840000000000001E-2</v>
      </c>
      <c r="T28" s="107">
        <f t="shared" si="1"/>
        <v>1.3546000000000001E-2</v>
      </c>
      <c r="U28" s="107">
        <f>J28*AD$17</f>
        <v>1.8113691577135643E-2</v>
      </c>
      <c r="V28" s="107">
        <f>K28*AD$5</f>
        <v>1.8474999999999998E-2</v>
      </c>
      <c r="W28" s="107">
        <f t="shared" si="0"/>
        <v>0.51257469157713564</v>
      </c>
      <c r="X28" s="47"/>
      <c r="Y28" s="47"/>
    </row>
    <row r="29" spans="2:41">
      <c r="H29" s="14">
        <v>99.97</v>
      </c>
      <c r="I29" s="73">
        <v>0.1462</v>
      </c>
      <c r="J29" s="73">
        <v>1.3899999999999999E-2</v>
      </c>
      <c r="K29" s="73">
        <v>6.7400000000000002E-2</v>
      </c>
      <c r="L29" s="73">
        <v>4.82E-2</v>
      </c>
      <c r="M29" s="73">
        <v>0.1573</v>
      </c>
      <c r="N29" s="73">
        <v>7.0999999999999995E-3</v>
      </c>
      <c r="O29" s="73">
        <v>0.15010000000000001</v>
      </c>
      <c r="P29" s="73">
        <v>0.43290000000000001</v>
      </c>
      <c r="Q29" s="107">
        <v>4.3E-3</v>
      </c>
      <c r="R29" s="107"/>
      <c r="S29" s="107">
        <f>L29*AD$9</f>
        <v>1.9280000000000002E-2</v>
      </c>
      <c r="T29" s="107">
        <f t="shared" si="1"/>
        <v>1.2532E-2</v>
      </c>
      <c r="U29" s="107">
        <f>J29*AD$17</f>
        <v>1.7012183305553069E-2</v>
      </c>
      <c r="V29" s="107">
        <f>K29*AD$5</f>
        <v>1.685E-2</v>
      </c>
      <c r="W29" s="107">
        <f t="shared" si="0"/>
        <v>0.49857418330555309</v>
      </c>
      <c r="X29" s="47"/>
      <c r="Y29" s="47"/>
    </row>
    <row r="30" spans="2:41">
      <c r="H30" s="14">
        <v>99.98</v>
      </c>
      <c r="I30" s="73">
        <v>0.1371</v>
      </c>
      <c r="J30" s="73">
        <v>1.52E-2</v>
      </c>
      <c r="K30" s="73">
        <v>5.8099999999999999E-2</v>
      </c>
      <c r="L30" s="73">
        <v>4.5599999999999995E-2</v>
      </c>
      <c r="M30" s="73">
        <v>0.17079999999999998</v>
      </c>
      <c r="N30" s="73">
        <v>7.7000000000000002E-3</v>
      </c>
      <c r="O30" s="73">
        <v>0.16300000000000001</v>
      </c>
      <c r="P30" s="73">
        <v>0.42680000000000001</v>
      </c>
      <c r="Q30" s="107">
        <v>5.8999999999999999E-3</v>
      </c>
      <c r="R30" s="107"/>
      <c r="S30" s="107">
        <f>L30*AD$9</f>
        <v>1.8239999999999999E-2</v>
      </c>
      <c r="T30" s="107">
        <f t="shared" si="1"/>
        <v>1.1855999999999998E-2</v>
      </c>
      <c r="U30" s="107">
        <f>J30*AD$17</f>
        <v>1.8603250808950117E-2</v>
      </c>
      <c r="V30" s="107">
        <f>K30*AD$5</f>
        <v>1.4525E-2</v>
      </c>
      <c r="W30" s="107">
        <f t="shared" si="0"/>
        <v>0.49002425080895018</v>
      </c>
      <c r="X30" s="47"/>
      <c r="Y30" s="47"/>
    </row>
    <row r="31" spans="2:41">
      <c r="H31" s="14">
        <v>99.99</v>
      </c>
      <c r="I31" s="73">
        <v>0.1241</v>
      </c>
      <c r="J31" s="73">
        <v>1.41E-2</v>
      </c>
      <c r="K31" s="73">
        <v>4.6300000000000001E-2</v>
      </c>
      <c r="L31" s="73">
        <v>4.2099999999999999E-2</v>
      </c>
      <c r="M31" s="73">
        <v>0.19020000000000001</v>
      </c>
      <c r="N31" s="73">
        <v>9.300000000000001E-3</v>
      </c>
      <c r="O31" s="73">
        <v>0.18090000000000001</v>
      </c>
      <c r="P31" s="73">
        <v>0.4168</v>
      </c>
      <c r="Q31" s="107">
        <v>8.0000000000000004E-4</v>
      </c>
      <c r="R31" s="107"/>
      <c r="S31" s="107">
        <f>L31*AE$9</f>
        <v>1.2629999999999999E-2</v>
      </c>
      <c r="T31" s="107">
        <f t="shared" si="1"/>
        <v>1.0945999999999999E-2</v>
      </c>
      <c r="U31" s="107">
        <f>J31*AD$17</f>
        <v>1.7256962921460308E-2</v>
      </c>
      <c r="V31" s="107">
        <f>K31*AE$5</f>
        <v>6.9449999999999998E-3</v>
      </c>
      <c r="W31" s="107">
        <f t="shared" si="0"/>
        <v>0.46457796292146025</v>
      </c>
      <c r="X31" s="47"/>
      <c r="Y31" s="47"/>
    </row>
    <row r="32" spans="2:41">
      <c r="H32" s="14">
        <v>99.991</v>
      </c>
      <c r="I32" s="73">
        <v>0.1067</v>
      </c>
      <c r="J32" s="73">
        <v>1.43E-2</v>
      </c>
      <c r="K32" s="73">
        <v>3.6299999999999999E-2</v>
      </c>
      <c r="L32" s="73">
        <v>3.49E-2</v>
      </c>
      <c r="M32" s="73">
        <v>0.21710000000000002</v>
      </c>
      <c r="N32" s="73">
        <v>1.3300000000000001E-2</v>
      </c>
      <c r="O32" s="73">
        <v>0.20379999999999998</v>
      </c>
      <c r="P32" s="73">
        <v>0.4093</v>
      </c>
      <c r="Q32" s="107">
        <v>8.0000000000000004E-4</v>
      </c>
      <c r="R32" s="107"/>
      <c r="S32" s="107">
        <f>L32*AE$9</f>
        <v>1.047E-2</v>
      </c>
      <c r="T32" s="107">
        <f t="shared" si="1"/>
        <v>9.0740000000000005E-3</v>
      </c>
      <c r="U32" s="107">
        <f>J32*AD$17</f>
        <v>1.7501742537367547E-2</v>
      </c>
      <c r="V32" s="107">
        <f>K32*AE$5</f>
        <v>5.4449999999999993E-3</v>
      </c>
      <c r="W32" s="107">
        <f t="shared" si="0"/>
        <v>0.45179074253736751</v>
      </c>
      <c r="X32" s="47"/>
      <c r="Y32" s="47"/>
    </row>
    <row r="33" spans="8:33">
      <c r="H33" s="14">
        <v>99.992000000000004</v>
      </c>
      <c r="I33" s="73">
        <v>0.12230000000000001</v>
      </c>
      <c r="J33" s="73">
        <v>1.26E-2</v>
      </c>
      <c r="K33" s="73">
        <v>3.9100000000000003E-2</v>
      </c>
      <c r="L33" s="73">
        <v>3.56E-2</v>
      </c>
      <c r="M33" s="73">
        <v>0.19850000000000001</v>
      </c>
      <c r="N33" s="73">
        <v>1.06E-2</v>
      </c>
      <c r="O33" s="73">
        <v>0.18789999999999998</v>
      </c>
      <c r="P33" s="73">
        <v>0.40810000000000002</v>
      </c>
      <c r="Q33" s="107">
        <v>8.9999999999999998E-4</v>
      </c>
      <c r="R33" s="107"/>
      <c r="S33" s="107">
        <f>L33*AE$9</f>
        <v>1.068E-2</v>
      </c>
      <c r="T33" s="107">
        <f t="shared" si="1"/>
        <v>9.2560000000000003E-3</v>
      </c>
      <c r="U33" s="107">
        <f>J33*AD$17</f>
        <v>1.542111580215602E-2</v>
      </c>
      <c r="V33" s="107">
        <f>K33*AE$5</f>
        <v>5.8650000000000004E-3</v>
      </c>
      <c r="W33" s="107">
        <f t="shared" si="0"/>
        <v>0.44932211580215603</v>
      </c>
      <c r="X33" s="47"/>
      <c r="Y33" s="73"/>
    </row>
    <row r="34" spans="8:33">
      <c r="H34" s="14">
        <v>99.992999999999995</v>
      </c>
      <c r="I34" s="73">
        <v>0.1208</v>
      </c>
      <c r="J34" s="73">
        <v>1.4199999999999999E-2</v>
      </c>
      <c r="K34" s="73">
        <v>3.8800000000000001E-2</v>
      </c>
      <c r="L34" s="73">
        <v>4.2699999999999995E-2</v>
      </c>
      <c r="M34" s="73">
        <v>0.21350000000000002</v>
      </c>
      <c r="N34" s="73">
        <v>1.2800000000000001E-2</v>
      </c>
      <c r="O34" s="73">
        <v>0.20079999999999998</v>
      </c>
      <c r="P34" s="73">
        <v>0.43</v>
      </c>
      <c r="Q34" s="107">
        <v>1E-3</v>
      </c>
      <c r="R34" s="107"/>
      <c r="S34" s="107">
        <f>L34*AE$9</f>
        <v>1.2809999999999998E-2</v>
      </c>
      <c r="T34" s="107">
        <f t="shared" si="1"/>
        <v>1.1101999999999999E-2</v>
      </c>
      <c r="U34" s="107">
        <f>J34*AD$17</f>
        <v>1.7379352729413926E-2</v>
      </c>
      <c r="V34" s="107">
        <f>K34*AE$5</f>
        <v>5.8199999999999997E-3</v>
      </c>
      <c r="W34" s="107">
        <f t="shared" si="0"/>
        <v>0.47711135272941391</v>
      </c>
      <c r="X34" s="47"/>
      <c r="Y34" s="214"/>
    </row>
    <row r="35" spans="8:33">
      <c r="H35" s="14">
        <v>99.994</v>
      </c>
      <c r="I35" s="73">
        <v>0.1124</v>
      </c>
      <c r="J35" s="73">
        <v>1.2E-2</v>
      </c>
      <c r="K35" s="73">
        <v>3.5000000000000003E-2</v>
      </c>
      <c r="L35" s="73">
        <v>3.6799999999999999E-2</v>
      </c>
      <c r="M35" s="73">
        <v>0.2072</v>
      </c>
      <c r="N35" s="73">
        <v>1.5600000000000001E-2</v>
      </c>
      <c r="O35" s="73">
        <v>0.19159999999999999</v>
      </c>
      <c r="P35" s="73">
        <v>0.40350000000000003</v>
      </c>
      <c r="Q35" s="107">
        <v>1E-3</v>
      </c>
      <c r="R35" s="107"/>
      <c r="S35" s="107">
        <f>L35*AE$9</f>
        <v>1.1039999999999999E-2</v>
      </c>
      <c r="T35" s="107">
        <f t="shared" si="1"/>
        <v>9.5680000000000001E-3</v>
      </c>
      <c r="U35" s="107">
        <f>J35*AD$17</f>
        <v>1.4686776954434305E-2</v>
      </c>
      <c r="V35" s="107">
        <f>K35*AE$5</f>
        <v>5.2500000000000003E-3</v>
      </c>
      <c r="W35" s="107">
        <f t="shared" si="0"/>
        <v>0.44404477695443434</v>
      </c>
      <c r="X35" s="47"/>
      <c r="Y35" s="47"/>
    </row>
    <row r="36" spans="8:33">
      <c r="H36" s="14">
        <v>99.995000000000005</v>
      </c>
      <c r="I36" s="73">
        <v>9.5199999999999993E-2</v>
      </c>
      <c r="J36" s="73">
        <v>1.1699999999999999E-2</v>
      </c>
      <c r="K36" s="73">
        <v>3.1200000000000002E-2</v>
      </c>
      <c r="L36" s="73">
        <v>2.98E-2</v>
      </c>
      <c r="M36" s="73">
        <v>0.21820000000000001</v>
      </c>
      <c r="N36" s="73">
        <v>1.8799999999999997E-2</v>
      </c>
      <c r="O36" s="73">
        <v>0.19949999999999998</v>
      </c>
      <c r="P36" s="73">
        <v>0.3861</v>
      </c>
      <c r="Q36" s="107">
        <v>1.1999999999999999E-3</v>
      </c>
      <c r="R36" s="107"/>
      <c r="S36" s="107">
        <f>L36*AE$9</f>
        <v>8.94E-3</v>
      </c>
      <c r="T36" s="107">
        <f t="shared" si="1"/>
        <v>7.7480000000000005E-3</v>
      </c>
      <c r="U36" s="107">
        <f>J36*AD$17</f>
        <v>1.4319607530573444E-2</v>
      </c>
      <c r="V36" s="107">
        <f>K36*AE$5</f>
        <v>4.6800000000000001E-3</v>
      </c>
      <c r="W36" s="107">
        <f t="shared" si="0"/>
        <v>0.42178760753057343</v>
      </c>
      <c r="X36" s="47"/>
    </row>
    <row r="37" spans="8:33">
      <c r="H37" s="14">
        <v>99.995999999999995</v>
      </c>
      <c r="I37" s="73">
        <v>0.1067</v>
      </c>
      <c r="J37" s="73">
        <v>1.3000000000000001E-2</v>
      </c>
      <c r="K37" s="73">
        <v>3.0899999999999997E-2</v>
      </c>
      <c r="L37" s="73">
        <v>3.6299999999999999E-2</v>
      </c>
      <c r="M37" s="73">
        <v>0.2213</v>
      </c>
      <c r="N37" s="73">
        <v>1.8200000000000001E-2</v>
      </c>
      <c r="O37" s="73">
        <v>0.20300000000000001</v>
      </c>
      <c r="P37" s="73">
        <v>0.4083</v>
      </c>
      <c r="Q37" s="107">
        <v>1.4E-3</v>
      </c>
      <c r="R37" s="107"/>
      <c r="S37" s="107">
        <f>L37*AE$9</f>
        <v>1.0889999999999999E-2</v>
      </c>
      <c r="T37" s="107">
        <f t="shared" si="1"/>
        <v>9.4380000000000002E-3</v>
      </c>
      <c r="U37" s="107">
        <f>J37*AD$17</f>
        <v>1.5910675033970499E-2</v>
      </c>
      <c r="V37" s="107">
        <f>K37*AE$5</f>
        <v>4.6349999999999994E-3</v>
      </c>
      <c r="W37" s="107">
        <f t="shared" si="0"/>
        <v>0.44917367503397049</v>
      </c>
      <c r="X37" s="47"/>
      <c r="Y37" s="214"/>
    </row>
    <row r="38" spans="8:33">
      <c r="H38" s="14">
        <v>99.997</v>
      </c>
      <c r="I38" s="73">
        <v>9.4299999999999995E-2</v>
      </c>
      <c r="J38" s="73">
        <v>9.7000000000000003E-3</v>
      </c>
      <c r="K38" s="73">
        <v>2.7999999999999997E-2</v>
      </c>
      <c r="L38" s="73">
        <v>3.4300000000000004E-2</v>
      </c>
      <c r="M38" s="73">
        <v>0.22329999999999997</v>
      </c>
      <c r="N38" s="73">
        <v>2.2799999999999997E-2</v>
      </c>
      <c r="O38" s="73">
        <v>0.20050000000000001</v>
      </c>
      <c r="P38" s="73">
        <v>0.3896</v>
      </c>
      <c r="Q38" s="107">
        <v>1.6999999999999999E-3</v>
      </c>
      <c r="R38" s="107"/>
      <c r="S38" s="107">
        <f>L38*AE$9</f>
        <v>1.0290000000000001E-2</v>
      </c>
      <c r="T38" s="107">
        <f t="shared" si="1"/>
        <v>8.9180000000000006E-3</v>
      </c>
      <c r="U38" s="107">
        <f>J38*AD$17</f>
        <v>1.1871811371501062E-2</v>
      </c>
      <c r="V38" s="107">
        <f>K38*AE$5</f>
        <v>4.1999999999999997E-3</v>
      </c>
      <c r="W38" s="107">
        <f t="shared" si="0"/>
        <v>0.42487981137150105</v>
      </c>
      <c r="X38" s="47"/>
    </row>
    <row r="39" spans="8:33">
      <c r="H39" s="14">
        <v>99.998000000000005</v>
      </c>
      <c r="I39" s="73">
        <v>8.1099999999999992E-2</v>
      </c>
      <c r="J39" s="73">
        <v>1.0500000000000001E-2</v>
      </c>
      <c r="K39" s="73">
        <v>2.52E-2</v>
      </c>
      <c r="L39" s="73">
        <v>2.6000000000000002E-2</v>
      </c>
      <c r="M39" s="73">
        <v>0.23730000000000001</v>
      </c>
      <c r="N39" s="73">
        <v>2.64E-2</v>
      </c>
      <c r="O39" s="73">
        <v>0.21079999999999999</v>
      </c>
      <c r="P39" s="73">
        <v>0.38009999999999999</v>
      </c>
      <c r="Q39" s="107">
        <v>2.3E-3</v>
      </c>
      <c r="R39" s="107"/>
      <c r="S39" s="107">
        <f>L39*AE$9</f>
        <v>7.8000000000000005E-3</v>
      </c>
      <c r="T39" s="107">
        <f t="shared" si="1"/>
        <v>6.7600000000000013E-3</v>
      </c>
      <c r="U39" s="107">
        <f>J39*AD$17</f>
        <v>1.2850929835130018E-2</v>
      </c>
      <c r="V39" s="107">
        <f>K39*AE$5</f>
        <v>3.7799999999999999E-3</v>
      </c>
      <c r="W39" s="107">
        <f t="shared" si="0"/>
        <v>0.41129092983513005</v>
      </c>
      <c r="X39" s="47"/>
    </row>
    <row r="40" spans="8:33">
      <c r="H40" s="14">
        <v>99.998999999999995</v>
      </c>
      <c r="I40" s="73">
        <v>7.1199999999999999E-2</v>
      </c>
      <c r="J40" s="73">
        <v>8.6E-3</v>
      </c>
      <c r="K40" s="73">
        <v>1.5300000000000001E-2</v>
      </c>
      <c r="L40" s="73">
        <v>2.5600000000000001E-2</v>
      </c>
      <c r="M40" s="73">
        <v>0.23960000000000001</v>
      </c>
      <c r="N40" s="73">
        <v>4.0899999999999999E-2</v>
      </c>
      <c r="O40" s="73">
        <v>0.19870000000000002</v>
      </c>
      <c r="P40" s="73">
        <v>0.3604</v>
      </c>
      <c r="Q40" s="181">
        <v>8.8000000000000005E-3</v>
      </c>
      <c r="R40" s="181"/>
      <c r="S40" s="107">
        <f>L40*AE$9</f>
        <v>7.6800000000000002E-3</v>
      </c>
      <c r="T40" s="107">
        <f t="shared" si="1"/>
        <v>6.6560000000000005E-3</v>
      </c>
      <c r="U40" s="107">
        <f>J40*AD$17</f>
        <v>1.0525523484011251E-2</v>
      </c>
      <c r="V40" s="107">
        <f>K40*AE$5</f>
        <v>2.2950000000000002E-3</v>
      </c>
      <c r="W40" s="107">
        <f t="shared" si="0"/>
        <v>0.38755652348401126</v>
      </c>
      <c r="X40" s="47"/>
    </row>
    <row r="41" spans="8:33">
      <c r="H41" s="14">
        <v>99.999200000000002</v>
      </c>
      <c r="I41" s="73">
        <v>4.87E-2</v>
      </c>
      <c r="J41" s="73">
        <v>9.7000000000000003E-3</v>
      </c>
      <c r="K41" s="73">
        <v>1.1000000000000001E-2</v>
      </c>
      <c r="L41" s="73">
        <v>1.8799999999999997E-2</v>
      </c>
      <c r="M41" s="73">
        <v>0.2293</v>
      </c>
      <c r="N41" s="73">
        <v>6.7799999999999999E-2</v>
      </c>
      <c r="O41" s="73">
        <v>0.16140000000000002</v>
      </c>
      <c r="P41" s="73">
        <v>0.31759999999999999</v>
      </c>
      <c r="Q41" s="181"/>
      <c r="R41" s="181"/>
      <c r="S41" s="107">
        <f>L41*AE$9</f>
        <v>5.6399999999999992E-3</v>
      </c>
      <c r="T41" s="107">
        <f t="shared" si="1"/>
        <v>4.8879999999999991E-3</v>
      </c>
      <c r="U41" s="107">
        <f>J41*AD$17</f>
        <v>1.1871811371501062E-2</v>
      </c>
      <c r="V41" s="107">
        <f>K41*AE$5</f>
        <v>1.6500000000000002E-3</v>
      </c>
      <c r="W41" s="107">
        <f t="shared" si="0"/>
        <v>0.34164981137150102</v>
      </c>
      <c r="X41" s="47"/>
    </row>
    <row r="42" spans="8:33">
      <c r="H42" s="14">
        <v>99.999399999999994</v>
      </c>
      <c r="I42" s="73">
        <v>4.4299999999999999E-2</v>
      </c>
      <c r="J42" s="73">
        <v>4.6999999999999993E-3</v>
      </c>
      <c r="K42" s="73">
        <v>1.1899999999999999E-2</v>
      </c>
      <c r="L42" s="73">
        <v>9.7999999999999997E-3</v>
      </c>
      <c r="M42" s="73">
        <v>0.1744</v>
      </c>
      <c r="N42" s="73">
        <v>7.7300000000000008E-2</v>
      </c>
      <c r="O42" s="73">
        <v>9.7100000000000006E-2</v>
      </c>
      <c r="P42" s="73">
        <v>0.24510000000000001</v>
      </c>
      <c r="Q42" s="181"/>
      <c r="R42" s="181"/>
      <c r="S42" s="107">
        <f>L42*AE$9</f>
        <v>2.9399999999999999E-3</v>
      </c>
      <c r="T42" s="107">
        <f t="shared" si="1"/>
        <v>2.5479999999999999E-3</v>
      </c>
      <c r="U42" s="107">
        <f>J42*AD$17</f>
        <v>5.7523209738201018E-3</v>
      </c>
      <c r="V42" s="107">
        <f>K42*AE$5</f>
        <v>1.7849999999999997E-3</v>
      </c>
      <c r="W42" s="107">
        <f t="shared" si="0"/>
        <v>0.25812532097382013</v>
      </c>
      <c r="X42" s="47"/>
    </row>
    <row r="43" spans="8:33">
      <c r="H43" s="14">
        <v>99.999600000000001</v>
      </c>
      <c r="I43" s="73">
        <v>4.3400000000000001E-2</v>
      </c>
      <c r="J43" s="73">
        <v>3.8E-3</v>
      </c>
      <c r="K43" s="73">
        <v>5.8999999999999999E-3</v>
      </c>
      <c r="L43" s="73">
        <v>8.6E-3</v>
      </c>
      <c r="M43" s="73">
        <v>0.24329999999999999</v>
      </c>
      <c r="N43" s="73">
        <v>7.9699999999999993E-2</v>
      </c>
      <c r="O43" s="73">
        <v>0.1636</v>
      </c>
      <c r="P43" s="73">
        <v>0.30519999999999997</v>
      </c>
      <c r="Q43" s="181"/>
      <c r="R43" s="181"/>
      <c r="S43" s="107">
        <f>L43*AE$9</f>
        <v>2.5799999999999998E-3</v>
      </c>
      <c r="T43" s="107">
        <f t="shared" si="1"/>
        <v>2.2360000000000001E-3</v>
      </c>
      <c r="U43" s="107">
        <f>J43*AD$17</f>
        <v>4.6508127022375292E-3</v>
      </c>
      <c r="V43" s="107">
        <f>K43*AE$5</f>
        <v>8.8499999999999994E-4</v>
      </c>
      <c r="W43" s="107">
        <f t="shared" si="0"/>
        <v>0.31555181270223753</v>
      </c>
      <c r="X43" s="47"/>
    </row>
    <row r="44" spans="8:33">
      <c r="H44" s="14">
        <v>99.999799999999993</v>
      </c>
      <c r="I44" s="73">
        <v>2.0400000000000001E-2</v>
      </c>
      <c r="J44" s="73">
        <v>3.2000000000000002E-3</v>
      </c>
      <c r="K44" s="73">
        <v>2E-3</v>
      </c>
      <c r="L44" s="73">
        <v>9.7000000000000003E-3</v>
      </c>
      <c r="M44" s="73">
        <v>0.25259999999999999</v>
      </c>
      <c r="N44" s="73">
        <v>0.1283</v>
      </c>
      <c r="O44" s="73">
        <v>0.12429999999999999</v>
      </c>
      <c r="P44" s="73">
        <v>0.28789999999999999</v>
      </c>
      <c r="Q44" s="181"/>
      <c r="R44" s="181"/>
      <c r="S44" s="107">
        <f>L44*AE$9</f>
        <v>2.9099999999999998E-3</v>
      </c>
      <c r="T44" s="107">
        <f t="shared" si="1"/>
        <v>2.5220000000000004E-3</v>
      </c>
      <c r="U44" s="107">
        <f>J44*AD$17</f>
        <v>3.9164738545158142E-3</v>
      </c>
      <c r="V44" s="107">
        <f>K44*AE$5</f>
        <v>2.9999999999999997E-4</v>
      </c>
      <c r="W44" s="107">
        <f t="shared" si="0"/>
        <v>0.29754847385451583</v>
      </c>
      <c r="X44" s="47"/>
    </row>
    <row r="45" spans="8:33">
      <c r="H45" s="14">
        <v>100</v>
      </c>
      <c r="I45" s="73">
        <v>1.2199999999999999E-2</v>
      </c>
      <c r="J45" s="73">
        <v>1.2999999999999999E-3</v>
      </c>
      <c r="K45" s="73">
        <v>7.000000000000001E-4</v>
      </c>
      <c r="L45" s="73">
        <v>6.0000000000000001E-3</v>
      </c>
      <c r="M45" s="73">
        <v>0.23039999999999999</v>
      </c>
      <c r="N45" s="73">
        <v>0.1183</v>
      </c>
      <c r="O45" s="73">
        <v>0.11220000000000001</v>
      </c>
      <c r="P45" s="73">
        <v>0.25059999999999999</v>
      </c>
      <c r="Q45" s="181"/>
      <c r="R45" s="181"/>
      <c r="S45" s="107">
        <f>L45*AE$9</f>
        <v>1.8E-3</v>
      </c>
      <c r="T45" s="107">
        <f t="shared" si="1"/>
        <v>1.5600000000000002E-3</v>
      </c>
      <c r="U45" s="107">
        <f>J45*AD$17</f>
        <v>1.5910675033970496E-3</v>
      </c>
      <c r="V45" s="107">
        <f>K45*AE$5</f>
        <v>1.0500000000000002E-4</v>
      </c>
      <c r="W45" s="107">
        <f xml:space="preserve"> S45 + T45 + P45 + U45 + V45</f>
        <v>0.25565606750339703</v>
      </c>
      <c r="X45" s="47"/>
      <c r="Y45" s="107"/>
      <c r="Z45" s="212"/>
      <c r="AE45" s="43"/>
      <c r="AG45" s="201"/>
    </row>
    <row r="46" spans="8:33">
      <c r="H46" s="14"/>
      <c r="I46" s="14"/>
      <c r="J46" s="14"/>
      <c r="K46" s="14"/>
      <c r="L46" s="14"/>
      <c r="M46" s="14"/>
      <c r="N46" s="14"/>
      <c r="O46" s="14"/>
      <c r="P46" s="14"/>
      <c r="Q46" s="107"/>
      <c r="R46" s="107"/>
      <c r="S46" s="107"/>
      <c r="T46" s="107"/>
      <c r="U46" s="107"/>
      <c r="V46" s="107"/>
      <c r="W46" s="107"/>
      <c r="X46" s="47"/>
      <c r="Y46" s="107"/>
      <c r="Z46" s="230"/>
      <c r="AA46" s="63"/>
      <c r="AB46" s="272"/>
      <c r="AC46" s="272"/>
      <c r="AD46" s="272"/>
      <c r="AE46" s="43"/>
      <c r="AG46" s="85"/>
    </row>
    <row r="47" spans="8:33">
      <c r="H47" s="2" t="s">
        <v>427</v>
      </c>
      <c r="I47" s="14"/>
      <c r="J47" s="14"/>
      <c r="K47" s="14"/>
      <c r="L47" s="14"/>
      <c r="M47" s="14"/>
      <c r="N47" s="14"/>
      <c r="O47" s="14"/>
      <c r="P47" s="14"/>
      <c r="Q47" s="107"/>
      <c r="R47" s="107"/>
      <c r="T47" s="85"/>
      <c r="U47" s="85"/>
      <c r="V47" s="107"/>
      <c r="W47" s="107"/>
      <c r="X47" s="47"/>
      <c r="Y47" s="107"/>
      <c r="Z47" s="230"/>
      <c r="AA47" s="125"/>
      <c r="AB47" s="272"/>
      <c r="AC47" s="272"/>
      <c r="AD47" s="272"/>
      <c r="AE47" s="46"/>
      <c r="AG47" s="85"/>
    </row>
    <row r="48" spans="8:33" s="85" customFormat="1">
      <c r="H48" s="2" t="s">
        <v>428</v>
      </c>
      <c r="I48" s="14"/>
      <c r="J48" s="14"/>
      <c r="K48" s="14"/>
      <c r="L48" s="14"/>
      <c r="M48" s="14"/>
      <c r="N48" s="14"/>
      <c r="O48" s="14"/>
      <c r="P48" s="14"/>
      <c r="Q48" s="154"/>
      <c r="R48" s="154"/>
      <c r="S48" s="85" t="s">
        <v>410</v>
      </c>
      <c r="V48" s="154"/>
      <c r="W48" s="154"/>
      <c r="X48" s="47"/>
      <c r="Y48" s="47"/>
      <c r="Z48" s="47"/>
      <c r="AA48" s="43"/>
      <c r="AB48" s="43"/>
      <c r="AC48" s="43"/>
      <c r="AD48" s="43"/>
      <c r="AE48" s="43"/>
    </row>
    <row r="49" spans="7:31">
      <c r="H49" s="155" t="s">
        <v>210</v>
      </c>
      <c r="I49" s="14"/>
      <c r="J49" s="14"/>
      <c r="K49" s="14"/>
      <c r="L49" s="14"/>
      <c r="M49" s="14"/>
      <c r="N49" s="14"/>
      <c r="O49" s="14"/>
      <c r="P49" s="14"/>
      <c r="Q49" s="107"/>
      <c r="R49" s="107"/>
      <c r="S49" s="85" t="s">
        <v>414</v>
      </c>
      <c r="T49" s="85"/>
      <c r="U49" s="85"/>
      <c r="V49" s="107"/>
      <c r="W49" s="107"/>
      <c r="X49" s="47"/>
      <c r="Y49" s="47"/>
      <c r="Z49" s="47"/>
      <c r="AA49" s="43"/>
      <c r="AB49" s="43"/>
      <c r="AC49" s="43"/>
      <c r="AD49" s="43"/>
      <c r="AE49" s="43"/>
    </row>
    <row r="50" spans="7:31">
      <c r="G50" s="2"/>
      <c r="H50" s="14"/>
      <c r="I50" s="14"/>
      <c r="J50" s="14"/>
      <c r="K50" s="14"/>
      <c r="L50" s="14"/>
      <c r="M50" s="14"/>
      <c r="N50" s="14"/>
      <c r="O50" s="14"/>
      <c r="P50" s="73"/>
      <c r="Q50" s="73"/>
      <c r="R50" s="73"/>
      <c r="S50" s="221" t="s">
        <v>411</v>
      </c>
      <c r="T50" s="85"/>
      <c r="U50" s="85"/>
      <c r="V50" s="73"/>
      <c r="W50" s="73"/>
      <c r="X50" s="47"/>
      <c r="Y50" s="47"/>
      <c r="Z50" s="47"/>
      <c r="AA50" s="43"/>
      <c r="AB50" s="43"/>
      <c r="AC50" s="43"/>
      <c r="AD50" s="43"/>
      <c r="AE50" s="43"/>
    </row>
    <row r="51" spans="7:31">
      <c r="G51" s="14"/>
      <c r="H51" s="14"/>
      <c r="I51" s="14"/>
      <c r="J51" s="11"/>
      <c r="K51" s="14"/>
      <c r="L51" s="14"/>
      <c r="M51" s="14"/>
      <c r="N51" s="14"/>
      <c r="O51" s="14"/>
      <c r="P51" s="73"/>
      <c r="Q51" s="73"/>
      <c r="R51" s="73"/>
      <c r="S51" s="221" t="s">
        <v>412</v>
      </c>
      <c r="T51" s="85"/>
      <c r="U51" s="85"/>
      <c r="Z51" s="47"/>
      <c r="AA51" s="43"/>
      <c r="AB51" s="43"/>
      <c r="AC51" s="43"/>
      <c r="AD51" s="43"/>
      <c r="AE51" s="43"/>
    </row>
    <row r="52" spans="7:31">
      <c r="G52" s="14"/>
      <c r="H52" s="14"/>
      <c r="I52" s="14"/>
      <c r="J52" s="14"/>
      <c r="K52" s="14"/>
      <c r="L52" s="14"/>
      <c r="M52" s="14"/>
      <c r="N52" s="14"/>
      <c r="O52" s="14"/>
      <c r="P52" s="73"/>
      <c r="Q52" s="73"/>
      <c r="R52" s="73"/>
      <c r="S52" s="221" t="s">
        <v>413</v>
      </c>
      <c r="T52" s="85"/>
      <c r="U52" s="85"/>
    </row>
    <row r="53" spans="7:31">
      <c r="S53" s="221" t="s">
        <v>416</v>
      </c>
      <c r="T53" s="85"/>
      <c r="U53" s="85"/>
    </row>
    <row r="54" spans="7:31" s="85" customFormat="1">
      <c r="G54" s="192"/>
      <c r="H54" s="192"/>
      <c r="I54" s="192"/>
      <c r="J54" s="192"/>
      <c r="K54" s="192"/>
      <c r="M54" s="192"/>
      <c r="N54" s="192"/>
      <c r="O54" s="192"/>
      <c r="P54" s="20"/>
      <c r="Q54" s="214"/>
      <c r="R54" s="214"/>
      <c r="S54" s="20"/>
    </row>
    <row r="55" spans="7:31" s="85" customFormat="1">
      <c r="G55" s="192"/>
      <c r="H55" s="192"/>
      <c r="I55" s="192"/>
      <c r="J55" s="192"/>
      <c r="K55" s="192"/>
      <c r="M55" s="192"/>
      <c r="N55" s="192"/>
      <c r="O55" s="192"/>
      <c r="P55" s="20"/>
      <c r="Q55" s="214"/>
      <c r="R55" s="214"/>
      <c r="S55" s="221" t="s">
        <v>415</v>
      </c>
    </row>
    <row r="56" spans="7:31" s="85" customFormat="1">
      <c r="G56" s="192"/>
      <c r="H56" s="192"/>
      <c r="I56" s="192"/>
      <c r="J56" s="192"/>
      <c r="K56" s="192"/>
      <c r="M56" s="192"/>
      <c r="N56" s="192"/>
      <c r="O56" s="192"/>
      <c r="P56" s="20"/>
      <c r="Q56" s="214"/>
      <c r="R56" s="214"/>
    </row>
    <row r="57" spans="7:31">
      <c r="S57" s="85" t="s">
        <v>384</v>
      </c>
      <c r="T57" s="85"/>
      <c r="U57" s="85"/>
      <c r="X57" s="209"/>
    </row>
    <row r="58" spans="7:31">
      <c r="S58" s="85" t="s">
        <v>418</v>
      </c>
      <c r="T58" s="85"/>
      <c r="U58" s="85"/>
      <c r="W58" s="213"/>
      <c r="X58" s="14"/>
    </row>
    <row r="59" spans="7:31">
      <c r="S59" s="85" t="s">
        <v>420</v>
      </c>
      <c r="T59" s="85"/>
      <c r="U59" s="85"/>
    </row>
    <row r="60" spans="7:31">
      <c r="T60" s="221"/>
      <c r="U60" s="221"/>
      <c r="Y60" s="216"/>
    </row>
    <row r="61" spans="7:31">
      <c r="S61" s="85" t="s">
        <v>417</v>
      </c>
      <c r="T61" s="85"/>
      <c r="U61" s="85"/>
      <c r="Y61" s="217"/>
    </row>
    <row r="62" spans="7:31">
      <c r="S62" s="221" t="s">
        <v>419</v>
      </c>
    </row>
    <row r="63" spans="7:31">
      <c r="S63" s="221" t="s">
        <v>421</v>
      </c>
      <c r="T63" s="47"/>
      <c r="U63" s="47"/>
    </row>
    <row r="65" spans="19:19">
      <c r="S65" s="85" t="s">
        <v>389</v>
      </c>
    </row>
    <row r="66" spans="19:19">
      <c r="S66" s="20" t="s">
        <v>422</v>
      </c>
    </row>
    <row r="68" spans="19:19">
      <c r="S68" s="221" t="s">
        <v>423</v>
      </c>
    </row>
    <row r="69" spans="19:19">
      <c r="S69" s="221" t="s">
        <v>424</v>
      </c>
    </row>
    <row r="70" spans="19:19">
      <c r="S70" s="221" t="s">
        <v>425</v>
      </c>
    </row>
    <row r="71" spans="19:19">
      <c r="S71" s="221" t="s">
        <v>426</v>
      </c>
    </row>
  </sheetData>
  <mergeCells count="16">
    <mergeCell ref="AB47:AD47"/>
    <mergeCell ref="AI4:AN4"/>
    <mergeCell ref="AI11:AN11"/>
    <mergeCell ref="AB13:AE13"/>
    <mergeCell ref="AB14:AE14"/>
    <mergeCell ref="AB15:AE15"/>
    <mergeCell ref="B2:F2"/>
    <mergeCell ref="AB46:AD46"/>
    <mergeCell ref="S2:W2"/>
    <mergeCell ref="AI2:AN2"/>
    <mergeCell ref="H2:Q2"/>
    <mergeCell ref="AA2:AE2"/>
    <mergeCell ref="AB10:AE10"/>
    <mergeCell ref="AB11:AE11"/>
    <mergeCell ref="AB6:AE6"/>
    <mergeCell ref="AB7:AE7"/>
  </mergeCells>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9BD03C-D14A-423D-A9F3-89E1774C05E6}">
  <dimension ref="A1:L28"/>
  <sheetViews>
    <sheetView workbookViewId="0">
      <selection activeCell="J34" sqref="J34"/>
    </sheetView>
  </sheetViews>
  <sheetFormatPr baseColWidth="10" defaultRowHeight="14.4"/>
  <cols>
    <col min="2" max="2" width="16" customWidth="1"/>
    <col min="3" max="3" width="11.5546875" style="85"/>
  </cols>
  <sheetData>
    <row r="1" spans="1:12">
      <c r="A1" s="232"/>
      <c r="B1" s="232"/>
      <c r="C1" s="232"/>
      <c r="D1" s="232"/>
      <c r="E1" s="232"/>
      <c r="F1" s="232"/>
      <c r="G1" s="232"/>
      <c r="H1" s="232"/>
      <c r="I1" s="232"/>
    </row>
    <row r="2" spans="1:12" ht="55.2">
      <c r="A2" s="232"/>
      <c r="C2" s="233" t="s">
        <v>94</v>
      </c>
      <c r="D2" s="233" t="s">
        <v>394</v>
      </c>
      <c r="E2" s="236" t="s">
        <v>395</v>
      </c>
      <c r="F2" s="236" t="s">
        <v>396</v>
      </c>
      <c r="G2" s="234" t="s">
        <v>397</v>
      </c>
      <c r="H2" s="234" t="s">
        <v>398</v>
      </c>
      <c r="I2" s="234" t="s">
        <v>399</v>
      </c>
      <c r="K2" s="240" t="s">
        <v>404</v>
      </c>
      <c r="L2" s="240" t="s">
        <v>405</v>
      </c>
    </row>
    <row r="3" spans="1:12" s="85" customFormat="1">
      <c r="A3" s="232"/>
      <c r="B3" s="237"/>
      <c r="C3" s="237"/>
      <c r="D3" s="125"/>
      <c r="E3" s="125"/>
      <c r="F3" s="125"/>
      <c r="G3" s="125"/>
      <c r="H3" s="125"/>
      <c r="I3" s="125"/>
      <c r="K3" s="126"/>
      <c r="L3" s="126"/>
    </row>
    <row r="4" spans="1:12" s="85" customFormat="1">
      <c r="B4" s="243" t="s">
        <v>34</v>
      </c>
      <c r="C4" s="5">
        <v>0.22011372772976756</v>
      </c>
      <c r="D4" s="125">
        <v>1.9037136164964521E-2</v>
      </c>
      <c r="E4" s="125">
        <v>8.314790069799011E-3</v>
      </c>
      <c r="F4" s="125">
        <v>1.0722346420512193E-2</v>
      </c>
      <c r="G4" s="125">
        <v>9.6464849809995076E-3</v>
      </c>
      <c r="H4" s="125">
        <v>1.0758614120001627E-3</v>
      </c>
      <c r="I4" s="125">
        <v>0</v>
      </c>
      <c r="K4" s="126"/>
      <c r="L4" s="126"/>
    </row>
    <row r="5" spans="1:12">
      <c r="B5" s="243" t="s">
        <v>35</v>
      </c>
      <c r="C5" s="241">
        <v>0.46062521636486098</v>
      </c>
      <c r="D5" s="125">
        <v>2.6619253532645132E-2</v>
      </c>
      <c r="E5" s="125">
        <v>1.1885801193945217E-2</v>
      </c>
      <c r="F5" s="125">
        <v>1.4733452773733596E-2</v>
      </c>
      <c r="G5" s="125">
        <v>1.1248435040968063E-2</v>
      </c>
      <c r="H5" s="125">
        <v>3.4333769057690359E-3</v>
      </c>
      <c r="I5" s="125">
        <v>5.1640529772792035E-5</v>
      </c>
      <c r="K5" s="126">
        <f t="shared" ref="K5" si="0">G5/I5</f>
        <v>217.82183665541231</v>
      </c>
      <c r="L5" s="126">
        <f t="shared" ref="L5" si="1">H5/I5</f>
        <v>66.486089915715525</v>
      </c>
    </row>
    <row r="6" spans="1:12">
      <c r="B6" s="243" t="s">
        <v>400</v>
      </c>
      <c r="C6" s="5">
        <v>0.22048752009868622</v>
      </c>
      <c r="D6" s="125">
        <v>5.1418855847739225E-2</v>
      </c>
      <c r="E6" s="125">
        <v>2.691997292363206E-2</v>
      </c>
      <c r="F6" s="125">
        <v>2.4498882924107165E-2</v>
      </c>
      <c r="G6" s="125">
        <v>1.1937176248880913E-2</v>
      </c>
      <c r="H6" s="125">
        <v>1.0092750110548545E-2</v>
      </c>
      <c r="I6" s="125">
        <v>2.4689560366871811E-3</v>
      </c>
      <c r="K6" s="126">
        <f>G6/I6</f>
        <v>4.8349083869869505</v>
      </c>
      <c r="L6" s="126">
        <f>H6/I6</f>
        <v>4.0878614121014847</v>
      </c>
    </row>
    <row r="7" spans="1:12">
      <c r="B7" s="243" t="s">
        <v>401</v>
      </c>
      <c r="C7" s="5">
        <v>6.4790062606334686E-2</v>
      </c>
      <c r="D7" s="125">
        <v>0.16582075327953449</v>
      </c>
      <c r="E7" s="125">
        <v>0.11486562748857948</v>
      </c>
      <c r="F7" s="125">
        <v>5.095511141648866E-2</v>
      </c>
      <c r="G7" s="125">
        <v>9.530062758920075E-3</v>
      </c>
      <c r="H7" s="125">
        <v>2.4557192767343514E-2</v>
      </c>
      <c r="I7" s="125">
        <v>1.6867855890225075E-2</v>
      </c>
      <c r="K7" s="126">
        <f t="shared" ref="K7" si="2">G7/I7</f>
        <v>0.56498364824439529</v>
      </c>
      <c r="L7" s="126">
        <f t="shared" ref="L7:L8" si="3">H7/I7</f>
        <v>1.4558573968831694</v>
      </c>
    </row>
    <row r="8" spans="1:12">
      <c r="B8" s="243" t="s">
        <v>402</v>
      </c>
      <c r="C8" s="5">
        <v>2.1636148914694786E-2</v>
      </c>
      <c r="D8" s="125">
        <v>0.25435800092959437</v>
      </c>
      <c r="E8" s="125">
        <v>0.19791019470947335</v>
      </c>
      <c r="F8" s="125">
        <v>5.6447816981307991E-2</v>
      </c>
      <c r="G8" s="125">
        <v>4.465457770885548E-3</v>
      </c>
      <c r="H8" s="125">
        <v>2.8607924137764199E-2</v>
      </c>
      <c r="I8" s="125">
        <v>2.337443339122278E-2</v>
      </c>
      <c r="K8" s="126">
        <f>G8/I8</f>
        <v>0.19104025736779359</v>
      </c>
      <c r="L8" s="126">
        <f t="shared" si="3"/>
        <v>1.223898079536192</v>
      </c>
    </row>
    <row r="9" spans="1:12">
      <c r="B9" s="243" t="s">
        <v>39</v>
      </c>
      <c r="C9" s="5">
        <v>1.2347344309091568E-2</v>
      </c>
      <c r="D9" s="125">
        <v>0.31878142475482468</v>
      </c>
      <c r="E9" s="125">
        <v>0.25214389381826113</v>
      </c>
      <c r="F9" s="125">
        <v>6.663751729162927E-2</v>
      </c>
      <c r="G9" s="125">
        <v>1.1575411597388853E-3</v>
      </c>
      <c r="H9" s="125">
        <v>3.0657562431232157E-2</v>
      </c>
      <c r="I9" s="125">
        <v>3.4822408782406118E-2</v>
      </c>
      <c r="K9" s="126">
        <f>G9/I9</f>
        <v>3.3241271934172693E-2</v>
      </c>
      <c r="L9" s="126">
        <f>H9/I9</f>
        <v>0.88039752283655248</v>
      </c>
    </row>
    <row r="10" spans="1:12">
      <c r="A10" s="232"/>
    </row>
    <row r="11" spans="1:12">
      <c r="A11" s="232"/>
      <c r="B11" s="235" t="s">
        <v>403</v>
      </c>
      <c r="C11" s="235"/>
      <c r="K11" s="242">
        <f>SUMPRODUCT(C4:C9,G4:G9) / SUMPRODUCT(C4:C9,I4:I9)</f>
        <v>4.107091254412599</v>
      </c>
      <c r="L11" s="242">
        <f>SUMPRODUCT(C4:C9,H4:H9) / SUMPRODUCT(C4:C9,I4:I9)</f>
        <v>2.5540625653174076</v>
      </c>
    </row>
    <row r="12" spans="1:12">
      <c r="A12" s="232"/>
      <c r="B12" s="235" t="s">
        <v>406</v>
      </c>
      <c r="C12" s="235"/>
    </row>
    <row r="13" spans="1:12">
      <c r="A13" s="232"/>
      <c r="B13" s="85" t="s">
        <v>407</v>
      </c>
    </row>
    <row r="14" spans="1:12">
      <c r="A14" s="232"/>
      <c r="B14" s="244" t="s">
        <v>408</v>
      </c>
      <c r="C14" s="232"/>
      <c r="D14" s="232"/>
      <c r="E14" s="232"/>
      <c r="F14" s="232"/>
      <c r="G14" s="232"/>
      <c r="H14" s="232"/>
      <c r="I14" s="232"/>
    </row>
    <row r="15" spans="1:12">
      <c r="B15" s="232"/>
      <c r="C15" s="232"/>
      <c r="D15" s="233"/>
      <c r="E15" s="236"/>
      <c r="F15" s="236"/>
      <c r="G15" s="236"/>
      <c r="H15" s="236"/>
      <c r="I15" s="236"/>
    </row>
    <row r="16" spans="1:12">
      <c r="B16" s="232"/>
      <c r="C16" s="232"/>
      <c r="D16" s="232"/>
      <c r="E16" s="232"/>
      <c r="F16" s="232"/>
      <c r="G16" s="232"/>
      <c r="H16" s="232"/>
      <c r="I16" s="232"/>
    </row>
    <row r="17" spans="2:12">
      <c r="B17" s="237"/>
      <c r="C17" s="237"/>
      <c r="D17" s="238"/>
      <c r="E17" s="238"/>
      <c r="F17" s="238"/>
      <c r="G17" s="238"/>
      <c r="H17" s="238"/>
      <c r="I17" s="238"/>
    </row>
    <row r="18" spans="2:12">
      <c r="B18" s="237"/>
      <c r="C18" s="237"/>
      <c r="D18" s="238"/>
      <c r="E18" s="238"/>
      <c r="F18" s="238"/>
      <c r="G18" s="238"/>
      <c r="H18" s="238"/>
      <c r="I18" s="238"/>
    </row>
    <row r="19" spans="2:12">
      <c r="B19" s="237"/>
      <c r="C19" s="237"/>
      <c r="D19" s="238"/>
      <c r="E19" s="238"/>
      <c r="F19" s="238"/>
      <c r="G19" s="238"/>
      <c r="H19" s="238"/>
      <c r="I19" s="238"/>
    </row>
    <row r="20" spans="2:12">
      <c r="B20" s="237"/>
      <c r="C20" s="237"/>
      <c r="D20" s="238"/>
      <c r="E20" s="238"/>
      <c r="F20" s="238"/>
      <c r="G20" s="238"/>
      <c r="H20" s="238"/>
      <c r="I20" s="238"/>
    </row>
    <row r="21" spans="2:12">
      <c r="B21" s="237"/>
      <c r="C21" s="237"/>
      <c r="D21" s="238"/>
      <c r="E21" s="238"/>
      <c r="F21" s="238"/>
      <c r="G21" s="238"/>
      <c r="H21" s="238"/>
      <c r="I21" s="238"/>
      <c r="K21" s="239"/>
      <c r="L21" s="239"/>
    </row>
    <row r="22" spans="2:12">
      <c r="B22" s="237"/>
      <c r="C22" s="237"/>
      <c r="D22" s="238"/>
      <c r="E22" s="238"/>
      <c r="F22" s="238"/>
      <c r="G22" s="238"/>
      <c r="H22" s="238"/>
      <c r="I22" s="238"/>
      <c r="K22" s="239"/>
      <c r="L22" s="239"/>
    </row>
    <row r="23" spans="2:12">
      <c r="B23" s="237"/>
      <c r="C23" s="237"/>
      <c r="D23" s="238"/>
      <c r="E23" s="238"/>
      <c r="F23" s="238"/>
      <c r="G23" s="238"/>
      <c r="H23" s="238"/>
      <c r="I23" s="238"/>
      <c r="K23" s="239"/>
      <c r="L23" s="239"/>
    </row>
    <row r="24" spans="2:12">
      <c r="B24" s="237"/>
      <c r="C24" s="237"/>
      <c r="D24" s="238"/>
      <c r="E24" s="238"/>
      <c r="F24" s="238"/>
      <c r="G24" s="238"/>
      <c r="H24" s="238"/>
      <c r="I24" s="238"/>
      <c r="K24" s="239"/>
      <c r="L24" s="239"/>
    </row>
    <row r="25" spans="2:12">
      <c r="B25" s="237"/>
      <c r="C25" s="237"/>
      <c r="D25" s="238"/>
      <c r="E25" s="238"/>
      <c r="F25" s="238"/>
      <c r="G25" s="238"/>
      <c r="H25" s="238"/>
      <c r="I25" s="238"/>
      <c r="K25" s="239"/>
      <c r="L25" s="239"/>
    </row>
    <row r="26" spans="2:12">
      <c r="B26" s="232"/>
      <c r="C26" s="232"/>
      <c r="D26" s="232"/>
      <c r="E26" s="232"/>
      <c r="F26" s="232"/>
      <c r="G26" s="232"/>
      <c r="H26" s="232"/>
      <c r="I26" s="232"/>
    </row>
    <row r="27" spans="2:12">
      <c r="B27" s="235"/>
      <c r="C27" s="235"/>
      <c r="D27" s="232"/>
      <c r="E27" s="232"/>
      <c r="F27" s="232"/>
      <c r="G27" s="232"/>
      <c r="H27" s="232"/>
      <c r="I27" s="232"/>
    </row>
    <row r="28" spans="2:12">
      <c r="B28" s="235"/>
      <c r="C28" s="235"/>
      <c r="D28" s="232"/>
      <c r="E28" s="232"/>
      <c r="F28" s="232"/>
      <c r="G28" s="232"/>
      <c r="H28" s="232"/>
      <c r="I28" s="232"/>
    </row>
  </sheetData>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44EF5F-D00F-4F11-96F3-1FA9FF4FEF1A}">
  <dimension ref="B1:P135"/>
  <sheetViews>
    <sheetView topLeftCell="A88" zoomScale="70" zoomScaleNormal="70" workbookViewId="0">
      <selection activeCell="N131" sqref="N131"/>
    </sheetView>
  </sheetViews>
  <sheetFormatPr baseColWidth="10" defaultRowHeight="14.4"/>
  <cols>
    <col min="1" max="1" width="5" customWidth="1"/>
    <col min="2" max="14" width="11.5546875" style="28"/>
  </cols>
  <sheetData>
    <row r="1" spans="2:16" s="85" customFormat="1">
      <c r="B1" s="28"/>
      <c r="C1" s="28"/>
      <c r="D1" s="28"/>
      <c r="E1" s="28"/>
      <c r="F1" s="28"/>
      <c r="G1" s="28"/>
      <c r="H1" s="28"/>
      <c r="I1" s="28"/>
      <c r="J1" s="28"/>
      <c r="K1" s="28"/>
      <c r="L1" s="28"/>
      <c r="M1" s="28"/>
      <c r="N1" s="28"/>
    </row>
    <row r="2" spans="2:16">
      <c r="B2" s="252" t="s">
        <v>95</v>
      </c>
      <c r="C2" s="252"/>
      <c r="D2" s="252"/>
      <c r="E2" s="252"/>
      <c r="F2" s="252"/>
      <c r="G2" s="252" t="s">
        <v>43</v>
      </c>
      <c r="H2" s="252"/>
      <c r="I2" s="252"/>
      <c r="J2" s="252"/>
      <c r="K2" s="252"/>
      <c r="L2" s="252"/>
      <c r="M2" s="252"/>
      <c r="N2" s="252"/>
    </row>
    <row r="3" spans="2:16">
      <c r="B3" s="38" t="s">
        <v>182</v>
      </c>
      <c r="C3" s="38" t="s">
        <v>183</v>
      </c>
      <c r="D3" s="38" t="s">
        <v>184</v>
      </c>
      <c r="E3" s="38" t="s">
        <v>185</v>
      </c>
      <c r="F3" s="38" t="s">
        <v>186</v>
      </c>
      <c r="G3" s="38" t="s">
        <v>187</v>
      </c>
      <c r="H3" s="38" t="s">
        <v>188</v>
      </c>
      <c r="I3" s="38" t="s">
        <v>189</v>
      </c>
      <c r="J3" s="38" t="s">
        <v>190</v>
      </c>
      <c r="K3" s="38" t="s">
        <v>191</v>
      </c>
      <c r="L3" s="38" t="s">
        <v>192</v>
      </c>
      <c r="M3" s="38" t="s">
        <v>193</v>
      </c>
      <c r="N3" s="38" t="s">
        <v>194</v>
      </c>
      <c r="O3" s="43"/>
      <c r="P3" s="43"/>
    </row>
    <row r="4" spans="2:16">
      <c r="B4" s="179">
        <v>0</v>
      </c>
      <c r="C4" s="179">
        <v>1631580</v>
      </c>
      <c r="D4" s="179">
        <v>7550</v>
      </c>
      <c r="E4" s="180">
        <v>7.2000001091510057E-4</v>
      </c>
      <c r="F4" s="179">
        <v>8046</v>
      </c>
      <c r="G4" s="179">
        <v>2462</v>
      </c>
      <c r="H4" s="181">
        <v>0.3059905469417572</v>
      </c>
      <c r="I4" s="181">
        <v>0.15274670720100403</v>
      </c>
      <c r="J4" s="181">
        <v>1.478995755314827E-2</v>
      </c>
      <c r="K4" s="181">
        <v>0.12938106060028076</v>
      </c>
      <c r="L4" s="181">
        <v>6.4628385007381439E-3</v>
      </c>
      <c r="M4" s="181">
        <v>2.6099926326423883E-3</v>
      </c>
      <c r="N4" s="181">
        <v>0</v>
      </c>
      <c r="O4" s="43"/>
      <c r="P4" s="43"/>
    </row>
    <row r="5" spans="2:16">
      <c r="B5" s="179">
        <v>1</v>
      </c>
      <c r="C5" s="179">
        <v>1634432</v>
      </c>
      <c r="D5" s="179">
        <v>8550</v>
      </c>
      <c r="E5" s="180">
        <v>8.0999999772757292E-4</v>
      </c>
      <c r="F5" s="179">
        <v>9031</v>
      </c>
      <c r="G5" s="179">
        <v>2565</v>
      </c>
      <c r="H5" s="181">
        <v>0.28402170538902283</v>
      </c>
      <c r="I5" s="181">
        <v>0.14317351579666138</v>
      </c>
      <c r="J5" s="181">
        <v>9.6334842965006828E-3</v>
      </c>
      <c r="K5" s="181">
        <v>0.12423873692750931</v>
      </c>
      <c r="L5" s="181">
        <v>5.3150258027017117E-3</v>
      </c>
      <c r="M5" s="181">
        <v>1.7716753063723445E-3</v>
      </c>
      <c r="N5" s="181">
        <v>0</v>
      </c>
      <c r="O5" s="43"/>
      <c r="P5" s="43"/>
    </row>
    <row r="6" spans="2:16">
      <c r="B6" s="179">
        <v>2</v>
      </c>
      <c r="C6" s="179">
        <v>1632170</v>
      </c>
      <c r="D6" s="179">
        <v>9550</v>
      </c>
      <c r="E6" s="180">
        <v>8.9000002481043339E-4</v>
      </c>
      <c r="F6" s="179">
        <v>9975</v>
      </c>
      <c r="G6" s="179">
        <v>2746</v>
      </c>
      <c r="H6" s="181">
        <v>0.27528822422027588</v>
      </c>
      <c r="I6" s="181">
        <v>0.14005012810230255</v>
      </c>
      <c r="J6" s="181">
        <v>8.120301179587841E-3</v>
      </c>
      <c r="K6" s="181">
        <v>0.11879698932170868</v>
      </c>
      <c r="L6" s="181">
        <v>6.5162908285856247E-3</v>
      </c>
      <c r="M6" s="181">
        <v>1.7042607069015503E-3</v>
      </c>
      <c r="N6" s="181">
        <v>0</v>
      </c>
      <c r="O6" s="43"/>
      <c r="P6" s="43"/>
    </row>
    <row r="7" spans="2:16">
      <c r="B7" s="179">
        <v>3</v>
      </c>
      <c r="C7" s="179">
        <v>1632079</v>
      </c>
      <c r="D7" s="179">
        <v>10400</v>
      </c>
      <c r="E7" s="180">
        <v>9.5999997574836016E-4</v>
      </c>
      <c r="F7" s="179">
        <v>10774</v>
      </c>
      <c r="G7" s="179">
        <v>2939</v>
      </c>
      <c r="H7" s="181">
        <v>0.27278634905815125</v>
      </c>
      <c r="I7" s="181">
        <v>0.13495452702045441</v>
      </c>
      <c r="J7" s="181">
        <v>8.817523717880249E-3</v>
      </c>
      <c r="K7" s="181">
        <v>0.12186745554208755</v>
      </c>
      <c r="L7" s="181">
        <v>5.5689625442028046E-3</v>
      </c>
      <c r="M7" s="181">
        <v>1.4850565930828452E-3</v>
      </c>
      <c r="N7" s="181">
        <v>0</v>
      </c>
      <c r="O7" s="43"/>
      <c r="P7" s="43"/>
    </row>
    <row r="8" spans="2:16">
      <c r="B8" s="179">
        <v>4</v>
      </c>
      <c r="C8" s="179">
        <v>1634874</v>
      </c>
      <c r="D8" s="179">
        <v>11200</v>
      </c>
      <c r="E8" s="180">
        <v>1.0400000028312206E-3</v>
      </c>
      <c r="F8" s="179">
        <v>11587</v>
      </c>
      <c r="G8" s="179">
        <v>2937</v>
      </c>
      <c r="H8" s="181">
        <v>0.25347372889518738</v>
      </c>
      <c r="I8" s="181">
        <v>0.13195823132991791</v>
      </c>
      <c r="J8" s="181">
        <v>1.0011219419538975E-2</v>
      </c>
      <c r="K8" s="181">
        <v>0.10451368242502213</v>
      </c>
      <c r="L8" s="181">
        <v>5.4371277801692486E-3</v>
      </c>
      <c r="M8" s="181">
        <v>1.5534651465713978E-3</v>
      </c>
      <c r="N8" s="181">
        <v>0</v>
      </c>
      <c r="O8" s="43"/>
      <c r="P8" s="43"/>
    </row>
    <row r="9" spans="2:16">
      <c r="B9" s="179">
        <v>5</v>
      </c>
      <c r="C9" s="179">
        <v>1632086</v>
      </c>
      <c r="D9" s="179">
        <v>11900</v>
      </c>
      <c r="E9" s="180">
        <v>1.0900000343099236E-3</v>
      </c>
      <c r="F9" s="179">
        <v>12239</v>
      </c>
      <c r="G9" s="179">
        <v>3255</v>
      </c>
      <c r="H9" s="181">
        <v>0.26595309376716614</v>
      </c>
      <c r="I9" s="181">
        <v>0.13285398483276367</v>
      </c>
      <c r="J9" s="181">
        <v>9.1510741040110588E-3</v>
      </c>
      <c r="K9" s="181">
        <v>0.12027126550674438</v>
      </c>
      <c r="L9" s="181">
        <v>2.0426504779607058E-3</v>
      </c>
      <c r="M9" s="181">
        <v>1.6341204755008221E-3</v>
      </c>
      <c r="N9" s="181">
        <v>0</v>
      </c>
      <c r="O9" s="43"/>
      <c r="P9" s="43"/>
    </row>
    <row r="10" spans="2:16">
      <c r="B10" s="179">
        <v>6</v>
      </c>
      <c r="C10" s="179">
        <v>1633527</v>
      </c>
      <c r="D10" s="179">
        <v>12600</v>
      </c>
      <c r="E10" s="180">
        <v>1.1599999852478504E-3</v>
      </c>
      <c r="F10" s="179">
        <v>12991</v>
      </c>
      <c r="G10" s="179">
        <v>3263</v>
      </c>
      <c r="H10" s="181">
        <v>0.25117388367652893</v>
      </c>
      <c r="I10" s="181">
        <v>0.12885844707489014</v>
      </c>
      <c r="J10" s="181">
        <v>9.237164631485939E-3</v>
      </c>
      <c r="K10" s="181">
        <v>0.10915248841047287</v>
      </c>
      <c r="L10" s="181">
        <v>2.6941727846860886E-3</v>
      </c>
      <c r="M10" s="181">
        <v>1.23162183444947E-3</v>
      </c>
      <c r="N10" s="181">
        <v>0</v>
      </c>
      <c r="O10" s="43"/>
      <c r="P10" s="43"/>
    </row>
    <row r="11" spans="2:16">
      <c r="B11" s="179">
        <v>7</v>
      </c>
      <c r="C11" s="179">
        <v>1632069</v>
      </c>
      <c r="D11" s="179">
        <v>13300</v>
      </c>
      <c r="E11" s="180">
        <v>1.230000052601099E-3</v>
      </c>
      <c r="F11" s="179">
        <v>13720</v>
      </c>
      <c r="G11" s="179">
        <v>3482</v>
      </c>
      <c r="H11" s="181">
        <v>0.25379008054733276</v>
      </c>
      <c r="I11" s="181">
        <v>0.12776967883110046</v>
      </c>
      <c r="J11" s="181">
        <v>7.7259475365281105E-3</v>
      </c>
      <c r="K11" s="181">
        <v>0.11144314706325531</v>
      </c>
      <c r="L11" s="181">
        <v>6.0495627112686634E-3</v>
      </c>
      <c r="M11" s="181">
        <v>8.0174929462373257E-4</v>
      </c>
      <c r="N11" s="181">
        <v>0</v>
      </c>
      <c r="O11" s="43"/>
      <c r="P11" s="43"/>
    </row>
    <row r="12" spans="2:16">
      <c r="B12" s="179">
        <v>8</v>
      </c>
      <c r="C12" s="179">
        <v>1633630</v>
      </c>
      <c r="D12" s="179">
        <v>14100</v>
      </c>
      <c r="E12" s="180">
        <v>1.2900000438094139E-3</v>
      </c>
      <c r="F12" s="179">
        <v>14459</v>
      </c>
      <c r="G12" s="179">
        <v>3659</v>
      </c>
      <c r="H12" s="181">
        <v>0.25306037068367004</v>
      </c>
      <c r="I12" s="181">
        <v>0.12684141099452972</v>
      </c>
      <c r="J12" s="181">
        <v>9.6133891493082047E-3</v>
      </c>
      <c r="K12" s="181">
        <v>0.10429490357637405</v>
      </c>
      <c r="L12" s="181">
        <v>1.0927449911832809E-2</v>
      </c>
      <c r="M12" s="181">
        <v>1.3832214754074812E-3</v>
      </c>
      <c r="N12" s="181">
        <v>0</v>
      </c>
      <c r="O12" s="43"/>
      <c r="P12" s="43"/>
    </row>
    <row r="13" spans="2:16">
      <c r="B13" s="179">
        <v>9</v>
      </c>
      <c r="C13" s="179">
        <v>1632694</v>
      </c>
      <c r="D13" s="179">
        <v>14800</v>
      </c>
      <c r="E13" s="180">
        <v>1.3599999947473407E-3</v>
      </c>
      <c r="F13" s="179">
        <v>15181</v>
      </c>
      <c r="G13" s="179">
        <v>3883</v>
      </c>
      <c r="H13" s="181">
        <v>0.25578024983406067</v>
      </c>
      <c r="I13" s="181">
        <v>0.12647388875484467</v>
      </c>
      <c r="J13" s="181">
        <v>1.0539489798247814E-2</v>
      </c>
      <c r="K13" s="181">
        <v>0.107700414955616</v>
      </c>
      <c r="L13" s="181">
        <v>9.551413357257843E-3</v>
      </c>
      <c r="M13" s="181">
        <v>1.5150516992434859E-3</v>
      </c>
      <c r="N13" s="181">
        <v>0</v>
      </c>
      <c r="O13" s="43"/>
      <c r="P13" s="43"/>
    </row>
    <row r="14" spans="2:16">
      <c r="B14" s="179">
        <v>10</v>
      </c>
      <c r="C14" s="179">
        <v>1630797</v>
      </c>
      <c r="D14" s="179">
        <v>15600</v>
      </c>
      <c r="E14" s="180">
        <v>1.4299999456852674E-3</v>
      </c>
      <c r="F14" s="179">
        <v>16011</v>
      </c>
      <c r="G14" s="179">
        <v>3531</v>
      </c>
      <c r="H14" s="181">
        <v>0.22053587436676025</v>
      </c>
      <c r="I14" s="181">
        <v>0.12141652405261993</v>
      </c>
      <c r="J14" s="181">
        <v>8.8689029216766357E-3</v>
      </c>
      <c r="K14" s="181">
        <v>8.2505777478218079E-2</v>
      </c>
      <c r="L14" s="181">
        <v>6.1207921244204044E-3</v>
      </c>
      <c r="M14" s="181">
        <v>1.5614265576004982E-3</v>
      </c>
      <c r="N14" s="181">
        <v>0</v>
      </c>
      <c r="O14" s="43"/>
      <c r="P14" s="43"/>
    </row>
    <row r="15" spans="2:16">
      <c r="B15" s="179">
        <v>11</v>
      </c>
      <c r="C15" s="179">
        <v>1634492</v>
      </c>
      <c r="D15" s="179">
        <v>16300</v>
      </c>
      <c r="E15" s="180">
        <v>1.500000013038516E-3</v>
      </c>
      <c r="F15" s="179">
        <v>16730</v>
      </c>
      <c r="G15" s="179">
        <v>4166</v>
      </c>
      <c r="H15" s="181">
        <v>0.249013751745224</v>
      </c>
      <c r="I15" s="181">
        <v>0.12229527533054352</v>
      </c>
      <c r="J15" s="181">
        <v>1.0400477796792984E-2</v>
      </c>
      <c r="K15" s="181">
        <v>0.10065750032663345</v>
      </c>
      <c r="L15" s="181">
        <v>1.4225941151380539E-2</v>
      </c>
      <c r="M15" s="181">
        <v>1.4345487579703331E-3</v>
      </c>
      <c r="N15" s="181">
        <v>0</v>
      </c>
      <c r="O15" s="43"/>
      <c r="P15" s="43"/>
    </row>
    <row r="16" spans="2:16">
      <c r="B16" s="179">
        <v>12</v>
      </c>
      <c r="C16" s="179">
        <v>1634519</v>
      </c>
      <c r="D16" s="179">
        <v>17200</v>
      </c>
      <c r="E16" s="180">
        <v>1.5699999639764428E-3</v>
      </c>
      <c r="F16" s="179">
        <v>17545</v>
      </c>
      <c r="G16" s="179">
        <v>3873</v>
      </c>
      <c r="H16" s="181">
        <v>0.22074665129184723</v>
      </c>
      <c r="I16" s="181">
        <v>0.11530350893735886</v>
      </c>
      <c r="J16" s="181">
        <v>8.6634373292326927E-3</v>
      </c>
      <c r="K16" s="181">
        <v>8.7204329669475555E-2</v>
      </c>
      <c r="L16" s="181">
        <v>7.9224854707717896E-3</v>
      </c>
      <c r="M16" s="181">
        <v>1.7098888056352735E-3</v>
      </c>
      <c r="N16" s="181">
        <v>0</v>
      </c>
      <c r="O16" s="43"/>
      <c r="P16" s="43"/>
    </row>
    <row r="17" spans="2:16">
      <c r="B17" s="179">
        <v>13</v>
      </c>
      <c r="C17" s="179">
        <v>1632826</v>
      </c>
      <c r="D17" s="179">
        <v>17900</v>
      </c>
      <c r="E17" s="180">
        <v>1.6299999551847577E-3</v>
      </c>
      <c r="F17" s="179">
        <v>18255</v>
      </c>
      <c r="G17" s="179">
        <v>4447</v>
      </c>
      <c r="H17" s="181">
        <v>0.24360449612140656</v>
      </c>
      <c r="I17" s="181">
        <v>0.11772117018699646</v>
      </c>
      <c r="J17" s="181">
        <v>1.0188989341259003E-2</v>
      </c>
      <c r="K17" s="181">
        <v>0.1048479899764061</v>
      </c>
      <c r="L17" s="181">
        <v>9.6411937847733498E-3</v>
      </c>
      <c r="M17" s="181">
        <v>1.2051492230966687E-3</v>
      </c>
      <c r="N17" s="181">
        <v>0</v>
      </c>
      <c r="O17" s="43"/>
      <c r="P17" s="43"/>
    </row>
    <row r="18" spans="2:16">
      <c r="B18" s="179">
        <v>14</v>
      </c>
      <c r="C18" s="179">
        <v>1633813</v>
      </c>
      <c r="D18" s="179">
        <v>18600</v>
      </c>
      <c r="E18" s="180">
        <v>1.7000000225380063E-3</v>
      </c>
      <c r="F18" s="179">
        <v>18956</v>
      </c>
      <c r="G18" s="179">
        <v>4504</v>
      </c>
      <c r="H18" s="181">
        <v>0.23760287463665009</v>
      </c>
      <c r="I18" s="181">
        <v>0.11415910720825195</v>
      </c>
      <c r="J18" s="181">
        <v>9.2846592888236046E-3</v>
      </c>
      <c r="K18" s="181">
        <v>0.10461067408323288</v>
      </c>
      <c r="L18" s="181">
        <v>7.860308513045311E-3</v>
      </c>
      <c r="M18" s="181">
        <v>1.7408735584467649E-3</v>
      </c>
      <c r="N18" s="181">
        <v>0</v>
      </c>
      <c r="O18" s="43"/>
      <c r="P18" s="43"/>
    </row>
    <row r="19" spans="2:16">
      <c r="B19" s="179">
        <v>15</v>
      </c>
      <c r="C19" s="179">
        <v>1633088</v>
      </c>
      <c r="D19" s="179">
        <v>19300</v>
      </c>
      <c r="E19" s="180">
        <v>1.7500000540167093E-3</v>
      </c>
      <c r="F19" s="179">
        <v>19585</v>
      </c>
      <c r="G19" s="179">
        <v>4483</v>
      </c>
      <c r="H19" s="181">
        <v>0.22889967262744904</v>
      </c>
      <c r="I19" s="181">
        <v>0.10998212546110153</v>
      </c>
      <c r="J19" s="181">
        <v>9.3949446454644203E-3</v>
      </c>
      <c r="K19" s="181">
        <v>9.885115921497345E-2</v>
      </c>
      <c r="L19" s="181">
        <v>8.8843498378992081E-3</v>
      </c>
      <c r="M19" s="181">
        <v>1.7360224155709147E-3</v>
      </c>
      <c r="N19" s="181">
        <v>0</v>
      </c>
      <c r="O19" s="43"/>
      <c r="P19" s="43"/>
    </row>
    <row r="20" spans="2:16">
      <c r="B20" s="179">
        <v>16</v>
      </c>
      <c r="C20" s="179">
        <v>1632915</v>
      </c>
      <c r="D20" s="179">
        <v>19900</v>
      </c>
      <c r="E20" s="180">
        <v>1.8200000049546361E-3</v>
      </c>
      <c r="F20" s="179">
        <v>20298</v>
      </c>
      <c r="G20" s="179">
        <v>4969</v>
      </c>
      <c r="H20" s="181">
        <v>0.24480244517326355</v>
      </c>
      <c r="I20" s="181">
        <v>0.11153808236122131</v>
      </c>
      <c r="J20" s="181">
        <v>1.0493644513189793E-2</v>
      </c>
      <c r="K20" s="181">
        <v>0.1082865297794342</v>
      </c>
      <c r="L20" s="181">
        <v>1.2513548135757446E-2</v>
      </c>
      <c r="M20" s="181">
        <v>1.9706375896930695E-3</v>
      </c>
      <c r="N20" s="181">
        <v>0</v>
      </c>
      <c r="O20" s="43"/>
      <c r="P20" s="43"/>
    </row>
    <row r="21" spans="2:16">
      <c r="B21" s="179">
        <v>17</v>
      </c>
      <c r="C21" s="179">
        <v>1632807</v>
      </c>
      <c r="D21" s="179">
        <v>20700</v>
      </c>
      <c r="E21" s="180">
        <v>1.879999996162951E-3</v>
      </c>
      <c r="F21" s="179">
        <v>20969</v>
      </c>
      <c r="G21" s="179">
        <v>5063</v>
      </c>
      <c r="H21" s="181">
        <v>0.24145166575908661</v>
      </c>
      <c r="I21" s="181">
        <v>0.10897038131952286</v>
      </c>
      <c r="J21" s="181">
        <v>1.1302398517727852E-2</v>
      </c>
      <c r="K21" s="181">
        <v>0.10620439797639847</v>
      </c>
      <c r="L21" s="181">
        <v>1.3162286952137947E-2</v>
      </c>
      <c r="M21" s="181">
        <v>1.7645094776526093E-3</v>
      </c>
      <c r="N21" s="181">
        <v>0</v>
      </c>
      <c r="O21" s="43"/>
      <c r="P21" s="43"/>
    </row>
    <row r="22" spans="2:16">
      <c r="B22" s="179">
        <v>18</v>
      </c>
      <c r="C22" s="179">
        <v>1633032</v>
      </c>
      <c r="D22" s="179">
        <v>21300</v>
      </c>
      <c r="E22" s="180">
        <v>1.9399999873712659E-3</v>
      </c>
      <c r="F22" s="179">
        <v>21674</v>
      </c>
      <c r="G22" s="179">
        <v>5532</v>
      </c>
      <c r="H22" s="181">
        <v>0.25523668527603149</v>
      </c>
      <c r="I22" s="181">
        <v>0.11040878295898438</v>
      </c>
      <c r="J22" s="181">
        <v>1.0473378002643585E-2</v>
      </c>
      <c r="K22" s="181">
        <v>0.11977484822273254</v>
      </c>
      <c r="L22" s="181">
        <v>1.2918704189360142E-2</v>
      </c>
      <c r="M22" s="181">
        <v>1.6148380236700177E-3</v>
      </c>
      <c r="N22" s="181">
        <v>0</v>
      </c>
      <c r="O22" s="43"/>
      <c r="P22" s="43"/>
    </row>
    <row r="23" spans="2:16">
      <c r="B23" s="179">
        <v>19</v>
      </c>
      <c r="C23" s="179">
        <v>1632729</v>
      </c>
      <c r="D23" s="179">
        <v>22100</v>
      </c>
      <c r="E23" s="180">
        <v>2.0000000949949026E-3</v>
      </c>
      <c r="F23" s="179">
        <v>22392</v>
      </c>
      <c r="G23" s="179">
        <v>5449</v>
      </c>
      <c r="H23" s="181">
        <v>0.24334584176540375</v>
      </c>
      <c r="I23" s="181">
        <v>0.10700250416994095</v>
      </c>
      <c r="J23" s="181">
        <v>9.9589135497808456E-3</v>
      </c>
      <c r="K23" s="181">
        <v>0.10892283171415329</v>
      </c>
      <c r="L23" s="181">
        <v>1.5764558687806129E-2</v>
      </c>
      <c r="M23" s="181">
        <v>1.6970346914604306E-3</v>
      </c>
      <c r="N23" s="181">
        <v>0</v>
      </c>
      <c r="O23" s="43"/>
      <c r="P23" s="43"/>
    </row>
    <row r="24" spans="2:16">
      <c r="B24" s="179">
        <v>20</v>
      </c>
      <c r="C24" s="179">
        <v>1633097</v>
      </c>
      <c r="D24" s="179">
        <v>22700</v>
      </c>
      <c r="E24" s="180">
        <v>2.0699999295175076E-3</v>
      </c>
      <c r="F24" s="179">
        <v>23118</v>
      </c>
      <c r="G24" s="179">
        <v>5703</v>
      </c>
      <c r="H24" s="181">
        <v>0.24669088423252106</v>
      </c>
      <c r="I24" s="181">
        <v>0.10675664246082306</v>
      </c>
      <c r="J24" s="181">
        <v>1.0597802698612213E-2</v>
      </c>
      <c r="K24" s="181">
        <v>0.1118176281452179</v>
      </c>
      <c r="L24" s="181">
        <v>1.5182974748313427E-2</v>
      </c>
      <c r="M24" s="181">
        <v>2.3358422331511974E-3</v>
      </c>
      <c r="N24" s="181">
        <v>0</v>
      </c>
      <c r="O24" s="43"/>
      <c r="P24" s="43"/>
    </row>
    <row r="25" spans="2:16">
      <c r="B25" s="179">
        <v>21</v>
      </c>
      <c r="C25" s="179">
        <v>1632777</v>
      </c>
      <c r="D25" s="179">
        <v>23500</v>
      </c>
      <c r="E25" s="180">
        <v>2.1399999968707561E-3</v>
      </c>
      <c r="F25" s="179">
        <v>23889</v>
      </c>
      <c r="G25" s="179">
        <v>6161</v>
      </c>
      <c r="H25" s="181">
        <v>0.25790113210678101</v>
      </c>
      <c r="I25" s="181">
        <v>0.10640880465507507</v>
      </c>
      <c r="J25" s="181">
        <v>1.234877947717905E-2</v>
      </c>
      <c r="K25" s="181">
        <v>0.11369249224662781</v>
      </c>
      <c r="L25" s="181">
        <v>2.3441750556230545E-2</v>
      </c>
      <c r="M25" s="181">
        <v>2.0511532202363014E-3</v>
      </c>
      <c r="N25" s="181">
        <v>0</v>
      </c>
      <c r="O25" s="43"/>
      <c r="P25" s="43"/>
    </row>
    <row r="26" spans="2:16">
      <c r="B26" s="179">
        <v>22</v>
      </c>
      <c r="C26" s="179">
        <v>1633650</v>
      </c>
      <c r="D26" s="179">
        <v>24300</v>
      </c>
      <c r="E26" s="180">
        <v>2.2100000642240047E-3</v>
      </c>
      <c r="F26" s="179">
        <v>24735</v>
      </c>
      <c r="G26" s="179">
        <v>6284</v>
      </c>
      <c r="H26" s="181">
        <v>0.25405296683311462</v>
      </c>
      <c r="I26" s="181">
        <v>0.10491206496953964</v>
      </c>
      <c r="J26" s="181">
        <v>1.2047705240547657E-2</v>
      </c>
      <c r="K26" s="181">
        <v>0.11477663367986679</v>
      </c>
      <c r="L26" s="181">
        <v>2.0214270800352097E-2</v>
      </c>
      <c r="M26" s="181">
        <v>2.0618557464331388E-3</v>
      </c>
      <c r="N26" s="181">
        <v>0</v>
      </c>
      <c r="O26" s="43"/>
      <c r="P26" s="43"/>
    </row>
    <row r="27" spans="2:16">
      <c r="B27" s="179">
        <v>23</v>
      </c>
      <c r="C27" s="179">
        <v>1632201</v>
      </c>
      <c r="D27" s="179">
        <v>25100</v>
      </c>
      <c r="E27" s="180">
        <v>2.2799998987466097E-3</v>
      </c>
      <c r="F27" s="179">
        <v>25518</v>
      </c>
      <c r="G27" s="179">
        <v>6199</v>
      </c>
      <c r="H27" s="181">
        <v>0.24292656779289246</v>
      </c>
      <c r="I27" s="181">
        <v>0.10404420644044876</v>
      </c>
      <c r="J27" s="181">
        <v>1.1834783479571342E-2</v>
      </c>
      <c r="K27" s="181">
        <v>0.10764950513839722</v>
      </c>
      <c r="L27" s="181">
        <v>1.7438670620322227E-2</v>
      </c>
      <c r="M27" s="181">
        <v>1.9594011828303337E-3</v>
      </c>
      <c r="N27" s="181">
        <v>0</v>
      </c>
      <c r="O27" s="43"/>
      <c r="P27" s="43"/>
    </row>
    <row r="28" spans="2:16">
      <c r="B28" s="179">
        <v>24</v>
      </c>
      <c r="C28" s="179">
        <v>1632908</v>
      </c>
      <c r="D28" s="179">
        <v>25900</v>
      </c>
      <c r="E28" s="180">
        <v>2.360000042244792E-3</v>
      </c>
      <c r="F28" s="179">
        <v>26376</v>
      </c>
      <c r="G28" s="179">
        <v>6662</v>
      </c>
      <c r="H28" s="181">
        <v>0.25257810950279236</v>
      </c>
      <c r="I28" s="181">
        <v>0.10395814478397369</v>
      </c>
      <c r="J28" s="181">
        <v>1.0919017717242241E-2</v>
      </c>
      <c r="K28" s="181">
        <v>0.11593873053789139</v>
      </c>
      <c r="L28" s="181">
        <v>1.9487412646412849E-2</v>
      </c>
      <c r="M28" s="181">
        <v>2.2368819918483496E-3</v>
      </c>
      <c r="N28" s="181">
        <v>0</v>
      </c>
      <c r="O28" s="43"/>
      <c r="P28" s="43"/>
    </row>
    <row r="29" spans="2:16">
      <c r="B29" s="179">
        <v>25</v>
      </c>
      <c r="C29" s="179">
        <v>1633824</v>
      </c>
      <c r="D29" s="179">
        <v>26800</v>
      </c>
      <c r="E29" s="180">
        <v>2.4399999529123306E-3</v>
      </c>
      <c r="F29" s="179">
        <v>27234</v>
      </c>
      <c r="G29" s="179">
        <v>6794</v>
      </c>
      <c r="H29" s="181">
        <v>0.24946758151054382</v>
      </c>
      <c r="I29" s="181">
        <v>0.10141734778881073</v>
      </c>
      <c r="J29" s="181">
        <v>1.1566424742341042E-2</v>
      </c>
      <c r="K29" s="181">
        <v>0.11393845826387405</v>
      </c>
      <c r="L29" s="181">
        <v>2.0195344462990761E-2</v>
      </c>
      <c r="M29" s="181">
        <v>2.3132849019020796E-3</v>
      </c>
      <c r="N29" s="181">
        <v>0</v>
      </c>
      <c r="O29" s="43"/>
      <c r="P29" s="43"/>
    </row>
    <row r="30" spans="2:16">
      <c r="B30" s="179">
        <v>26</v>
      </c>
      <c r="C30" s="179">
        <v>1632757</v>
      </c>
      <c r="D30" s="179">
        <v>27700</v>
      </c>
      <c r="E30" s="180">
        <v>2.5100000202655792E-3</v>
      </c>
      <c r="F30" s="179">
        <v>28107</v>
      </c>
      <c r="G30" s="179">
        <v>7123</v>
      </c>
      <c r="H30" s="181">
        <v>0.25342440605163574</v>
      </c>
      <c r="I30" s="181">
        <v>0.10210979729890823</v>
      </c>
      <c r="J30" s="181">
        <v>1.1242751032114029E-2</v>
      </c>
      <c r="K30" s="181">
        <v>0.11740847676992416</v>
      </c>
      <c r="L30" s="181">
        <v>2.0457537844777107E-2</v>
      </c>
      <c r="M30" s="181">
        <v>2.2058561444282532E-3</v>
      </c>
      <c r="N30" s="181">
        <v>0</v>
      </c>
      <c r="O30" s="43"/>
      <c r="P30" s="43"/>
    </row>
    <row r="31" spans="2:16">
      <c r="B31" s="179">
        <v>27</v>
      </c>
      <c r="C31" s="179">
        <v>1632452</v>
      </c>
      <c r="D31" s="179">
        <v>28500</v>
      </c>
      <c r="E31" s="180">
        <v>2.5899999309331179E-3</v>
      </c>
      <c r="F31" s="179">
        <v>28928</v>
      </c>
      <c r="G31" s="179">
        <v>7493</v>
      </c>
      <c r="H31" s="181">
        <v>0.25902241468429565</v>
      </c>
      <c r="I31" s="181">
        <v>0.10142422467470169</v>
      </c>
      <c r="J31" s="181">
        <v>1.0232300497591496E-2</v>
      </c>
      <c r="K31" s="181">
        <v>0.12047151476144791</v>
      </c>
      <c r="L31" s="181">
        <v>2.4820243939757347E-2</v>
      </c>
      <c r="M31" s="181">
        <v>2.074114978313446E-3</v>
      </c>
      <c r="N31" s="181">
        <v>0</v>
      </c>
      <c r="O31" s="43"/>
      <c r="P31" s="43"/>
    </row>
    <row r="32" spans="2:16">
      <c r="B32" s="179">
        <v>28</v>
      </c>
      <c r="C32" s="179">
        <v>1634258</v>
      </c>
      <c r="D32" s="179">
        <v>29400</v>
      </c>
      <c r="E32" s="180">
        <v>2.6700000744313002E-3</v>
      </c>
      <c r="F32" s="179">
        <v>29834</v>
      </c>
      <c r="G32" s="179">
        <v>7782</v>
      </c>
      <c r="H32" s="181">
        <v>0.26084333658218384</v>
      </c>
      <c r="I32" s="181">
        <v>0.10058993101119995</v>
      </c>
      <c r="J32" s="181">
        <v>1.1563987471163273E-2</v>
      </c>
      <c r="K32" s="181">
        <v>0.12086880952119827</v>
      </c>
      <c r="L32" s="181">
        <v>2.5507809594273567E-2</v>
      </c>
      <c r="M32" s="181">
        <v>2.27927858941257E-3</v>
      </c>
      <c r="N32" s="181">
        <v>0</v>
      </c>
      <c r="O32" s="43"/>
      <c r="P32" s="43"/>
    </row>
    <row r="33" spans="2:16">
      <c r="B33" s="179">
        <v>29</v>
      </c>
      <c r="C33" s="179">
        <v>1631804</v>
      </c>
      <c r="D33" s="179">
        <v>30300</v>
      </c>
      <c r="E33" s="180">
        <v>2.7499999850988388E-3</v>
      </c>
      <c r="F33" s="179">
        <v>30826</v>
      </c>
      <c r="G33" s="179">
        <v>8083</v>
      </c>
      <c r="H33" s="181">
        <v>0.26221370697021484</v>
      </c>
      <c r="I33" s="181">
        <v>9.8812691867351532E-2</v>
      </c>
      <c r="J33" s="181">
        <v>1.2846298515796661E-2</v>
      </c>
      <c r="K33" s="181">
        <v>0.11782261729240417</v>
      </c>
      <c r="L33" s="181">
        <v>2.9261013492941856E-2</v>
      </c>
      <c r="M33" s="181">
        <v>3.4710958134382963E-3</v>
      </c>
      <c r="N33" s="181">
        <v>0</v>
      </c>
      <c r="O33" s="43"/>
      <c r="P33" s="43"/>
    </row>
    <row r="34" spans="2:16">
      <c r="B34" s="179">
        <v>30</v>
      </c>
      <c r="C34" s="179">
        <v>1633300</v>
      </c>
      <c r="D34" s="179">
        <v>31400</v>
      </c>
      <c r="E34" s="180">
        <v>2.8599998913705349E-3</v>
      </c>
      <c r="F34" s="179">
        <v>31935</v>
      </c>
      <c r="G34" s="179">
        <v>8203</v>
      </c>
      <c r="H34" s="181">
        <v>0.25686550140380859</v>
      </c>
      <c r="I34" s="181">
        <v>9.7103491425514221E-2</v>
      </c>
      <c r="J34" s="181">
        <v>1.2306246906518936E-2</v>
      </c>
      <c r="K34" s="181">
        <v>0.11398152261972427</v>
      </c>
      <c r="L34" s="181">
        <v>3.0155003070831299E-2</v>
      </c>
      <c r="M34" s="181">
        <v>3.3505558967590332E-3</v>
      </c>
      <c r="N34" s="181">
        <v>0</v>
      </c>
      <c r="O34" s="43"/>
      <c r="P34" s="43"/>
    </row>
    <row r="35" spans="2:16">
      <c r="B35" s="179">
        <v>31</v>
      </c>
      <c r="C35" s="179">
        <v>1633408</v>
      </c>
      <c r="D35" s="179">
        <v>32500</v>
      </c>
      <c r="E35" s="180">
        <v>2.9599999543279409E-3</v>
      </c>
      <c r="F35" s="179">
        <v>33055</v>
      </c>
      <c r="G35" s="179">
        <v>8484</v>
      </c>
      <c r="H35" s="181">
        <v>0.25666314363479614</v>
      </c>
      <c r="I35" s="181">
        <v>9.5356225967407227E-2</v>
      </c>
      <c r="J35" s="181">
        <v>1.337165292352438E-2</v>
      </c>
      <c r="K35" s="181">
        <v>0.11499016731977463</v>
      </c>
      <c r="L35" s="181">
        <v>2.925427258014679E-2</v>
      </c>
      <c r="M35" s="181">
        <v>3.7210709415376186E-3</v>
      </c>
      <c r="N35" s="181">
        <v>0</v>
      </c>
      <c r="O35" s="43"/>
      <c r="P35" s="43"/>
    </row>
    <row r="36" spans="2:16">
      <c r="B36" s="179">
        <v>32</v>
      </c>
      <c r="C36" s="179">
        <v>1633099</v>
      </c>
      <c r="D36" s="179">
        <v>33600</v>
      </c>
      <c r="E36" s="180">
        <v>3.0499999411404133E-3</v>
      </c>
      <c r="F36" s="179">
        <v>34127</v>
      </c>
      <c r="G36" s="179">
        <v>8917</v>
      </c>
      <c r="H36" s="181">
        <v>0.26128870248794556</v>
      </c>
      <c r="I36" s="181">
        <v>9.467577189207077E-2</v>
      </c>
      <c r="J36" s="181">
        <v>1.1076274327933788E-2</v>
      </c>
      <c r="K36" s="181">
        <v>0.11931901425123215</v>
      </c>
      <c r="L36" s="181">
        <v>3.322882205247879E-2</v>
      </c>
      <c r="M36" s="181">
        <v>2.988835796713829E-3</v>
      </c>
      <c r="N36" s="181">
        <v>0</v>
      </c>
      <c r="O36" s="43"/>
      <c r="P36" s="43"/>
    </row>
    <row r="37" spans="2:16">
      <c r="B37" s="179">
        <v>33</v>
      </c>
      <c r="C37" s="179">
        <v>1632353</v>
      </c>
      <c r="D37" s="179">
        <v>34600</v>
      </c>
      <c r="E37" s="180">
        <v>3.1399999279528856E-3</v>
      </c>
      <c r="F37" s="179">
        <v>35165</v>
      </c>
      <c r="G37" s="179">
        <v>9073</v>
      </c>
      <c r="H37" s="181">
        <v>0.25801223516464233</v>
      </c>
      <c r="I37" s="181">
        <v>9.2193946242332458E-2</v>
      </c>
      <c r="J37" s="181">
        <v>1.3394000008702278E-2</v>
      </c>
      <c r="K37" s="181">
        <v>0.11514289677143097</v>
      </c>
      <c r="L37" s="181">
        <v>3.3271718770265579E-2</v>
      </c>
      <c r="M37" s="181">
        <v>4.0096687152981758E-3</v>
      </c>
      <c r="N37" s="181">
        <v>0</v>
      </c>
      <c r="O37" s="43"/>
      <c r="P37" s="43"/>
    </row>
    <row r="38" spans="2:16">
      <c r="B38" s="179">
        <v>34</v>
      </c>
      <c r="C38" s="179">
        <v>1634162</v>
      </c>
      <c r="D38" s="179">
        <v>35700</v>
      </c>
      <c r="E38" s="180">
        <v>3.2399999909102917E-3</v>
      </c>
      <c r="F38" s="179">
        <v>36255</v>
      </c>
      <c r="G38" s="179">
        <v>9475</v>
      </c>
      <c r="H38" s="181">
        <v>0.26134327054023743</v>
      </c>
      <c r="I38" s="181">
        <v>9.0718522667884827E-2</v>
      </c>
      <c r="J38" s="181">
        <v>1.4535926282405853E-2</v>
      </c>
      <c r="K38" s="181">
        <v>0.11490828543901443</v>
      </c>
      <c r="L38" s="181">
        <v>3.6519099026918411E-2</v>
      </c>
      <c r="M38" s="181">
        <v>4.6338434331119061E-3</v>
      </c>
      <c r="N38" s="181">
        <v>0</v>
      </c>
      <c r="O38" s="43"/>
      <c r="P38" s="43"/>
    </row>
    <row r="39" spans="2:16">
      <c r="B39" s="179">
        <v>35</v>
      </c>
      <c r="C39" s="179">
        <v>1631899</v>
      </c>
      <c r="D39" s="179">
        <v>36800</v>
      </c>
      <c r="E39" s="180">
        <v>3.3400000538676977E-3</v>
      </c>
      <c r="F39" s="179">
        <v>37335</v>
      </c>
      <c r="G39" s="179">
        <v>9444</v>
      </c>
      <c r="H39" s="181">
        <v>0.25295299291610718</v>
      </c>
      <c r="I39" s="181">
        <v>8.8629968464374542E-2</v>
      </c>
      <c r="J39" s="181">
        <v>1.4035088010132313E-2</v>
      </c>
      <c r="K39" s="181">
        <v>0.11222713440656662</v>
      </c>
      <c r="L39" s="181">
        <v>3.3373508602380753E-2</v>
      </c>
      <c r="M39" s="181">
        <v>4.6337218955159187E-3</v>
      </c>
      <c r="N39" s="181">
        <v>0</v>
      </c>
      <c r="O39" s="43"/>
      <c r="P39" s="43"/>
    </row>
    <row r="40" spans="2:16">
      <c r="B40" s="179">
        <v>36</v>
      </c>
      <c r="C40" s="179">
        <v>1633251</v>
      </c>
      <c r="D40" s="179">
        <v>37900</v>
      </c>
      <c r="E40" s="180">
        <v>3.4399998839944601E-3</v>
      </c>
      <c r="F40" s="179">
        <v>38431</v>
      </c>
      <c r="G40" s="179">
        <v>9954</v>
      </c>
      <c r="H40" s="181">
        <v>0.25900965929031372</v>
      </c>
      <c r="I40" s="181">
        <v>8.6128383874893188E-2</v>
      </c>
      <c r="J40" s="181">
        <v>1.3556764461100101E-2</v>
      </c>
      <c r="K40" s="181">
        <v>0.11899247765541077</v>
      </c>
      <c r="L40" s="181">
        <v>3.5726368427276611E-2</v>
      </c>
      <c r="M40" s="181">
        <v>4.6056569553911686E-3</v>
      </c>
      <c r="N40" s="181">
        <v>0</v>
      </c>
      <c r="O40" s="43"/>
      <c r="P40" s="43"/>
    </row>
    <row r="41" spans="2:16">
      <c r="B41" s="179">
        <v>37</v>
      </c>
      <c r="C41" s="179">
        <v>1633100</v>
      </c>
      <c r="D41" s="179">
        <v>38900</v>
      </c>
      <c r="E41" s="180">
        <v>3.5300001036375761E-3</v>
      </c>
      <c r="F41" s="179">
        <v>39488</v>
      </c>
      <c r="G41" s="179">
        <v>10283</v>
      </c>
      <c r="H41" s="181">
        <v>0.26040822267532349</v>
      </c>
      <c r="I41" s="181">
        <v>8.4430709481239319E-2</v>
      </c>
      <c r="J41" s="181">
        <v>1.4688006602227688E-2</v>
      </c>
      <c r="K41" s="181">
        <v>0.1192767396569252</v>
      </c>
      <c r="L41" s="181">
        <v>3.7277147173881531E-2</v>
      </c>
      <c r="M41" s="181">
        <v>4.7609400935471058E-3</v>
      </c>
      <c r="N41" s="181">
        <v>0</v>
      </c>
      <c r="O41" s="43"/>
      <c r="P41" s="43"/>
    </row>
    <row r="42" spans="2:16">
      <c r="B42" s="179">
        <v>38</v>
      </c>
      <c r="C42" s="179">
        <v>1632827</v>
      </c>
      <c r="D42" s="179">
        <v>40000</v>
      </c>
      <c r="E42" s="180">
        <v>3.6299999337643385E-3</v>
      </c>
      <c r="F42" s="179">
        <v>40594</v>
      </c>
      <c r="G42" s="179">
        <v>10587</v>
      </c>
      <c r="H42" s="181">
        <v>0.26080209016799927</v>
      </c>
      <c r="I42" s="181">
        <v>8.3756223320960999E-2</v>
      </c>
      <c r="J42" s="181">
        <v>1.4460264705121517E-2</v>
      </c>
      <c r="K42" s="181">
        <v>0.1184411495923996</v>
      </c>
      <c r="L42" s="181">
        <v>3.9266888052225113E-2</v>
      </c>
      <c r="M42" s="181">
        <v>4.902202170342207E-3</v>
      </c>
      <c r="N42" s="181">
        <v>0</v>
      </c>
      <c r="O42" s="43"/>
      <c r="P42" s="43"/>
    </row>
    <row r="43" spans="2:16">
      <c r="B43" s="179">
        <v>39</v>
      </c>
      <c r="C43" s="179">
        <v>1633694</v>
      </c>
      <c r="D43" s="179">
        <v>41200</v>
      </c>
      <c r="E43" s="180">
        <v>3.7299999967217445E-3</v>
      </c>
      <c r="F43" s="179">
        <v>41718</v>
      </c>
      <c r="G43" s="179">
        <v>10824</v>
      </c>
      <c r="H43" s="181">
        <v>0.2594563364982605</v>
      </c>
      <c r="I43" s="181">
        <v>8.2650177180767059E-2</v>
      </c>
      <c r="J43" s="181">
        <v>1.5772568061947823E-2</v>
      </c>
      <c r="K43" s="181">
        <v>0.11467471718788147</v>
      </c>
      <c r="L43" s="181">
        <v>4.0821708738803864E-2</v>
      </c>
      <c r="M43" s="181">
        <v>5.5371783673763275E-3</v>
      </c>
      <c r="N43" s="181">
        <v>0</v>
      </c>
      <c r="O43" s="43"/>
      <c r="P43" s="43"/>
    </row>
    <row r="44" spans="2:16">
      <c r="B44" s="179">
        <v>40</v>
      </c>
      <c r="C44" s="179">
        <v>1632302</v>
      </c>
      <c r="D44" s="179">
        <v>42300</v>
      </c>
      <c r="E44" s="180">
        <v>3.8300000596791506E-3</v>
      </c>
      <c r="F44" s="179">
        <v>42824</v>
      </c>
      <c r="G44" s="179">
        <v>11017</v>
      </c>
      <c r="H44" s="181">
        <v>0.25726228952407837</v>
      </c>
      <c r="I44" s="181">
        <v>8.1869982182979584E-2</v>
      </c>
      <c r="J44" s="181">
        <v>1.5692135319113731E-2</v>
      </c>
      <c r="K44" s="181">
        <v>0.11302073299884796</v>
      </c>
      <c r="L44" s="181">
        <v>4.0794882923364639E-2</v>
      </c>
      <c r="M44" s="181">
        <v>5.8845505118370056E-3</v>
      </c>
      <c r="N44" s="181">
        <v>0</v>
      </c>
      <c r="O44" s="43"/>
      <c r="P44" s="43"/>
    </row>
    <row r="45" spans="2:16">
      <c r="B45" s="179">
        <v>41</v>
      </c>
      <c r="C45" s="179">
        <v>1633331</v>
      </c>
      <c r="D45" s="179">
        <v>43400</v>
      </c>
      <c r="E45" s="180">
        <v>3.9300001226365566E-3</v>
      </c>
      <c r="F45" s="179">
        <v>43975</v>
      </c>
      <c r="G45" s="179">
        <v>11558</v>
      </c>
      <c r="H45" s="181">
        <v>0.26283115148544312</v>
      </c>
      <c r="I45" s="181">
        <v>8.1023305654525757E-2</v>
      </c>
      <c r="J45" s="181">
        <v>1.6236497089266777E-2</v>
      </c>
      <c r="K45" s="181">
        <v>0.11522456258535385</v>
      </c>
      <c r="L45" s="181">
        <v>4.4366117566823959E-2</v>
      </c>
      <c r="M45" s="181">
        <v>6.0034110210835934E-3</v>
      </c>
      <c r="N45" s="181">
        <v>0</v>
      </c>
      <c r="O45" s="43"/>
      <c r="P45" s="43"/>
    </row>
    <row r="46" spans="2:16">
      <c r="B46" s="179">
        <v>42</v>
      </c>
      <c r="C46" s="179">
        <v>1632950</v>
      </c>
      <c r="D46" s="179">
        <v>44600</v>
      </c>
      <c r="E46" s="180">
        <v>4.029999952763319E-3</v>
      </c>
      <c r="F46" s="179">
        <v>45114</v>
      </c>
      <c r="G46" s="179">
        <v>11909</v>
      </c>
      <c r="H46" s="181">
        <v>0.26397570967674255</v>
      </c>
      <c r="I46" s="181">
        <v>8.039633184671402E-2</v>
      </c>
      <c r="J46" s="181">
        <v>1.7223034054040909E-2</v>
      </c>
      <c r="K46" s="181">
        <v>0.11490889638662338</v>
      </c>
      <c r="L46" s="181">
        <v>4.4864121824502945E-2</v>
      </c>
      <c r="M46" s="181">
        <v>6.6054882481694221E-3</v>
      </c>
      <c r="N46" s="181">
        <v>0</v>
      </c>
      <c r="O46" s="43"/>
      <c r="P46" s="43"/>
    </row>
    <row r="47" spans="2:16">
      <c r="B47" s="179">
        <v>43</v>
      </c>
      <c r="C47" s="179">
        <v>1632870</v>
      </c>
      <c r="D47" s="179">
        <v>45700</v>
      </c>
      <c r="E47" s="180">
        <v>4.1399998590350151E-3</v>
      </c>
      <c r="F47" s="179">
        <v>46298</v>
      </c>
      <c r="G47" s="179">
        <v>12373</v>
      </c>
      <c r="H47" s="181">
        <v>0.26724696159362793</v>
      </c>
      <c r="I47" s="181">
        <v>8.0154649913311005E-2</v>
      </c>
      <c r="J47" s="181">
        <v>1.6696184873580933E-2</v>
      </c>
      <c r="K47" s="181">
        <v>0.11646291613578796</v>
      </c>
      <c r="L47" s="181">
        <v>4.7237463295459747E-2</v>
      </c>
      <c r="M47" s="181">
        <v>6.6957534290850163E-3</v>
      </c>
      <c r="N47" s="181">
        <v>0</v>
      </c>
      <c r="O47" s="43"/>
      <c r="P47" s="43"/>
    </row>
    <row r="48" spans="2:16">
      <c r="B48" s="179">
        <v>44</v>
      </c>
      <c r="C48" s="179">
        <v>1633516</v>
      </c>
      <c r="D48" s="179">
        <v>46900</v>
      </c>
      <c r="E48" s="180">
        <v>4.2500002309679985E-3</v>
      </c>
      <c r="F48" s="179">
        <v>47455</v>
      </c>
      <c r="G48" s="179">
        <v>12422</v>
      </c>
      <c r="H48" s="181">
        <v>0.26176378130912781</v>
      </c>
      <c r="I48" s="181">
        <v>7.8832581639289856E-2</v>
      </c>
      <c r="J48" s="181">
        <v>1.6794858500361443E-2</v>
      </c>
      <c r="K48" s="181">
        <v>0.11138974130153656</v>
      </c>
      <c r="L48" s="181">
        <v>4.7307975590229034E-2</v>
      </c>
      <c r="M48" s="181">
        <v>7.459698710590601E-3</v>
      </c>
      <c r="N48" s="181">
        <v>0</v>
      </c>
      <c r="O48" s="43"/>
      <c r="P48" s="43"/>
    </row>
    <row r="49" spans="2:16">
      <c r="B49" s="179">
        <v>45</v>
      </c>
      <c r="C49" s="179">
        <v>1633639</v>
      </c>
      <c r="D49" s="179">
        <v>48100</v>
      </c>
      <c r="E49" s="180">
        <v>4.3600001372396946E-3</v>
      </c>
      <c r="F49" s="179">
        <v>48736</v>
      </c>
      <c r="G49" s="179">
        <v>12787</v>
      </c>
      <c r="H49" s="181">
        <v>0.26237279176712036</v>
      </c>
      <c r="I49" s="181">
        <v>7.8176297247409821E-2</v>
      </c>
      <c r="J49" s="181">
        <v>1.7871798947453499E-2</v>
      </c>
      <c r="K49" s="181">
        <v>0.11110883206129074</v>
      </c>
      <c r="L49" s="181">
        <v>4.7152001410722733E-2</v>
      </c>
      <c r="M49" s="181">
        <v>8.0433357506990433E-3</v>
      </c>
      <c r="N49" s="181">
        <v>0</v>
      </c>
      <c r="O49" s="43"/>
      <c r="P49" s="43"/>
    </row>
    <row r="50" spans="2:16">
      <c r="B50" s="179">
        <v>46</v>
      </c>
      <c r="C50" s="179">
        <v>1632529</v>
      </c>
      <c r="D50" s="179">
        <v>49400</v>
      </c>
      <c r="E50" s="180">
        <v>4.4700000435113907E-3</v>
      </c>
      <c r="F50" s="179">
        <v>50039</v>
      </c>
      <c r="G50" s="179">
        <v>12862</v>
      </c>
      <c r="H50" s="181">
        <v>0.25703951716423035</v>
      </c>
      <c r="I50" s="181">
        <v>7.7799320220947266E-2</v>
      </c>
      <c r="J50" s="181">
        <v>1.8265752121806145E-2</v>
      </c>
      <c r="K50" s="181">
        <v>0.10883510857820511</v>
      </c>
      <c r="L50" s="181">
        <v>4.4305440038442612E-2</v>
      </c>
      <c r="M50" s="181">
        <v>7.8538740053772926E-3</v>
      </c>
      <c r="N50" s="181">
        <v>0</v>
      </c>
      <c r="O50" s="43"/>
      <c r="P50" s="43"/>
    </row>
    <row r="51" spans="2:16">
      <c r="B51" s="179">
        <v>47</v>
      </c>
      <c r="C51" s="179">
        <v>1632606</v>
      </c>
      <c r="D51" s="179">
        <v>50700</v>
      </c>
      <c r="E51" s="180">
        <v>4.6000001020729542E-3</v>
      </c>
      <c r="F51" s="179">
        <v>51412</v>
      </c>
      <c r="G51" s="179">
        <v>13394</v>
      </c>
      <c r="H51" s="181">
        <v>0.26052284240722656</v>
      </c>
      <c r="I51" s="181">
        <v>7.7083170413970947E-2</v>
      </c>
      <c r="J51" s="181">
        <v>1.9275655969977379E-2</v>
      </c>
      <c r="K51" s="181">
        <v>0.10752353817224503</v>
      </c>
      <c r="L51" s="181">
        <v>4.8218313604593277E-2</v>
      </c>
      <c r="M51" s="181">
        <v>8.4221586585044861E-3</v>
      </c>
      <c r="N51" s="181">
        <v>0</v>
      </c>
      <c r="O51" s="43"/>
      <c r="P51" s="43"/>
    </row>
    <row r="52" spans="2:16">
      <c r="B52" s="179">
        <v>48</v>
      </c>
      <c r="C52" s="179">
        <v>1632506</v>
      </c>
      <c r="D52" s="179">
        <v>52100</v>
      </c>
      <c r="E52" s="180">
        <v>4.720000084489584E-3</v>
      </c>
      <c r="F52" s="179">
        <v>52744</v>
      </c>
      <c r="G52" s="179">
        <v>14139</v>
      </c>
      <c r="H52" s="181">
        <v>0.26806840300559998</v>
      </c>
      <c r="I52" s="181">
        <v>7.6558470726013184E-2</v>
      </c>
      <c r="J52" s="181">
        <v>1.8068406730890274E-2</v>
      </c>
      <c r="K52" s="181">
        <v>0.11216441541910172</v>
      </c>
      <c r="L52" s="181">
        <v>5.2764296531677246E-2</v>
      </c>
      <c r="M52" s="181">
        <v>8.5128163918852806E-3</v>
      </c>
      <c r="N52" s="181">
        <v>0</v>
      </c>
      <c r="O52" s="43"/>
      <c r="P52" s="43"/>
    </row>
    <row r="53" spans="2:16">
      <c r="B53" s="179">
        <v>49</v>
      </c>
      <c r="C53" s="179">
        <v>1633761</v>
      </c>
      <c r="D53" s="179">
        <v>53400</v>
      </c>
      <c r="E53" s="180">
        <v>4.8299999907612801E-3</v>
      </c>
      <c r="F53" s="179">
        <v>53987</v>
      </c>
      <c r="G53" s="179">
        <v>14771</v>
      </c>
      <c r="H53" s="181">
        <v>0.27360290288925171</v>
      </c>
      <c r="I53" s="181">
        <v>7.7129676938056946E-2</v>
      </c>
      <c r="J53" s="181">
        <v>1.6263173893094063E-2</v>
      </c>
      <c r="K53" s="181">
        <v>0.11660214513540268</v>
      </c>
      <c r="L53" s="181">
        <v>5.6106097996234894E-2</v>
      </c>
      <c r="M53" s="181">
        <v>7.5018061324954033E-3</v>
      </c>
      <c r="N53" s="181">
        <v>0</v>
      </c>
      <c r="O53" s="43"/>
      <c r="P53" s="43"/>
    </row>
    <row r="54" spans="2:16">
      <c r="B54" s="179">
        <v>50</v>
      </c>
      <c r="C54" s="179">
        <v>1632661</v>
      </c>
      <c r="D54" s="179">
        <v>54700</v>
      </c>
      <c r="E54" s="180">
        <v>4.9499999731779099E-3</v>
      </c>
      <c r="F54" s="179">
        <v>55345</v>
      </c>
      <c r="G54" s="179">
        <v>14942</v>
      </c>
      <c r="H54" s="181">
        <v>0.26997920870780945</v>
      </c>
      <c r="I54" s="181">
        <v>7.6501943171024323E-2</v>
      </c>
      <c r="J54" s="181">
        <v>1.6785617917776108E-2</v>
      </c>
      <c r="K54" s="181">
        <v>0.11509621143341064</v>
      </c>
      <c r="L54" s="181">
        <v>5.4060891270637512E-2</v>
      </c>
      <c r="M54" s="181">
        <v>7.5345560908317566E-3</v>
      </c>
      <c r="N54" s="181">
        <v>0</v>
      </c>
      <c r="O54" s="43"/>
      <c r="P54" s="43"/>
    </row>
    <row r="55" spans="2:16">
      <c r="B55" s="179">
        <v>51</v>
      </c>
      <c r="C55" s="179">
        <v>1634023</v>
      </c>
      <c r="D55" s="179">
        <v>56000</v>
      </c>
      <c r="E55" s="180">
        <v>5.0800000317394733E-3</v>
      </c>
      <c r="F55" s="179">
        <v>56812</v>
      </c>
      <c r="G55" s="179">
        <v>15460</v>
      </c>
      <c r="H55" s="181">
        <v>0.27212560176849365</v>
      </c>
      <c r="I55" s="181">
        <v>7.5793847441673279E-2</v>
      </c>
      <c r="J55" s="181">
        <v>1.8552418798208237E-2</v>
      </c>
      <c r="K55" s="181">
        <v>0.11300429701805115</v>
      </c>
      <c r="L55" s="181">
        <v>5.613250657916069E-2</v>
      </c>
      <c r="M55" s="181">
        <v>8.6601423099637032E-3</v>
      </c>
      <c r="N55" s="181">
        <v>0</v>
      </c>
      <c r="O55" s="43"/>
      <c r="P55" s="43"/>
    </row>
    <row r="56" spans="2:16">
      <c r="B56" s="179">
        <v>52</v>
      </c>
      <c r="C56" s="179">
        <v>1632897</v>
      </c>
      <c r="D56" s="179">
        <v>57600</v>
      </c>
      <c r="E56" s="180">
        <v>5.2299997769296169E-3</v>
      </c>
      <c r="F56" s="179">
        <v>58431</v>
      </c>
      <c r="G56" s="179">
        <v>15778</v>
      </c>
      <c r="H56" s="181">
        <v>0.27002790570259094</v>
      </c>
      <c r="I56" s="181">
        <v>7.4429668486118317E-2</v>
      </c>
      <c r="J56" s="181">
        <v>1.9681332632899284E-2</v>
      </c>
      <c r="K56" s="181">
        <v>0.11050640791654587</v>
      </c>
      <c r="L56" s="181">
        <v>5.6956067681312561E-2</v>
      </c>
      <c r="M56" s="181">
        <v>8.4544159471988678E-3</v>
      </c>
      <c r="N56" s="181">
        <v>0</v>
      </c>
      <c r="O56" s="43"/>
      <c r="P56" s="43"/>
    </row>
    <row r="57" spans="2:16">
      <c r="B57" s="179">
        <v>53</v>
      </c>
      <c r="C57" s="179">
        <v>1633694</v>
      </c>
      <c r="D57" s="179">
        <v>59200</v>
      </c>
      <c r="E57" s="180">
        <v>5.3699999116361141E-3</v>
      </c>
      <c r="F57" s="179">
        <v>60050</v>
      </c>
      <c r="G57" s="179">
        <v>16328</v>
      </c>
      <c r="H57" s="181">
        <v>0.27190673351287842</v>
      </c>
      <c r="I57" s="181">
        <v>7.3538720607757568E-2</v>
      </c>
      <c r="J57" s="181">
        <v>1.9716901704668999E-2</v>
      </c>
      <c r="K57" s="181">
        <v>0.11087427288293839</v>
      </c>
      <c r="L57" s="181">
        <v>5.856785923242569E-2</v>
      </c>
      <c r="M57" s="181">
        <v>9.2089921236038208E-3</v>
      </c>
      <c r="N57" s="181">
        <v>0</v>
      </c>
      <c r="O57" s="43"/>
      <c r="P57" s="43"/>
    </row>
    <row r="58" spans="2:16">
      <c r="B58" s="179">
        <v>54</v>
      </c>
      <c r="C58" s="179">
        <v>1631899</v>
      </c>
      <c r="D58" s="179">
        <v>60800</v>
      </c>
      <c r="E58" s="180">
        <v>5.5100000463426113E-3</v>
      </c>
      <c r="F58" s="179">
        <v>61630</v>
      </c>
      <c r="G58" s="179">
        <v>16867</v>
      </c>
      <c r="H58" s="181">
        <v>0.273681640625</v>
      </c>
      <c r="I58" s="181">
        <v>7.2545841336250305E-2</v>
      </c>
      <c r="J58" s="181">
        <v>1.8497485667467117E-2</v>
      </c>
      <c r="K58" s="181">
        <v>0.11247768998146057</v>
      </c>
      <c r="L58" s="181">
        <v>6.131754070520401E-2</v>
      </c>
      <c r="M58" s="181">
        <v>8.82687047123909E-3</v>
      </c>
      <c r="N58" s="181">
        <v>0</v>
      </c>
      <c r="O58" s="43"/>
      <c r="P58" s="43"/>
    </row>
    <row r="59" spans="2:16">
      <c r="B59" s="179">
        <v>55</v>
      </c>
      <c r="C59" s="179">
        <v>1633424</v>
      </c>
      <c r="D59" s="179">
        <v>62400</v>
      </c>
      <c r="E59" s="180">
        <v>5.6500001810491085E-3</v>
      </c>
      <c r="F59" s="179">
        <v>63172</v>
      </c>
      <c r="G59" s="179">
        <v>16755</v>
      </c>
      <c r="H59" s="181">
        <v>0.265228271484375</v>
      </c>
      <c r="I59" s="181">
        <v>6.8732984364032745E-2</v>
      </c>
      <c r="J59" s="181">
        <v>1.8853290006518364E-2</v>
      </c>
      <c r="K59" s="181">
        <v>0.11023871600627899</v>
      </c>
      <c r="L59" s="181">
        <v>5.9219274669885635E-2</v>
      </c>
      <c r="M59" s="181">
        <v>8.184005506336689E-3</v>
      </c>
      <c r="N59" s="181">
        <v>0</v>
      </c>
      <c r="O59" s="43"/>
      <c r="P59" s="43"/>
    </row>
    <row r="60" spans="2:16">
      <c r="B60" s="179">
        <v>56</v>
      </c>
      <c r="C60" s="179">
        <v>1633382</v>
      </c>
      <c r="D60" s="179">
        <v>64000</v>
      </c>
      <c r="E60" s="180">
        <v>5.7999999262392521E-3</v>
      </c>
      <c r="F60" s="179">
        <v>64865</v>
      </c>
      <c r="G60" s="179">
        <v>17323</v>
      </c>
      <c r="H60" s="181">
        <v>0.26706236600875854</v>
      </c>
      <c r="I60" s="181">
        <v>6.6553615033626556E-2</v>
      </c>
      <c r="J60" s="181">
        <v>1.9671626389026642E-2</v>
      </c>
      <c r="K60" s="181">
        <v>0.11215601861476898</v>
      </c>
      <c r="L60" s="181">
        <v>5.9785708785057068E-2</v>
      </c>
      <c r="M60" s="181">
        <v>8.8953981176018715E-3</v>
      </c>
      <c r="N60" s="181">
        <v>0</v>
      </c>
      <c r="O60" s="43"/>
      <c r="P60" s="43"/>
    </row>
    <row r="61" spans="2:16">
      <c r="B61" s="179">
        <v>57</v>
      </c>
      <c r="C61" s="179">
        <v>1633409</v>
      </c>
      <c r="D61" s="179">
        <v>65800</v>
      </c>
      <c r="E61" s="180">
        <v>5.9600002132356167E-3</v>
      </c>
      <c r="F61" s="179">
        <v>66664</v>
      </c>
      <c r="G61" s="179">
        <v>18034</v>
      </c>
      <c r="H61" s="181">
        <v>0.27052080631256104</v>
      </c>
      <c r="I61" s="181">
        <v>6.5732628107070923E-2</v>
      </c>
      <c r="J61" s="181">
        <v>2.1120844408869743E-2</v>
      </c>
      <c r="K61" s="181">
        <v>0.11041941493749619</v>
      </c>
      <c r="L61" s="181">
        <v>6.3707545399665833E-2</v>
      </c>
      <c r="M61" s="181">
        <v>9.5103802159428596E-3</v>
      </c>
      <c r="N61" s="181">
        <v>0</v>
      </c>
      <c r="O61" s="43"/>
      <c r="P61" s="43"/>
    </row>
    <row r="62" spans="2:16">
      <c r="B62" s="179">
        <v>58</v>
      </c>
      <c r="C62" s="179">
        <v>1632059</v>
      </c>
      <c r="D62" s="179">
        <v>67600</v>
      </c>
      <c r="E62" s="180">
        <v>6.1300001107156277E-3</v>
      </c>
      <c r="F62" s="179">
        <v>68539</v>
      </c>
      <c r="G62" s="179">
        <v>18713</v>
      </c>
      <c r="H62" s="181">
        <v>0.27302703261375427</v>
      </c>
      <c r="I62" s="181">
        <v>6.5437197685241699E-2</v>
      </c>
      <c r="J62" s="181">
        <v>1.9988618791103363E-2</v>
      </c>
      <c r="K62" s="181">
        <v>0.11340988427400589</v>
      </c>
      <c r="L62" s="181">
        <v>6.5583094954490662E-2</v>
      </c>
      <c r="M62" s="181">
        <v>8.6082378402352333E-3</v>
      </c>
      <c r="N62" s="181">
        <v>0</v>
      </c>
      <c r="O62" s="43"/>
      <c r="P62" s="43"/>
    </row>
    <row r="63" spans="2:16">
      <c r="B63" s="179">
        <v>59</v>
      </c>
      <c r="C63" s="179">
        <v>1632570</v>
      </c>
      <c r="D63" s="179">
        <v>69500</v>
      </c>
      <c r="E63" s="180">
        <v>6.3100000843405724E-3</v>
      </c>
      <c r="F63" s="179">
        <v>70526</v>
      </c>
      <c r="G63" s="179">
        <v>19128</v>
      </c>
      <c r="H63" s="181">
        <v>0.27121913433074951</v>
      </c>
      <c r="I63" s="181">
        <v>6.4855515956878662E-2</v>
      </c>
      <c r="J63" s="181">
        <v>2.1070243790745735E-2</v>
      </c>
      <c r="K63" s="181">
        <v>0.10994526743888855</v>
      </c>
      <c r="L63" s="181">
        <v>6.5663725137710571E-2</v>
      </c>
      <c r="M63" s="181">
        <v>9.6701923757791519E-3</v>
      </c>
      <c r="N63" s="181">
        <v>0</v>
      </c>
      <c r="O63" s="43"/>
      <c r="P63" s="43"/>
    </row>
    <row r="64" spans="2:16">
      <c r="B64" s="179">
        <v>60</v>
      </c>
      <c r="C64" s="179">
        <v>1633689</v>
      </c>
      <c r="D64" s="179">
        <v>71500</v>
      </c>
      <c r="E64" s="180">
        <v>6.490000057965517E-3</v>
      </c>
      <c r="F64" s="179">
        <v>72579</v>
      </c>
      <c r="G64" s="179">
        <v>20332</v>
      </c>
      <c r="H64" s="181">
        <v>0.28013613820075989</v>
      </c>
      <c r="I64" s="181">
        <v>6.4922362565994263E-2</v>
      </c>
      <c r="J64" s="181">
        <v>2.1604044362902641E-2</v>
      </c>
      <c r="K64" s="181">
        <v>0.11295278370380402</v>
      </c>
      <c r="L64" s="181">
        <v>7.1329168975353241E-2</v>
      </c>
      <c r="M64" s="181">
        <v>9.3277674168348312E-3</v>
      </c>
      <c r="N64" s="181">
        <v>0</v>
      </c>
      <c r="O64" s="43"/>
      <c r="P64" s="43"/>
    </row>
    <row r="65" spans="2:16">
      <c r="B65" s="179">
        <v>61</v>
      </c>
      <c r="C65" s="179">
        <v>1633230</v>
      </c>
      <c r="D65" s="179">
        <v>73600</v>
      </c>
      <c r="E65" s="180">
        <v>6.6800001077353954E-3</v>
      </c>
      <c r="F65" s="179">
        <v>74716</v>
      </c>
      <c r="G65" s="179">
        <v>20572</v>
      </c>
      <c r="H65" s="181">
        <v>0.27533593773841858</v>
      </c>
      <c r="I65" s="181">
        <v>6.4564481377601624E-2</v>
      </c>
      <c r="J65" s="181">
        <v>2.087906189262867E-2</v>
      </c>
      <c r="K65" s="181">
        <v>0.11223834007978439</v>
      </c>
      <c r="L65" s="181">
        <v>6.8245090544223785E-2</v>
      </c>
      <c r="M65" s="181">
        <v>9.4089619815349579E-3</v>
      </c>
      <c r="N65" s="181">
        <v>0</v>
      </c>
      <c r="O65" s="43"/>
      <c r="P65" s="43"/>
    </row>
    <row r="66" spans="2:16">
      <c r="B66" s="179">
        <v>62</v>
      </c>
      <c r="C66" s="179">
        <v>1633639</v>
      </c>
      <c r="D66" s="179">
        <v>75900</v>
      </c>
      <c r="E66" s="180">
        <v>6.8999999202787876E-3</v>
      </c>
      <c r="F66" s="179">
        <v>77094</v>
      </c>
      <c r="G66" s="179">
        <v>21437</v>
      </c>
      <c r="H66" s="181">
        <v>0.27806314826011658</v>
      </c>
      <c r="I66" s="181">
        <v>6.3312321901321411E-2</v>
      </c>
      <c r="J66" s="181">
        <v>2.3737255483865738E-2</v>
      </c>
      <c r="K66" s="181">
        <v>0.10698627680540085</v>
      </c>
      <c r="L66" s="181">
        <v>7.3261216282844543E-2</v>
      </c>
      <c r="M66" s="181">
        <v>1.0779049247503281E-2</v>
      </c>
      <c r="N66" s="181">
        <v>0</v>
      </c>
      <c r="O66" s="43"/>
      <c r="P66" s="43"/>
    </row>
    <row r="67" spans="2:16">
      <c r="B67" s="179">
        <v>63</v>
      </c>
      <c r="C67" s="179">
        <v>1632945</v>
      </c>
      <c r="D67" s="179">
        <v>78300</v>
      </c>
      <c r="E67" s="180">
        <v>7.1100001223385334E-3</v>
      </c>
      <c r="F67" s="179">
        <v>79506</v>
      </c>
      <c r="G67" s="179">
        <v>22548</v>
      </c>
      <c r="H67" s="181">
        <v>0.28360122442245483</v>
      </c>
      <c r="I67" s="181">
        <v>6.3668154180049896E-2</v>
      </c>
      <c r="J67" s="181">
        <v>2.2526601329445839E-2</v>
      </c>
      <c r="K67" s="181">
        <v>0.11228083074092865</v>
      </c>
      <c r="L67" s="181">
        <v>7.5390540063381195E-2</v>
      </c>
      <c r="M67" s="181">
        <v>9.760269895195961E-3</v>
      </c>
      <c r="N67" s="181">
        <v>0</v>
      </c>
      <c r="O67" s="43"/>
      <c r="P67" s="43"/>
    </row>
    <row r="68" spans="2:16">
      <c r="B68" s="179">
        <v>64</v>
      </c>
      <c r="C68" s="179">
        <v>1632478</v>
      </c>
      <c r="D68" s="179">
        <v>80800</v>
      </c>
      <c r="E68" s="180">
        <v>7.3400000110268593E-3</v>
      </c>
      <c r="F68" s="179">
        <v>82068</v>
      </c>
      <c r="G68" s="179">
        <v>23539</v>
      </c>
      <c r="H68" s="181">
        <v>0.28682312369346619</v>
      </c>
      <c r="I68" s="181">
        <v>6.3642345368862152E-2</v>
      </c>
      <c r="J68" s="181">
        <v>2.2591022774577141E-2</v>
      </c>
      <c r="K68" s="181">
        <v>0.11461227387189865</v>
      </c>
      <c r="L68" s="181">
        <v>7.6789982616901398E-2</v>
      </c>
      <c r="M68" s="181">
        <v>9.1753182932734489E-3</v>
      </c>
      <c r="N68" s="181">
        <v>0</v>
      </c>
      <c r="O68" s="43"/>
      <c r="P68" s="43"/>
    </row>
    <row r="69" spans="2:16">
      <c r="B69" s="179">
        <v>65</v>
      </c>
      <c r="C69" s="179">
        <v>1633425</v>
      </c>
      <c r="D69" s="179">
        <v>83300</v>
      </c>
      <c r="E69" s="180">
        <v>7.5799999758601189E-3</v>
      </c>
      <c r="F69" s="179">
        <v>84699</v>
      </c>
      <c r="G69" s="179">
        <v>24601</v>
      </c>
      <c r="H69" s="181">
        <v>0.29045206308364868</v>
      </c>
      <c r="I69" s="181">
        <v>6.3306532800197601E-2</v>
      </c>
      <c r="J69" s="181">
        <v>2.3435931652784348E-2</v>
      </c>
      <c r="K69" s="181">
        <v>0.11300015449523926</v>
      </c>
      <c r="L69" s="181">
        <v>8.0874629318714142E-2</v>
      </c>
      <c r="M69" s="181">
        <v>9.8466333001852036E-3</v>
      </c>
      <c r="N69" s="181">
        <v>0</v>
      </c>
      <c r="O69" s="43"/>
      <c r="P69" s="43"/>
    </row>
    <row r="70" spans="2:16">
      <c r="B70" s="179">
        <v>66</v>
      </c>
      <c r="C70" s="179">
        <v>1633171</v>
      </c>
      <c r="D70" s="179">
        <v>86100</v>
      </c>
      <c r="E70" s="180">
        <v>7.8400000929832458E-3</v>
      </c>
      <c r="F70" s="179">
        <v>87614</v>
      </c>
      <c r="G70" s="179">
        <v>25461</v>
      </c>
      <c r="H70" s="181">
        <v>0.29060423374176025</v>
      </c>
      <c r="I70" s="181">
        <v>6.28780797123909E-2</v>
      </c>
      <c r="J70" s="181">
        <v>2.280457504093647E-2</v>
      </c>
      <c r="K70" s="181">
        <v>0.11463921517133713</v>
      </c>
      <c r="L70" s="181">
        <v>8.0843247473239899E-2</v>
      </c>
      <c r="M70" s="181">
        <v>9.4391303136944771E-3</v>
      </c>
      <c r="N70" s="181">
        <v>0</v>
      </c>
      <c r="O70" s="43"/>
      <c r="P70" s="43"/>
    </row>
    <row r="71" spans="2:16">
      <c r="B71" s="179">
        <v>67</v>
      </c>
      <c r="C71" s="179">
        <v>1632989</v>
      </c>
      <c r="D71" s="179">
        <v>89100</v>
      </c>
      <c r="E71" s="180">
        <v>8.1000002101063728E-3</v>
      </c>
      <c r="F71" s="179">
        <v>90577</v>
      </c>
      <c r="G71" s="179">
        <v>25892</v>
      </c>
      <c r="H71" s="181">
        <v>0.28585624694824219</v>
      </c>
      <c r="I71" s="181">
        <v>6.2444109469652176E-2</v>
      </c>
      <c r="J71" s="181">
        <v>2.3747749626636505E-2</v>
      </c>
      <c r="K71" s="181">
        <v>0.1091226264834404</v>
      </c>
      <c r="L71" s="181">
        <v>8.0307364463806152E-2</v>
      </c>
      <c r="M71" s="181">
        <v>1.0223345831036568E-2</v>
      </c>
      <c r="N71" s="181">
        <v>0</v>
      </c>
      <c r="O71" s="43"/>
      <c r="P71" s="43"/>
    </row>
    <row r="72" spans="2:16">
      <c r="B72" s="179">
        <v>68</v>
      </c>
      <c r="C72" s="179">
        <v>1631965</v>
      </c>
      <c r="D72" s="179">
        <v>92000</v>
      </c>
      <c r="E72" s="180">
        <v>8.3600003272294998E-3</v>
      </c>
      <c r="F72" s="179">
        <v>93485</v>
      </c>
      <c r="G72" s="179">
        <v>27014</v>
      </c>
      <c r="H72" s="181">
        <v>0.28896614909172058</v>
      </c>
      <c r="I72" s="181">
        <v>6.21597059071064E-2</v>
      </c>
      <c r="J72" s="181">
        <v>2.3329945281147957E-2</v>
      </c>
      <c r="K72" s="181">
        <v>0.10924747586250305</v>
      </c>
      <c r="L72" s="181">
        <v>8.3628386259078979E-2</v>
      </c>
      <c r="M72" s="181">
        <v>1.0611328296363354E-2</v>
      </c>
      <c r="N72" s="181">
        <v>0</v>
      </c>
      <c r="O72" s="43"/>
      <c r="P72" s="43"/>
    </row>
    <row r="73" spans="2:16">
      <c r="B73" s="179">
        <v>69</v>
      </c>
      <c r="C73" s="179">
        <v>1634130</v>
      </c>
      <c r="D73" s="179">
        <v>95000</v>
      </c>
      <c r="E73" s="180">
        <v>8.6399996653199196E-3</v>
      </c>
      <c r="F73" s="179">
        <v>96554</v>
      </c>
      <c r="G73" s="179">
        <v>27927</v>
      </c>
      <c r="H73" s="181">
        <v>0.28923711180686951</v>
      </c>
      <c r="I73" s="181">
        <v>6.1882469803094864E-2</v>
      </c>
      <c r="J73" s="181">
        <v>2.3914078250527382E-2</v>
      </c>
      <c r="K73" s="181">
        <v>0.10879921913146973</v>
      </c>
      <c r="L73" s="181">
        <v>8.3766594529151917E-2</v>
      </c>
      <c r="M73" s="181">
        <v>1.0874743573367596E-2</v>
      </c>
      <c r="N73" s="181">
        <v>0</v>
      </c>
      <c r="O73" s="43"/>
      <c r="P73" s="43"/>
    </row>
    <row r="74" spans="2:16">
      <c r="B74" s="179">
        <v>70</v>
      </c>
      <c r="C74" s="179">
        <v>1632535</v>
      </c>
      <c r="D74" s="179">
        <v>98100</v>
      </c>
      <c r="E74" s="180">
        <v>8.9100003242492676E-3</v>
      </c>
      <c r="F74" s="179">
        <v>99602</v>
      </c>
      <c r="G74" s="179">
        <v>29354</v>
      </c>
      <c r="H74" s="181">
        <v>0.29471296072006226</v>
      </c>
      <c r="I74" s="181">
        <v>6.1826068907976151E-2</v>
      </c>
      <c r="J74" s="181">
        <v>2.3352945223450661E-2</v>
      </c>
      <c r="K74" s="181">
        <v>0.11073070764541626</v>
      </c>
      <c r="L74" s="181">
        <v>8.7829560041427612E-2</v>
      </c>
      <c r="M74" s="181">
        <v>1.0973675176501274E-2</v>
      </c>
      <c r="N74" s="181">
        <v>0</v>
      </c>
      <c r="O74" s="43"/>
      <c r="P74" s="43"/>
    </row>
    <row r="75" spans="2:16">
      <c r="B75" s="179">
        <v>71</v>
      </c>
      <c r="C75" s="179">
        <v>1632582</v>
      </c>
      <c r="D75" s="179">
        <v>101000</v>
      </c>
      <c r="E75" s="180">
        <v>9.1899996623396873E-3</v>
      </c>
      <c r="F75" s="179">
        <v>102825</v>
      </c>
      <c r="G75" s="179">
        <v>30460</v>
      </c>
      <c r="H75" s="181">
        <v>0.29623144865036011</v>
      </c>
      <c r="I75" s="181">
        <v>6.1949916183948517E-2</v>
      </c>
      <c r="J75" s="181">
        <v>2.380743995308876E-2</v>
      </c>
      <c r="K75" s="181">
        <v>0.11093605309724808</v>
      </c>
      <c r="L75" s="181">
        <v>8.878190815448761E-2</v>
      </c>
      <c r="M75" s="181">
        <v>1.0746413841843605E-2</v>
      </c>
      <c r="N75" s="181">
        <v>0</v>
      </c>
      <c r="O75" s="43"/>
      <c r="P75" s="43"/>
    </row>
    <row r="76" spans="2:16">
      <c r="B76" s="179">
        <v>72</v>
      </c>
      <c r="C76" s="179">
        <v>1632906</v>
      </c>
      <c r="D76" s="179">
        <v>104000</v>
      </c>
      <c r="E76" s="180">
        <v>9.4999996945261955E-3</v>
      </c>
      <c r="F76" s="179">
        <v>106239</v>
      </c>
      <c r="G76" s="179">
        <v>31570</v>
      </c>
      <c r="H76" s="181">
        <v>0.29716017842292786</v>
      </c>
      <c r="I76" s="181">
        <v>6.1484012752771378E-2</v>
      </c>
      <c r="J76" s="181">
        <v>2.5677952915430069E-2</v>
      </c>
      <c r="K76" s="181">
        <v>0.10801117867231369</v>
      </c>
      <c r="L76" s="181">
        <v>9.0719982981681824E-2</v>
      </c>
      <c r="M76" s="181">
        <v>1.1276461184024811E-2</v>
      </c>
      <c r="N76" s="181">
        <v>0</v>
      </c>
      <c r="O76" s="43"/>
      <c r="P76" s="43"/>
    </row>
    <row r="77" spans="2:16">
      <c r="B77" s="179">
        <v>73</v>
      </c>
      <c r="C77" s="179">
        <v>1633068</v>
      </c>
      <c r="D77" s="179">
        <v>108000</v>
      </c>
      <c r="E77" s="180">
        <v>9.8400004208087921E-3</v>
      </c>
      <c r="F77" s="179">
        <v>110056</v>
      </c>
      <c r="G77" s="179">
        <v>32269</v>
      </c>
      <c r="H77" s="181">
        <v>0.29320529103279114</v>
      </c>
      <c r="I77" s="181">
        <v>6.0723632574081421E-2</v>
      </c>
      <c r="J77" s="181">
        <v>2.6159409433603287E-2</v>
      </c>
      <c r="K77" s="181">
        <v>0.10411063581705093</v>
      </c>
      <c r="L77" s="181">
        <v>9.0363085269927979E-2</v>
      </c>
      <c r="M77" s="181">
        <v>1.1857599951326847E-2</v>
      </c>
      <c r="N77" s="181">
        <v>0</v>
      </c>
      <c r="O77" s="43"/>
      <c r="P77" s="43"/>
    </row>
    <row r="78" spans="2:16">
      <c r="B78" s="179">
        <v>74</v>
      </c>
      <c r="C78" s="179">
        <v>1633528</v>
      </c>
      <c r="D78" s="179">
        <v>112000</v>
      </c>
      <c r="E78" s="180">
        <v>1.0200000368058681E-2</v>
      </c>
      <c r="F78" s="179">
        <v>114030</v>
      </c>
      <c r="G78" s="179">
        <v>33673</v>
      </c>
      <c r="H78" s="181">
        <v>0.2952994704246521</v>
      </c>
      <c r="I78" s="181">
        <v>6.043146550655365E-2</v>
      </c>
      <c r="J78" s="181">
        <v>2.618609182536602E-2</v>
      </c>
      <c r="K78" s="181">
        <v>0.10607735067605972</v>
      </c>
      <c r="L78" s="181">
        <v>9.0625271201133728E-2</v>
      </c>
      <c r="M78" s="181">
        <v>1.1979303322732449E-2</v>
      </c>
      <c r="N78" s="181">
        <v>0</v>
      </c>
      <c r="O78" s="43"/>
      <c r="P78" s="43"/>
    </row>
    <row r="79" spans="2:16">
      <c r="B79" s="179">
        <v>75</v>
      </c>
      <c r="C79" s="179">
        <v>1633334</v>
      </c>
      <c r="D79" s="179">
        <v>116000</v>
      </c>
      <c r="E79" s="180">
        <v>1.0560000315308571E-2</v>
      </c>
      <c r="F79" s="179">
        <v>118049</v>
      </c>
      <c r="G79" s="179">
        <v>34539</v>
      </c>
      <c r="H79" s="181">
        <v>0.29258188605308533</v>
      </c>
      <c r="I79" s="181">
        <v>5.8433361351490021E-2</v>
      </c>
      <c r="J79" s="181">
        <v>2.7285279706120491E-2</v>
      </c>
      <c r="K79" s="181">
        <v>0.10370270162820816</v>
      </c>
      <c r="L79" s="181">
        <v>9.1165535151958466E-2</v>
      </c>
      <c r="M79" s="181">
        <v>1.2003489769995213E-2</v>
      </c>
      <c r="N79" s="181">
        <v>0</v>
      </c>
      <c r="O79" s="43"/>
      <c r="P79" s="43"/>
    </row>
    <row r="80" spans="2:16">
      <c r="B80" s="179">
        <v>76</v>
      </c>
      <c r="C80" s="179">
        <v>1633377</v>
      </c>
      <c r="D80" s="179">
        <v>120000</v>
      </c>
      <c r="E80" s="180">
        <v>1.0929999873042107E-2</v>
      </c>
      <c r="F80" s="179">
        <v>122237</v>
      </c>
      <c r="G80" s="179">
        <v>35140</v>
      </c>
      <c r="H80" s="181">
        <v>0.28747433423995972</v>
      </c>
      <c r="I80" s="181">
        <v>5.4058916866779327E-2</v>
      </c>
      <c r="J80" s="181">
        <v>2.8502007946372032E-2</v>
      </c>
      <c r="K80" s="181">
        <v>9.9380709230899811E-2</v>
      </c>
      <c r="L80" s="181">
        <v>9.2075228691101074E-2</v>
      </c>
      <c r="M80" s="181">
        <v>1.3449283316731453E-2</v>
      </c>
      <c r="N80" s="181">
        <v>0</v>
      </c>
      <c r="O80" s="43"/>
      <c r="P80" s="43"/>
    </row>
    <row r="81" spans="2:16">
      <c r="B81" s="179">
        <v>77</v>
      </c>
      <c r="C81" s="179">
        <v>1632333</v>
      </c>
      <c r="D81" s="179">
        <v>124000</v>
      </c>
      <c r="E81" s="180">
        <v>1.1289999820291996E-2</v>
      </c>
      <c r="F81" s="179">
        <v>126340</v>
      </c>
      <c r="G81" s="179">
        <v>35858</v>
      </c>
      <c r="H81" s="181">
        <v>0.28382143378257751</v>
      </c>
      <c r="I81" s="181">
        <v>5.1464304327964783E-2</v>
      </c>
      <c r="J81" s="181">
        <v>2.8668671846389771E-2</v>
      </c>
      <c r="K81" s="181">
        <v>9.8575271666049957E-2</v>
      </c>
      <c r="L81" s="181">
        <v>9.1594107449054718E-2</v>
      </c>
      <c r="M81" s="181">
        <v>1.3511160388588905E-2</v>
      </c>
      <c r="N81" s="181">
        <v>0</v>
      </c>
      <c r="O81" s="43"/>
      <c r="P81" s="43"/>
    </row>
    <row r="82" spans="2:16">
      <c r="B82" s="179">
        <v>78</v>
      </c>
      <c r="C82" s="179">
        <v>1633973</v>
      </c>
      <c r="D82" s="179">
        <v>129000</v>
      </c>
      <c r="E82" s="180">
        <v>1.1710000224411488E-2</v>
      </c>
      <c r="F82" s="179">
        <v>130848</v>
      </c>
      <c r="G82" s="179">
        <v>37792</v>
      </c>
      <c r="H82" s="181">
        <v>0.28882366418838501</v>
      </c>
      <c r="I82" s="181">
        <v>5.1158595830202103E-2</v>
      </c>
      <c r="J82" s="181">
        <v>2.7520481497049332E-2</v>
      </c>
      <c r="K82" s="181">
        <v>0.10334128141403198</v>
      </c>
      <c r="L82" s="181">
        <v>9.4177976250648499E-2</v>
      </c>
      <c r="M82" s="181">
        <v>1.2610051780939102E-2</v>
      </c>
      <c r="N82" s="181">
        <v>0</v>
      </c>
      <c r="O82" s="43"/>
      <c r="P82" s="43"/>
    </row>
    <row r="83" spans="2:16">
      <c r="B83" s="179">
        <v>79</v>
      </c>
      <c r="C83" s="179">
        <v>1631653</v>
      </c>
      <c r="D83" s="179">
        <v>133000</v>
      </c>
      <c r="E83" s="180">
        <v>1.2120000086724758E-2</v>
      </c>
      <c r="F83" s="179">
        <v>135646</v>
      </c>
      <c r="G83" s="179">
        <v>38825</v>
      </c>
      <c r="H83" s="181">
        <v>0.28622296452522278</v>
      </c>
      <c r="I83" s="181">
        <v>5.0712883472442627E-2</v>
      </c>
      <c r="J83" s="181">
        <v>2.6834554970264435E-2</v>
      </c>
      <c r="K83" s="181">
        <v>0.10219984501600266</v>
      </c>
      <c r="L83" s="181">
        <v>9.3692407011985779E-2</v>
      </c>
      <c r="M83" s="181">
        <v>1.2775901705026627E-2</v>
      </c>
      <c r="N83" s="181">
        <v>0</v>
      </c>
      <c r="O83" s="43"/>
      <c r="P83" s="43"/>
    </row>
    <row r="84" spans="2:16">
      <c r="B84" s="179">
        <v>80</v>
      </c>
      <c r="C84" s="179">
        <v>1633811</v>
      </c>
      <c r="D84" s="179">
        <v>138000</v>
      </c>
      <c r="E84" s="180">
        <v>1.2600000016391277E-2</v>
      </c>
      <c r="F84" s="179">
        <v>140767</v>
      </c>
      <c r="G84" s="179">
        <v>41129</v>
      </c>
      <c r="H84" s="181">
        <v>0.29217785596847534</v>
      </c>
      <c r="I84" s="181">
        <v>5.0530310720205307E-2</v>
      </c>
      <c r="J84" s="181">
        <v>2.7861643582582474E-2</v>
      </c>
      <c r="K84" s="181">
        <v>0.10398033261299133</v>
      </c>
      <c r="L84" s="181">
        <v>9.7430504858493805E-2</v>
      </c>
      <c r="M84" s="181">
        <v>1.2367955408990383E-2</v>
      </c>
      <c r="N84" s="181">
        <v>0</v>
      </c>
      <c r="O84" s="43"/>
      <c r="P84" s="43"/>
    </row>
    <row r="85" spans="2:16">
      <c r="B85" s="179">
        <v>81</v>
      </c>
      <c r="C85" s="179">
        <v>1633266</v>
      </c>
      <c r="D85" s="179">
        <v>143000</v>
      </c>
      <c r="E85" s="180">
        <v>1.3079999946057796E-2</v>
      </c>
      <c r="F85" s="179">
        <v>146179</v>
      </c>
      <c r="G85" s="179">
        <v>42205</v>
      </c>
      <c r="H85" s="181">
        <v>0.28872135281562805</v>
      </c>
      <c r="I85" s="181">
        <v>4.9801956862211227E-2</v>
      </c>
      <c r="J85" s="181">
        <v>3.0503697693347931E-2</v>
      </c>
      <c r="K85" s="181">
        <v>9.9241338670253754E-2</v>
      </c>
      <c r="L85" s="181">
        <v>9.6156083047389984E-2</v>
      </c>
      <c r="M85" s="181">
        <v>1.3025126419961452E-2</v>
      </c>
      <c r="N85" s="181">
        <v>0</v>
      </c>
      <c r="O85" s="43"/>
      <c r="P85" s="43"/>
    </row>
    <row r="86" spans="2:16">
      <c r="B86" s="179">
        <v>82</v>
      </c>
      <c r="C86" s="179">
        <v>1633069</v>
      </c>
      <c r="D86" s="179">
        <v>149000</v>
      </c>
      <c r="E86" s="180">
        <v>1.3620000332593918E-2</v>
      </c>
      <c r="F86" s="179">
        <v>152239</v>
      </c>
      <c r="G86" s="179">
        <v>45438</v>
      </c>
      <c r="H86" s="181">
        <v>0.29846492409706116</v>
      </c>
      <c r="I86" s="181">
        <v>4.9908366054296494E-2</v>
      </c>
      <c r="J86" s="181">
        <v>2.8928197920322418E-2</v>
      </c>
      <c r="K86" s="181">
        <v>0.10276604443788528</v>
      </c>
      <c r="L86" s="181">
        <v>0.1037382036447525</v>
      </c>
      <c r="M86" s="181">
        <v>1.31175322458148E-2</v>
      </c>
      <c r="N86" s="181">
        <v>0</v>
      </c>
      <c r="O86" s="43"/>
      <c r="P86" s="43"/>
    </row>
    <row r="87" spans="2:16">
      <c r="B87" s="179">
        <v>83</v>
      </c>
      <c r="C87" s="179">
        <v>1632254</v>
      </c>
      <c r="D87" s="179">
        <v>155000</v>
      </c>
      <c r="E87" s="180">
        <v>1.4179999940097332E-2</v>
      </c>
      <c r="F87" s="179">
        <v>158666</v>
      </c>
      <c r="G87" s="179">
        <v>46119</v>
      </c>
      <c r="H87" s="181">
        <v>0.29066717624664307</v>
      </c>
      <c r="I87" s="181">
        <v>4.8882558941841125E-2</v>
      </c>
      <c r="J87" s="181">
        <v>2.8947601094841957E-2</v>
      </c>
      <c r="K87" s="181">
        <v>9.6718892455101013E-2</v>
      </c>
      <c r="L87" s="181">
        <v>0.10206975787878036</v>
      </c>
      <c r="M87" s="181">
        <v>1.4054681174457073E-2</v>
      </c>
      <c r="N87" s="181">
        <v>0</v>
      </c>
      <c r="O87" s="43"/>
      <c r="P87" s="43"/>
    </row>
    <row r="88" spans="2:16">
      <c r="B88" s="179">
        <v>84</v>
      </c>
      <c r="C88" s="179">
        <v>1633767</v>
      </c>
      <c r="D88" s="179">
        <v>162000</v>
      </c>
      <c r="E88" s="180">
        <v>1.4800000004470348E-2</v>
      </c>
      <c r="F88" s="179">
        <v>165441</v>
      </c>
      <c r="G88" s="179">
        <v>48365</v>
      </c>
      <c r="H88" s="181">
        <v>0.29233986139297485</v>
      </c>
      <c r="I88" s="181">
        <v>4.8168230801820755E-2</v>
      </c>
      <c r="J88" s="181">
        <v>3.1461365520954132E-2</v>
      </c>
      <c r="K88" s="181">
        <v>9.3483477830886841E-2</v>
      </c>
      <c r="L88" s="181">
        <v>0.10410962253808975</v>
      </c>
      <c r="M88" s="181">
        <v>1.5117171220481396E-2</v>
      </c>
      <c r="N88" s="181">
        <v>0</v>
      </c>
      <c r="O88" s="43"/>
      <c r="P88" s="43"/>
    </row>
    <row r="89" spans="2:16">
      <c r="B89" s="179">
        <v>85</v>
      </c>
      <c r="C89" s="179">
        <v>1633402</v>
      </c>
      <c r="D89" s="179">
        <v>169000</v>
      </c>
      <c r="E89" s="180">
        <v>1.549999974668026E-2</v>
      </c>
      <c r="F89" s="179">
        <v>173252</v>
      </c>
      <c r="G89" s="179">
        <v>51222</v>
      </c>
      <c r="H89" s="181">
        <v>0.29565027356147766</v>
      </c>
      <c r="I89" s="181">
        <v>4.8391938209533691E-2</v>
      </c>
      <c r="J89" s="181">
        <v>2.9950592666864395E-2</v>
      </c>
      <c r="K89" s="181">
        <v>9.6991665661334991E-2</v>
      </c>
      <c r="L89" s="181">
        <v>0.10612864792346954</v>
      </c>
      <c r="M89" s="181">
        <v>1.4193198643624783E-2</v>
      </c>
      <c r="N89" s="181">
        <v>0</v>
      </c>
      <c r="O89" s="43"/>
      <c r="P89" s="43"/>
    </row>
    <row r="90" spans="2:16">
      <c r="B90" s="179">
        <v>86</v>
      </c>
      <c r="C90" s="179">
        <v>1631921</v>
      </c>
      <c r="D90" s="179">
        <v>178000</v>
      </c>
      <c r="E90" s="180">
        <v>1.6300000250339508E-2</v>
      </c>
      <c r="F90" s="179">
        <v>182409</v>
      </c>
      <c r="G90" s="179">
        <v>53945</v>
      </c>
      <c r="H90" s="181">
        <v>0.29573649168014526</v>
      </c>
      <c r="I90" s="181">
        <v>4.7810140997171402E-2</v>
      </c>
      <c r="J90" s="181">
        <v>3.2125607132911682E-2</v>
      </c>
      <c r="K90" s="181">
        <v>9.4518363475799561E-2</v>
      </c>
      <c r="L90" s="181">
        <v>0.10638729482889175</v>
      </c>
      <c r="M90" s="181">
        <v>1.4895098283886909E-2</v>
      </c>
      <c r="N90" s="181">
        <v>0</v>
      </c>
      <c r="O90" s="43"/>
      <c r="P90" s="43"/>
    </row>
    <row r="91" spans="2:16">
      <c r="B91" s="179">
        <v>87</v>
      </c>
      <c r="C91" s="179">
        <v>1634120</v>
      </c>
      <c r="D91" s="179">
        <v>187000</v>
      </c>
      <c r="E91" s="180">
        <v>1.7170000821352005E-2</v>
      </c>
      <c r="F91" s="179">
        <v>191895</v>
      </c>
      <c r="G91" s="179">
        <v>56735</v>
      </c>
      <c r="H91" s="181">
        <v>0.2956564724445343</v>
      </c>
      <c r="I91" s="181">
        <v>4.7916829586029053E-2</v>
      </c>
      <c r="J91" s="181">
        <v>3.2278068363666534E-2</v>
      </c>
      <c r="K91" s="181">
        <v>9.4093121588230133E-2</v>
      </c>
      <c r="L91" s="181">
        <v>0.10718882828950882</v>
      </c>
      <c r="M91" s="181">
        <v>1.4179629273712635E-2</v>
      </c>
      <c r="N91" s="181">
        <v>0</v>
      </c>
      <c r="O91" s="43"/>
      <c r="P91" s="43"/>
    </row>
    <row r="92" spans="2:16">
      <c r="B92" s="179">
        <v>88</v>
      </c>
      <c r="C92" s="179">
        <v>1632335</v>
      </c>
      <c r="D92" s="179">
        <v>197000</v>
      </c>
      <c r="E92" s="180">
        <v>1.8050000071525574E-2</v>
      </c>
      <c r="F92" s="179">
        <v>201871</v>
      </c>
      <c r="G92" s="179">
        <v>60256</v>
      </c>
      <c r="H92" s="181">
        <v>0.29848763346672058</v>
      </c>
      <c r="I92" s="181">
        <v>4.7768130898475647E-2</v>
      </c>
      <c r="J92" s="181">
        <v>3.2773405313491821E-2</v>
      </c>
      <c r="K92" s="181">
        <v>9.2777073383331299E-2</v>
      </c>
      <c r="L92" s="181">
        <v>0.1105111688375473</v>
      </c>
      <c r="M92" s="181">
        <v>1.4657875522971153E-2</v>
      </c>
      <c r="N92" s="181">
        <v>0</v>
      </c>
      <c r="O92" s="43"/>
      <c r="P92" s="43"/>
    </row>
    <row r="93" spans="2:16">
      <c r="B93" s="179">
        <v>89</v>
      </c>
      <c r="C93" s="179">
        <v>1633393</v>
      </c>
      <c r="D93" s="179">
        <v>207000</v>
      </c>
      <c r="E93" s="180">
        <v>1.9050000235438347E-2</v>
      </c>
      <c r="F93" s="179">
        <v>212944</v>
      </c>
      <c r="G93" s="179">
        <v>64785</v>
      </c>
      <c r="H93" s="181">
        <v>0.30423492193222046</v>
      </c>
      <c r="I93" s="181">
        <v>4.7697987407445908E-2</v>
      </c>
      <c r="J93" s="181">
        <v>3.2919451594352722E-2</v>
      </c>
      <c r="K93" s="181">
        <v>9.234822541475296E-2</v>
      </c>
      <c r="L93" s="181">
        <v>0.11661751568317413</v>
      </c>
      <c r="M93" s="181">
        <v>1.4651739038527012E-2</v>
      </c>
      <c r="N93" s="181">
        <v>0</v>
      </c>
      <c r="O93" s="43"/>
      <c r="P93" s="43"/>
    </row>
    <row r="94" spans="2:16">
      <c r="B94" s="179">
        <v>90</v>
      </c>
      <c r="C94" s="179">
        <v>1632309</v>
      </c>
      <c r="D94" s="179">
        <v>219000</v>
      </c>
      <c r="E94" s="180">
        <v>2.0109999924898148E-2</v>
      </c>
      <c r="F94" s="179">
        <v>224909</v>
      </c>
      <c r="G94" s="179">
        <v>67394</v>
      </c>
      <c r="H94" s="181">
        <v>0.29965007305145264</v>
      </c>
      <c r="I94" s="181">
        <v>4.7001231461763382E-2</v>
      </c>
      <c r="J94" s="181">
        <v>3.3715859055519104E-2</v>
      </c>
      <c r="K94" s="181">
        <v>8.5892513394355774E-2</v>
      </c>
      <c r="L94" s="181">
        <v>0.11634038388729095</v>
      </c>
      <c r="M94" s="181">
        <v>1.6700087115168571E-2</v>
      </c>
      <c r="N94" s="181">
        <v>0</v>
      </c>
      <c r="O94" s="43"/>
      <c r="P94" s="43"/>
    </row>
    <row r="95" spans="2:16">
      <c r="B95" s="179">
        <v>91</v>
      </c>
      <c r="C95" s="179">
        <v>1633870</v>
      </c>
      <c r="D95" s="179">
        <v>232000</v>
      </c>
      <c r="E95" s="180">
        <v>2.1409999579191208E-2</v>
      </c>
      <c r="F95" s="179">
        <v>239255</v>
      </c>
      <c r="G95" s="179">
        <v>71974</v>
      </c>
      <c r="H95" s="181">
        <v>0.30082547664642334</v>
      </c>
      <c r="I95" s="181">
        <v>4.6933189034461975E-2</v>
      </c>
      <c r="J95" s="181">
        <v>3.4716099500656128E-2</v>
      </c>
      <c r="K95" s="181">
        <v>8.343399316072464E-2</v>
      </c>
      <c r="L95" s="181">
        <v>0.11906961351633072</v>
      </c>
      <c r="M95" s="181">
        <v>1.6668409109115601E-2</v>
      </c>
      <c r="N95" s="181">
        <v>0</v>
      </c>
      <c r="O95" s="43"/>
      <c r="P95" s="43"/>
    </row>
    <row r="96" spans="2:16">
      <c r="B96" s="179">
        <v>92</v>
      </c>
      <c r="C96" s="179">
        <v>1632740</v>
      </c>
      <c r="D96" s="179">
        <v>248000</v>
      </c>
      <c r="E96" s="180">
        <v>2.3050000891089439E-2</v>
      </c>
      <c r="F96" s="179">
        <v>257824</v>
      </c>
      <c r="G96" s="179">
        <v>76221</v>
      </c>
      <c r="H96" s="181">
        <v>0.29563191533088684</v>
      </c>
      <c r="I96" s="181">
        <v>4.5988734811544418E-2</v>
      </c>
      <c r="J96" s="181">
        <v>3.4601122140884399E-2</v>
      </c>
      <c r="K96" s="181">
        <v>7.8053243458271027E-2</v>
      </c>
      <c r="L96" s="181">
        <v>0.11938764154911041</v>
      </c>
      <c r="M96" s="181">
        <v>1.7597274854779243E-2</v>
      </c>
      <c r="N96" s="181">
        <v>0</v>
      </c>
      <c r="O96" s="43"/>
      <c r="P96" s="43"/>
    </row>
    <row r="97" spans="2:16">
      <c r="B97" s="179">
        <v>93</v>
      </c>
      <c r="C97" s="179">
        <v>1633458</v>
      </c>
      <c r="D97" s="179">
        <v>268000</v>
      </c>
      <c r="E97" s="180">
        <v>2.5040000677108765E-2</v>
      </c>
      <c r="F97" s="179">
        <v>279906</v>
      </c>
      <c r="G97" s="179">
        <v>82016</v>
      </c>
      <c r="H97" s="181">
        <v>0.29301264882087708</v>
      </c>
      <c r="I97" s="181">
        <v>4.2993005365133286E-2</v>
      </c>
      <c r="J97" s="181">
        <v>3.4815259277820587E-2</v>
      </c>
      <c r="K97" s="181">
        <v>7.576829195022583E-2</v>
      </c>
      <c r="L97" s="181">
        <v>0.1211513876914978</v>
      </c>
      <c r="M97" s="181">
        <v>1.8281137570738792E-2</v>
      </c>
      <c r="N97" s="181">
        <v>0</v>
      </c>
      <c r="O97" s="43"/>
      <c r="P97" s="43"/>
    </row>
    <row r="98" spans="2:16">
      <c r="B98" s="179">
        <v>94</v>
      </c>
      <c r="C98" s="179">
        <v>1632218</v>
      </c>
      <c r="D98" s="179">
        <v>293000</v>
      </c>
      <c r="E98" s="180">
        <v>2.7410000562667847E-2</v>
      </c>
      <c r="F98" s="179">
        <v>306658</v>
      </c>
      <c r="G98" s="179">
        <v>90486</v>
      </c>
      <c r="H98" s="181">
        <v>0.29507139325141907</v>
      </c>
      <c r="I98" s="181">
        <v>3.8313038647174835E-2</v>
      </c>
      <c r="J98" s="181">
        <v>3.5104252398014069E-2</v>
      </c>
      <c r="K98" s="181">
        <v>7.5044512748718262E-2</v>
      </c>
      <c r="L98" s="181">
        <v>0.12816883623600006</v>
      </c>
      <c r="M98" s="181">
        <v>1.8440738320350647E-2</v>
      </c>
      <c r="N98" s="181">
        <v>0</v>
      </c>
      <c r="O98" s="43"/>
      <c r="P98" s="43"/>
    </row>
    <row r="99" spans="2:16">
      <c r="B99" s="179">
        <v>95</v>
      </c>
      <c r="C99" s="179">
        <v>1633090</v>
      </c>
      <c r="D99" s="179">
        <v>322000</v>
      </c>
      <c r="E99" s="180">
        <v>3.0500000342726707E-2</v>
      </c>
      <c r="F99" s="179">
        <v>340974</v>
      </c>
      <c r="G99" s="179">
        <v>100894</v>
      </c>
      <c r="H99" s="181">
        <v>0.29589939117431641</v>
      </c>
      <c r="I99" s="181">
        <v>3.6721274256706238E-2</v>
      </c>
      <c r="J99" s="181">
        <v>3.57065349817276E-2</v>
      </c>
      <c r="K99" s="181">
        <v>7.1160852909088135E-2</v>
      </c>
      <c r="L99" s="181">
        <v>0.13397209346294403</v>
      </c>
      <c r="M99" s="181">
        <v>1.8344506621360779E-2</v>
      </c>
      <c r="N99" s="181">
        <v>0</v>
      </c>
      <c r="O99" s="43"/>
      <c r="P99" s="43"/>
    </row>
    <row r="100" spans="2:16">
      <c r="B100" s="179">
        <v>96</v>
      </c>
      <c r="C100" s="179">
        <v>1633497</v>
      </c>
      <c r="D100" s="179">
        <v>361000</v>
      </c>
      <c r="E100" s="180">
        <v>3.4940000623464584E-2</v>
      </c>
      <c r="F100" s="179">
        <v>390576</v>
      </c>
      <c r="G100" s="179">
        <v>114006</v>
      </c>
      <c r="H100" s="181">
        <v>0.29189196228981018</v>
      </c>
      <c r="I100" s="181">
        <v>3.4917660057544708E-2</v>
      </c>
      <c r="J100" s="181">
        <v>3.7513826042413712E-2</v>
      </c>
      <c r="K100" s="181">
        <v>6.0922842472791672E-2</v>
      </c>
      <c r="L100" s="181">
        <v>0.13897936046123505</v>
      </c>
      <c r="M100" s="181">
        <v>1.9558293744921684E-2</v>
      </c>
      <c r="N100" s="181">
        <v>0</v>
      </c>
      <c r="O100" s="43"/>
      <c r="P100" s="43"/>
    </row>
    <row r="101" spans="2:16">
      <c r="B101" s="179">
        <v>97</v>
      </c>
      <c r="C101" s="179">
        <v>1633079</v>
      </c>
      <c r="D101" s="179">
        <v>423000</v>
      </c>
      <c r="E101" s="180">
        <v>4.2139999568462372E-2</v>
      </c>
      <c r="F101" s="179">
        <v>471213</v>
      </c>
      <c r="G101" s="179">
        <v>138550</v>
      </c>
      <c r="H101" s="181">
        <v>0.29402840137481689</v>
      </c>
      <c r="I101" s="181">
        <v>3.4298714250326157E-2</v>
      </c>
      <c r="J101" s="181">
        <v>3.6711636930704117E-2</v>
      </c>
      <c r="K101" s="181">
        <v>5.4707743227481842E-2</v>
      </c>
      <c r="L101" s="181">
        <v>0.1479819118976593</v>
      </c>
      <c r="M101" s="181">
        <v>2.0328385755419731E-2</v>
      </c>
      <c r="N101" s="181">
        <v>0</v>
      </c>
      <c r="O101" s="43"/>
      <c r="P101" s="43"/>
    </row>
    <row r="102" spans="2:16">
      <c r="B102" s="179">
        <v>98</v>
      </c>
      <c r="C102" s="179">
        <v>1633638</v>
      </c>
      <c r="D102" s="179">
        <v>532000</v>
      </c>
      <c r="E102" s="180">
        <v>5.7489998638629913E-2</v>
      </c>
      <c r="F102" s="179">
        <v>642556</v>
      </c>
      <c r="G102" s="179">
        <v>192258</v>
      </c>
      <c r="H102" s="181">
        <v>0.29920816421508789</v>
      </c>
      <c r="I102" s="181">
        <v>3.2915420830249786E-2</v>
      </c>
      <c r="J102" s="181">
        <v>3.7755463272333145E-2</v>
      </c>
      <c r="K102" s="181">
        <v>4.6606056392192841E-2</v>
      </c>
      <c r="L102" s="181">
        <v>0.16180846095085144</v>
      </c>
      <c r="M102" s="181">
        <v>2.0125871524214745E-2</v>
      </c>
      <c r="N102" s="181">
        <v>0</v>
      </c>
      <c r="O102" s="43"/>
      <c r="P102" s="43"/>
    </row>
    <row r="103" spans="2:16">
      <c r="B103" s="182">
        <v>99</v>
      </c>
      <c r="C103" s="179">
        <v>163203</v>
      </c>
      <c r="D103" s="179">
        <v>803000</v>
      </c>
      <c r="E103" s="180">
        <v>7.4100000783801079E-3</v>
      </c>
      <c r="F103" s="179">
        <v>828698</v>
      </c>
      <c r="G103" s="179">
        <v>243981</v>
      </c>
      <c r="H103" s="181">
        <v>0.29441484808921814</v>
      </c>
      <c r="I103" s="181">
        <v>2.6770910248160362E-2</v>
      </c>
      <c r="J103" s="181">
        <v>3.7055719643831253E-2</v>
      </c>
      <c r="K103" s="181">
        <v>3.9908386766910553E-2</v>
      </c>
      <c r="L103" s="181">
        <v>0.17256708443164825</v>
      </c>
      <c r="M103" s="181">
        <v>1.8112750723958015E-2</v>
      </c>
      <c r="N103" s="181">
        <v>0</v>
      </c>
      <c r="O103" s="43"/>
      <c r="P103" s="43"/>
    </row>
    <row r="104" spans="2:16">
      <c r="B104" s="182">
        <v>99.099998474121094</v>
      </c>
      <c r="C104" s="179">
        <v>163420</v>
      </c>
      <c r="D104" s="179">
        <v>856000</v>
      </c>
      <c r="E104" s="180">
        <v>7.9600000753998756E-3</v>
      </c>
      <c r="F104" s="179">
        <v>888934</v>
      </c>
      <c r="G104" s="179">
        <v>270075</v>
      </c>
      <c r="H104" s="181">
        <v>0.3038189709186554</v>
      </c>
      <c r="I104" s="181">
        <v>2.633378840982914E-2</v>
      </c>
      <c r="J104" s="181">
        <v>3.6546021699905396E-2</v>
      </c>
      <c r="K104" s="181">
        <v>4.0125589817762375E-2</v>
      </c>
      <c r="L104" s="181">
        <v>0.1818380206823349</v>
      </c>
      <c r="M104" s="181">
        <v>1.8969912081956863E-2</v>
      </c>
      <c r="N104" s="181">
        <v>5.6247145039378665E-6</v>
      </c>
      <c r="O104" s="43"/>
      <c r="P104" s="43"/>
    </row>
    <row r="105" spans="2:16">
      <c r="B105" s="182">
        <v>99.199996948242188</v>
      </c>
      <c r="C105" s="179">
        <v>163197</v>
      </c>
      <c r="D105" s="179">
        <v>924000</v>
      </c>
      <c r="E105" s="180">
        <v>8.6099999025464058E-3</v>
      </c>
      <c r="F105" s="179">
        <v>963477</v>
      </c>
      <c r="G105" s="179">
        <v>294550</v>
      </c>
      <c r="H105" s="181">
        <v>0.3057156503200531</v>
      </c>
      <c r="I105" s="181">
        <v>2.5844935327768326E-2</v>
      </c>
      <c r="J105" s="181">
        <v>3.8281142711639404E-2</v>
      </c>
      <c r="K105" s="181">
        <v>3.6989986896514893E-2</v>
      </c>
      <c r="L105" s="181">
        <v>0.18375840783119202</v>
      </c>
      <c r="M105" s="181">
        <v>2.0812120288610458E-2</v>
      </c>
      <c r="N105" s="181">
        <v>2.9061409804853611E-5</v>
      </c>
      <c r="O105" s="43"/>
      <c r="P105" s="43"/>
    </row>
    <row r="106" spans="2:16">
      <c r="B106" s="182">
        <v>99.300003051757813</v>
      </c>
      <c r="C106" s="179">
        <v>163281</v>
      </c>
      <c r="D106" s="179">
        <v>1000000</v>
      </c>
      <c r="E106" s="180">
        <v>9.4400001689791679E-3</v>
      </c>
      <c r="F106" s="179">
        <v>1056054</v>
      </c>
      <c r="G106" s="179">
        <v>325494</v>
      </c>
      <c r="H106" s="181">
        <v>0.30821719765663147</v>
      </c>
      <c r="I106" s="181">
        <v>2.5592440739274025E-2</v>
      </c>
      <c r="J106" s="181">
        <v>4.0776323527097702E-2</v>
      </c>
      <c r="K106" s="181">
        <v>3.3881790935993195E-2</v>
      </c>
      <c r="L106" s="181">
        <v>0.1860700249671936</v>
      </c>
      <c r="M106" s="181">
        <v>2.148185670375824E-2</v>
      </c>
      <c r="N106" s="181">
        <v>4.1569845052435994E-4</v>
      </c>
      <c r="O106" s="43"/>
      <c r="P106" s="43"/>
    </row>
    <row r="107" spans="2:16">
      <c r="B107" s="182">
        <v>99.400001525878906</v>
      </c>
      <c r="C107" s="179">
        <v>163427</v>
      </c>
      <c r="D107" s="179">
        <v>1110000</v>
      </c>
      <c r="E107" s="180">
        <v>1.0520000010728836E-2</v>
      </c>
      <c r="F107" s="179">
        <v>1175242</v>
      </c>
      <c r="G107" s="179">
        <v>359909</v>
      </c>
      <c r="H107" s="181">
        <v>0.30624246597290039</v>
      </c>
      <c r="I107" s="181">
        <v>2.5417743250727654E-2</v>
      </c>
      <c r="J107" s="181">
        <v>4.163738340139389E-2</v>
      </c>
      <c r="K107" s="181">
        <v>3.1415656208992004E-2</v>
      </c>
      <c r="L107" s="181">
        <v>0.1866270899772644</v>
      </c>
      <c r="M107" s="181">
        <v>2.0719988271594048E-2</v>
      </c>
      <c r="N107" s="181">
        <v>4.2459339601919055E-4</v>
      </c>
      <c r="O107" s="43"/>
      <c r="P107" s="43"/>
    </row>
    <row r="108" spans="2:16">
      <c r="B108" s="182">
        <v>99.5</v>
      </c>
      <c r="C108" s="179">
        <v>163329</v>
      </c>
      <c r="D108" s="179">
        <v>1250000</v>
      </c>
      <c r="E108" s="180">
        <v>1.193000003695488E-2</v>
      </c>
      <c r="F108" s="179">
        <v>1333552</v>
      </c>
      <c r="G108" s="179">
        <v>426004</v>
      </c>
      <c r="H108" s="181">
        <v>0.31945061683654785</v>
      </c>
      <c r="I108" s="181">
        <v>2.544257789850235E-2</v>
      </c>
      <c r="J108" s="181">
        <v>3.9115086197853088E-2</v>
      </c>
      <c r="K108" s="181">
        <v>3.1498584896326065E-2</v>
      </c>
      <c r="L108" s="181">
        <v>0.20163743197917938</v>
      </c>
      <c r="M108" s="181">
        <v>2.0706353709101677E-2</v>
      </c>
      <c r="N108" s="181">
        <v>1.0498277842998505E-3</v>
      </c>
      <c r="O108" s="43"/>
      <c r="P108" s="43"/>
    </row>
    <row r="109" spans="2:16">
      <c r="B109" s="182">
        <v>99.599998474121094</v>
      </c>
      <c r="C109" s="179">
        <v>163278</v>
      </c>
      <c r="D109" s="179">
        <v>1430000</v>
      </c>
      <c r="E109" s="180">
        <v>1.3919999822974205E-2</v>
      </c>
      <c r="F109" s="179">
        <v>1556837</v>
      </c>
      <c r="G109" s="179">
        <v>499282</v>
      </c>
      <c r="H109" s="181">
        <v>0.32070282101631165</v>
      </c>
      <c r="I109" s="181">
        <v>2.5419488549232483E-2</v>
      </c>
      <c r="J109" s="181">
        <v>4.2239490896463394E-2</v>
      </c>
      <c r="K109" s="181">
        <v>2.6662392541766167E-2</v>
      </c>
      <c r="L109" s="181">
        <v>0.20241490006446838</v>
      </c>
      <c r="M109" s="181">
        <v>2.2511670365929604E-2</v>
      </c>
      <c r="N109" s="181">
        <v>1.4542306307703257E-3</v>
      </c>
      <c r="O109" s="43"/>
      <c r="P109" s="43"/>
    </row>
    <row r="110" spans="2:16">
      <c r="B110" s="182">
        <v>99.699996948242188</v>
      </c>
      <c r="C110" s="179">
        <v>163338</v>
      </c>
      <c r="D110" s="179">
        <v>1710000</v>
      </c>
      <c r="E110" s="180">
        <v>1.728999987244606E-2</v>
      </c>
      <c r="F110" s="179">
        <v>1932572</v>
      </c>
      <c r="G110" s="179">
        <v>620756</v>
      </c>
      <c r="H110" s="181">
        <v>0.32120716571807861</v>
      </c>
      <c r="I110" s="181">
        <v>2.5326352566480637E-2</v>
      </c>
      <c r="J110" s="181">
        <v>4.3142504990100861E-2</v>
      </c>
      <c r="K110" s="181">
        <v>2.3316077888011932E-2</v>
      </c>
      <c r="L110" s="181">
        <v>0.20486170053482056</v>
      </c>
      <c r="M110" s="181">
        <v>2.2694626823067665E-2</v>
      </c>
      <c r="N110" s="181">
        <v>1.8653897568583488E-3</v>
      </c>
      <c r="O110" s="43"/>
      <c r="P110" s="43"/>
    </row>
    <row r="111" spans="2:16">
      <c r="B111" s="182">
        <v>99.800003051757813</v>
      </c>
      <c r="C111" s="179">
        <v>163294</v>
      </c>
      <c r="D111" s="179">
        <v>2230000</v>
      </c>
      <c r="E111" s="180">
        <v>2.4399999529123306E-2</v>
      </c>
      <c r="F111" s="179">
        <v>2728761</v>
      </c>
      <c r="G111" s="179">
        <v>904181</v>
      </c>
      <c r="H111" s="181">
        <v>0.33135220408439636</v>
      </c>
      <c r="I111" s="181">
        <v>2.5481527671217918E-2</v>
      </c>
      <c r="J111" s="181">
        <v>4.202786460518837E-2</v>
      </c>
      <c r="K111" s="181">
        <v>2.0369317382574081E-2</v>
      </c>
      <c r="L111" s="181">
        <v>0.21684896945953369</v>
      </c>
      <c r="M111" s="181">
        <v>2.2705908864736557E-2</v>
      </c>
      <c r="N111" s="181">
        <v>3.9189946837723255E-3</v>
      </c>
      <c r="O111" s="43"/>
      <c r="P111" s="43"/>
    </row>
    <row r="112" spans="2:16">
      <c r="B112" s="183">
        <v>99.900001525878906</v>
      </c>
      <c r="C112" s="179">
        <v>16333</v>
      </c>
      <c r="D112" s="179">
        <v>3470000</v>
      </c>
      <c r="E112" s="180">
        <v>3.2200000714510679E-3</v>
      </c>
      <c r="F112" s="179">
        <v>3595457</v>
      </c>
      <c r="G112" s="179">
        <v>1229958</v>
      </c>
      <c r="H112" s="181">
        <v>0.34208670258522034</v>
      </c>
      <c r="I112" s="181">
        <v>2.5466024875640869E-2</v>
      </c>
      <c r="J112" s="181">
        <v>4.4878020882606506E-2</v>
      </c>
      <c r="K112" s="181">
        <v>1.7350506037473679E-2</v>
      </c>
      <c r="L112" s="181">
        <v>0.22201655805110931</v>
      </c>
      <c r="M112" s="181">
        <v>2.5664053857326508E-2</v>
      </c>
      <c r="N112" s="181">
        <v>6.7115249112248421E-3</v>
      </c>
      <c r="O112" s="43"/>
      <c r="P112" s="43"/>
    </row>
    <row r="113" spans="2:16">
      <c r="B113" s="183">
        <v>99.910003662109375</v>
      </c>
      <c r="C113" s="179">
        <v>16333</v>
      </c>
      <c r="D113" s="179">
        <v>3720000</v>
      </c>
      <c r="E113" s="180">
        <v>3.4600000362843275E-3</v>
      </c>
      <c r="F113" s="179">
        <v>3868964</v>
      </c>
      <c r="G113" s="179">
        <v>1309156</v>
      </c>
      <c r="H113" s="181">
        <v>0.33837378025054932</v>
      </c>
      <c r="I113" s="181">
        <v>2.5452809408307076E-2</v>
      </c>
      <c r="J113" s="181">
        <v>4.4868860393762589E-2</v>
      </c>
      <c r="K113" s="181">
        <v>1.6213126480579376E-2</v>
      </c>
      <c r="L113" s="181">
        <v>0.21920208632946014</v>
      </c>
      <c r="M113" s="181">
        <v>2.5692924857139587E-2</v>
      </c>
      <c r="N113" s="181">
        <v>6.9442363455891609E-3</v>
      </c>
      <c r="O113" s="43"/>
      <c r="P113" s="43"/>
    </row>
    <row r="114" spans="2:16">
      <c r="B114" s="183">
        <v>99.919998168945313</v>
      </c>
      <c r="C114" s="179">
        <v>16331</v>
      </c>
      <c r="D114" s="179">
        <v>4030000</v>
      </c>
      <c r="E114" s="180">
        <v>3.7700000684708357E-3</v>
      </c>
      <c r="F114" s="179">
        <v>4216514</v>
      </c>
      <c r="G114" s="179">
        <v>1433204</v>
      </c>
      <c r="H114" s="181">
        <v>0.33990257978439331</v>
      </c>
      <c r="I114" s="181">
        <v>2.5314750149846077E-2</v>
      </c>
      <c r="J114" s="181">
        <v>4.5077282935380936E-2</v>
      </c>
      <c r="K114" s="181">
        <v>1.575116254389286E-2</v>
      </c>
      <c r="L114" s="181">
        <v>0.21996155381202698</v>
      </c>
      <c r="M114" s="181">
        <v>2.6126084849238396E-2</v>
      </c>
      <c r="N114" s="181">
        <v>7.6717403717339039E-3</v>
      </c>
      <c r="O114" s="43"/>
      <c r="P114" s="43"/>
    </row>
    <row r="115" spans="2:16">
      <c r="B115" s="183">
        <v>99.930000305175781</v>
      </c>
      <c r="C115" s="179">
        <v>16335</v>
      </c>
      <c r="D115" s="179">
        <v>4420000</v>
      </c>
      <c r="E115" s="180">
        <v>4.1499999351799488E-3</v>
      </c>
      <c r="F115" s="179">
        <v>4637291</v>
      </c>
      <c r="G115" s="179">
        <v>1550586</v>
      </c>
      <c r="H115" s="181">
        <v>0.33437323570251465</v>
      </c>
      <c r="I115" s="181">
        <v>2.5438128039240837E-2</v>
      </c>
      <c r="J115" s="181">
        <v>4.5723032206296921E-2</v>
      </c>
      <c r="K115" s="181">
        <v>1.5363279730081558E-2</v>
      </c>
      <c r="L115" s="181">
        <v>0.21389405429363251</v>
      </c>
      <c r="M115" s="181">
        <v>2.5362221524119377E-2</v>
      </c>
      <c r="N115" s="181">
        <v>8.5927322506904602E-3</v>
      </c>
      <c r="O115" s="43"/>
      <c r="P115" s="43"/>
    </row>
    <row r="116" spans="2:16">
      <c r="B116" s="183">
        <v>99.94000244140625</v>
      </c>
      <c r="C116" s="179">
        <v>16322</v>
      </c>
      <c r="D116" s="179">
        <v>4870000</v>
      </c>
      <c r="E116" s="180">
        <v>4.6199997887015343E-3</v>
      </c>
      <c r="F116" s="179">
        <v>5163179</v>
      </c>
      <c r="G116" s="179">
        <v>1882929</v>
      </c>
      <c r="H116" s="181">
        <v>0.36468404531478882</v>
      </c>
      <c r="I116" s="181">
        <v>2.5452148169279099E-2</v>
      </c>
      <c r="J116" s="181">
        <v>4.2905349284410477E-2</v>
      </c>
      <c r="K116" s="181">
        <v>1.5654115006327629E-2</v>
      </c>
      <c r="L116" s="181">
        <v>0.24641814827919006</v>
      </c>
      <c r="M116" s="181">
        <v>2.5586174800992012E-2</v>
      </c>
      <c r="N116" s="181">
        <v>8.668496273458004E-3</v>
      </c>
      <c r="O116" s="43"/>
      <c r="P116" s="43"/>
    </row>
    <row r="117" spans="2:16">
      <c r="B117" s="183">
        <v>99.949996948242188</v>
      </c>
      <c r="C117" s="179">
        <v>16334</v>
      </c>
      <c r="D117" s="179">
        <v>5500000</v>
      </c>
      <c r="E117" s="180">
        <v>5.2700000815093517E-3</v>
      </c>
      <c r="F117" s="179">
        <v>5895290</v>
      </c>
      <c r="G117" s="179">
        <v>2072181</v>
      </c>
      <c r="H117" s="181">
        <v>0.35149770975112915</v>
      </c>
      <c r="I117" s="181">
        <v>2.5587715208530426E-2</v>
      </c>
      <c r="J117" s="181">
        <v>4.2363140732049942E-2</v>
      </c>
      <c r="K117" s="181">
        <v>1.5168549492955208E-2</v>
      </c>
      <c r="L117" s="181">
        <v>0.23483136296272278</v>
      </c>
      <c r="M117" s="181">
        <v>2.4681737646460533E-2</v>
      </c>
      <c r="N117" s="181">
        <v>8.8650435209274292E-3</v>
      </c>
      <c r="O117" s="43"/>
      <c r="P117" s="43"/>
    </row>
    <row r="118" spans="2:16">
      <c r="B118" s="183">
        <v>99.959999084472656</v>
      </c>
      <c r="C118" s="179">
        <v>16332</v>
      </c>
      <c r="D118" s="179">
        <v>6330000</v>
      </c>
      <c r="E118" s="180">
        <v>6.2000001780688763E-3</v>
      </c>
      <c r="F118" s="179">
        <v>6929577</v>
      </c>
      <c r="G118" s="179">
        <v>2549514</v>
      </c>
      <c r="H118" s="181">
        <v>0.36791768670082092</v>
      </c>
      <c r="I118" s="181">
        <v>2.5702867656946182E-2</v>
      </c>
      <c r="J118" s="181">
        <v>4.4626966118812561E-2</v>
      </c>
      <c r="K118" s="181">
        <v>1.3955974951386452E-2</v>
      </c>
      <c r="L118" s="181">
        <v>0.24859382212162018</v>
      </c>
      <c r="M118" s="181">
        <v>2.5267776101827621E-2</v>
      </c>
      <c r="N118" s="181">
        <v>9.7702937200665474E-3</v>
      </c>
      <c r="O118" s="43"/>
      <c r="P118" s="43"/>
    </row>
    <row r="119" spans="2:16">
      <c r="B119" s="183">
        <v>99.970001220703125</v>
      </c>
      <c r="C119" s="179">
        <v>16333</v>
      </c>
      <c r="D119" s="179">
        <v>7610000</v>
      </c>
      <c r="E119" s="180">
        <v>7.689999882131815E-3</v>
      </c>
      <c r="F119" s="179">
        <v>8602185</v>
      </c>
      <c r="G119" s="179">
        <v>3153892</v>
      </c>
      <c r="H119" s="181">
        <v>0.36663848161697388</v>
      </c>
      <c r="I119" s="181">
        <v>2.5631744414567947E-2</v>
      </c>
      <c r="J119" s="181">
        <v>4.4439524412155151E-2</v>
      </c>
      <c r="K119" s="181">
        <v>1.3296272605657578E-2</v>
      </c>
      <c r="L119" s="181">
        <v>0.24696248769760132</v>
      </c>
      <c r="M119" s="181">
        <v>2.5148959830403328E-2</v>
      </c>
      <c r="N119" s="181">
        <v>1.1159489862620831E-2</v>
      </c>
      <c r="O119" s="43"/>
      <c r="P119" s="43"/>
    </row>
    <row r="120" spans="2:16">
      <c r="B120" s="183">
        <v>99.980003356933594</v>
      </c>
      <c r="C120" s="179">
        <v>16321</v>
      </c>
      <c r="D120" s="179">
        <v>9810000</v>
      </c>
      <c r="E120" s="180">
        <v>1.0759999975562096E-2</v>
      </c>
      <c r="F120" s="179">
        <v>12036892</v>
      </c>
      <c r="G120" s="179">
        <v>4568615</v>
      </c>
      <c r="H120" s="181">
        <v>0.37955105304718018</v>
      </c>
      <c r="I120" s="181">
        <v>2.5728484615683556E-2</v>
      </c>
      <c r="J120" s="181">
        <v>4.8929575830698013E-2</v>
      </c>
      <c r="K120" s="181">
        <v>1.1704101227223873E-2</v>
      </c>
      <c r="L120" s="181">
        <v>0.25205311179161072</v>
      </c>
      <c r="M120" s="181">
        <v>2.8938367962837219E-2</v>
      </c>
      <c r="N120" s="181">
        <v>1.2197418138384819E-2</v>
      </c>
      <c r="O120" s="43"/>
      <c r="P120" s="43"/>
    </row>
    <row r="121" spans="2:16">
      <c r="B121" s="184">
        <v>99.989997863769531</v>
      </c>
      <c r="C121" s="179">
        <v>1621</v>
      </c>
      <c r="D121" s="179">
        <v>15000000</v>
      </c>
      <c r="E121" s="180">
        <v>1.3699999544769526E-3</v>
      </c>
      <c r="F121" s="179">
        <v>15430249</v>
      </c>
      <c r="G121" s="179">
        <v>6187826</v>
      </c>
      <c r="H121" s="181">
        <v>0.40101918578147888</v>
      </c>
      <c r="I121" s="181">
        <v>2.5876445695757866E-2</v>
      </c>
      <c r="J121" s="181">
        <v>5.0499118864536285E-2</v>
      </c>
      <c r="K121" s="181">
        <v>1.1874079704284668E-2</v>
      </c>
      <c r="L121" s="181">
        <v>0.27498078346252441</v>
      </c>
      <c r="M121" s="181">
        <v>2.5414755567908287E-2</v>
      </c>
      <c r="N121" s="181">
        <v>1.2374071404337883E-2</v>
      </c>
      <c r="O121" s="43"/>
      <c r="P121" s="43"/>
    </row>
    <row r="122" spans="2:16">
      <c r="B122" s="184">
        <v>99.990997314453125</v>
      </c>
      <c r="C122" s="179">
        <v>1636</v>
      </c>
      <c r="D122" s="179">
        <v>16000000</v>
      </c>
      <c r="E122" s="180">
        <v>1.4799999771639705E-3</v>
      </c>
      <c r="F122" s="179">
        <v>16557159</v>
      </c>
      <c r="G122" s="179">
        <v>6788237</v>
      </c>
      <c r="H122" s="181">
        <v>0.40998801589012146</v>
      </c>
      <c r="I122" s="181">
        <v>2.5580596178770065E-2</v>
      </c>
      <c r="J122" s="181">
        <v>5.2332587540149689E-2</v>
      </c>
      <c r="K122" s="181">
        <v>1.1635691858828068E-2</v>
      </c>
      <c r="L122" s="181">
        <v>0.28019982576370239</v>
      </c>
      <c r="M122" s="181">
        <v>2.7964096516370773E-2</v>
      </c>
      <c r="N122" s="181">
        <v>1.2275294400751591E-2</v>
      </c>
      <c r="O122" s="43"/>
      <c r="P122" s="43"/>
    </row>
    <row r="123" spans="2:16">
      <c r="B123" s="184">
        <v>99.991996765136719</v>
      </c>
      <c r="C123" s="179">
        <v>1634</v>
      </c>
      <c r="D123" s="179">
        <v>17200000</v>
      </c>
      <c r="E123" s="180">
        <v>1.5999999595806003E-3</v>
      </c>
      <c r="F123" s="179">
        <v>17906032</v>
      </c>
      <c r="G123" s="179">
        <v>6897951</v>
      </c>
      <c r="H123" s="181">
        <v>0.38523057103157043</v>
      </c>
      <c r="I123" s="181">
        <v>2.5654483586549759E-2</v>
      </c>
      <c r="J123" s="181">
        <v>5.3906973451375961E-2</v>
      </c>
      <c r="K123" s="181">
        <v>9.1460803523659706E-3</v>
      </c>
      <c r="L123" s="181">
        <v>0.25387907028198242</v>
      </c>
      <c r="M123" s="181">
        <v>3.0075730755925179E-2</v>
      </c>
      <c r="N123" s="181">
        <v>1.2568278238177299E-2</v>
      </c>
      <c r="O123" s="43"/>
      <c r="P123" s="43"/>
    </row>
    <row r="124" spans="2:16">
      <c r="B124" s="184">
        <v>99.992996215820313</v>
      </c>
      <c r="C124" s="179">
        <v>1646</v>
      </c>
      <c r="D124" s="179">
        <v>18700000</v>
      </c>
      <c r="E124" s="180">
        <v>1.7600000137463212E-3</v>
      </c>
      <c r="F124" s="179">
        <v>19581278</v>
      </c>
      <c r="G124" s="179">
        <v>7815128</v>
      </c>
      <c r="H124" s="181">
        <v>0.39911225438117981</v>
      </c>
      <c r="I124" s="181">
        <v>2.5874357670545578E-2</v>
      </c>
      <c r="J124" s="181">
        <v>5.4898153990507126E-2</v>
      </c>
      <c r="K124" s="181">
        <v>9.8345978185534477E-3</v>
      </c>
      <c r="L124" s="181">
        <v>0.26642963290214539</v>
      </c>
      <c r="M124" s="181">
        <v>2.9232975095510483E-2</v>
      </c>
      <c r="N124" s="181">
        <v>1.2842522002756596E-2</v>
      </c>
      <c r="O124" s="43"/>
      <c r="P124" s="43"/>
    </row>
    <row r="125" spans="2:16">
      <c r="B125" s="184">
        <v>99.994003295898438</v>
      </c>
      <c r="C125" s="179">
        <v>1633</v>
      </c>
      <c r="D125" s="179">
        <v>20600000</v>
      </c>
      <c r="E125" s="180">
        <v>1.9499999471008778E-3</v>
      </c>
      <c r="F125" s="179">
        <v>21821144</v>
      </c>
      <c r="G125" s="179">
        <v>8312561</v>
      </c>
      <c r="H125" s="181">
        <v>0.38094064593315125</v>
      </c>
      <c r="I125" s="181">
        <v>2.5939382612705231E-2</v>
      </c>
      <c r="J125" s="181">
        <v>5.3117699921131134E-2</v>
      </c>
      <c r="K125" s="181">
        <v>9.280952624976635E-3</v>
      </c>
      <c r="L125" s="181">
        <v>0.25492209196090698</v>
      </c>
      <c r="M125" s="181">
        <v>2.518850564956665E-2</v>
      </c>
      <c r="N125" s="181">
        <v>1.2492012232542038E-2</v>
      </c>
      <c r="O125" s="43"/>
      <c r="P125" s="43"/>
    </row>
    <row r="126" spans="2:16">
      <c r="B126" s="184">
        <v>99.995002746582031</v>
      </c>
      <c r="C126" s="179">
        <v>1636</v>
      </c>
      <c r="D126" s="179">
        <v>23300000</v>
      </c>
      <c r="E126" s="180">
        <v>2.2400000598281622E-3</v>
      </c>
      <c r="F126" s="179">
        <v>24991752</v>
      </c>
      <c r="G126" s="179">
        <v>9991089</v>
      </c>
      <c r="H126" s="181">
        <v>0.39977544546127319</v>
      </c>
      <c r="I126" s="181">
        <v>2.567623183131218E-2</v>
      </c>
      <c r="J126" s="181">
        <v>5.3347881883382797E-2</v>
      </c>
      <c r="K126" s="181">
        <v>1.0530154220759869E-2</v>
      </c>
      <c r="L126" s="181">
        <v>0.27107724547386169</v>
      </c>
      <c r="M126" s="181">
        <v>2.7521919459104538E-2</v>
      </c>
      <c r="N126" s="181">
        <v>1.162207406014204E-2</v>
      </c>
      <c r="O126" s="43"/>
      <c r="P126" s="43"/>
    </row>
    <row r="127" spans="2:16">
      <c r="B127" s="184">
        <v>99.996002197265625</v>
      </c>
      <c r="C127" s="179">
        <v>1628</v>
      </c>
      <c r="D127" s="179">
        <v>26900000</v>
      </c>
      <c r="E127" s="180">
        <v>2.6400000788271427E-3</v>
      </c>
      <c r="F127" s="179">
        <v>29592760</v>
      </c>
      <c r="G127" s="179">
        <v>11474878</v>
      </c>
      <c r="H127" s="181">
        <v>0.38775965571403503</v>
      </c>
      <c r="I127" s="181">
        <v>2.5456665083765984E-2</v>
      </c>
      <c r="J127" s="181">
        <v>5.6510306894779205E-2</v>
      </c>
      <c r="K127" s="181">
        <v>1.054859347641468E-2</v>
      </c>
      <c r="L127" s="181">
        <v>0.2501029372215271</v>
      </c>
      <c r="M127" s="181">
        <v>3.3384684473276138E-2</v>
      </c>
      <c r="N127" s="181">
        <v>1.1756489984691143E-2</v>
      </c>
      <c r="O127" s="43"/>
      <c r="P127" s="43"/>
    </row>
    <row r="128" spans="2:16">
      <c r="B128" s="184">
        <v>99.997001647949219</v>
      </c>
      <c r="C128" s="179">
        <v>1625</v>
      </c>
      <c r="D128" s="179">
        <v>32900000</v>
      </c>
      <c r="E128" s="180">
        <v>3.3700000494718552E-3</v>
      </c>
      <c r="F128" s="179">
        <v>37809432</v>
      </c>
      <c r="G128" s="179">
        <v>13708112</v>
      </c>
      <c r="H128" s="181">
        <v>0.36255800724029541</v>
      </c>
      <c r="I128" s="181">
        <v>2.5742175057530403E-2</v>
      </c>
      <c r="J128" s="181">
        <v>5.5784996598958969E-2</v>
      </c>
      <c r="K128" s="181">
        <v>9.116428904235363E-3</v>
      </c>
      <c r="L128" s="181">
        <v>0.22830192744731903</v>
      </c>
      <c r="M128" s="181">
        <v>3.0870154500007629E-2</v>
      </c>
      <c r="N128" s="181">
        <v>1.2742322869598866E-2</v>
      </c>
      <c r="O128" s="43"/>
      <c r="P128" s="43"/>
    </row>
    <row r="129" spans="2:16">
      <c r="B129" s="184">
        <v>99.998001098632813</v>
      </c>
      <c r="C129" s="179">
        <v>1499</v>
      </c>
      <c r="D129" s="179">
        <v>45100000</v>
      </c>
      <c r="E129" s="180">
        <v>4.5300000347197056E-3</v>
      </c>
      <c r="F129" s="179">
        <v>55225332</v>
      </c>
      <c r="G129" s="179">
        <v>22899120</v>
      </c>
      <c r="H129" s="181">
        <v>0.41464883089065552</v>
      </c>
      <c r="I129" s="181">
        <v>2.5871334597468376E-2</v>
      </c>
      <c r="J129" s="181">
        <v>5.8258716017007828E-2</v>
      </c>
      <c r="K129" s="181">
        <v>9.1048618778586388E-3</v>
      </c>
      <c r="L129" s="181">
        <v>0.28160557150840759</v>
      </c>
      <c r="M129" s="181">
        <v>2.7588807046413422E-2</v>
      </c>
      <c r="N129" s="181">
        <v>1.2219500727951527E-2</v>
      </c>
      <c r="O129" s="43"/>
      <c r="P129" s="43"/>
    </row>
    <row r="130" spans="2:16">
      <c r="B130" s="184">
        <v>99.999000549316406</v>
      </c>
      <c r="C130" s="179">
        <v>1379</v>
      </c>
      <c r="D130" s="179">
        <v>68400000</v>
      </c>
      <c r="E130" s="180">
        <v>6.6499998793005943E-3</v>
      </c>
      <c r="F130" s="179">
        <v>88108712</v>
      </c>
      <c r="G130" s="179">
        <v>31733584</v>
      </c>
      <c r="H130" s="181">
        <v>0.36016398668289185</v>
      </c>
      <c r="I130" s="181">
        <v>2.573559433221817E-2</v>
      </c>
      <c r="J130" s="181">
        <v>6.4462669193744659E-2</v>
      </c>
      <c r="K130" s="181">
        <v>5.0739930011332035E-3</v>
      </c>
      <c r="L130" s="181">
        <v>0.21704509854316711</v>
      </c>
      <c r="M130" s="181">
        <v>3.474222868680954E-2</v>
      </c>
      <c r="N130" s="181">
        <v>1.3104402460157871E-2</v>
      </c>
      <c r="O130" s="43"/>
      <c r="P130" s="43"/>
    </row>
    <row r="131" spans="2:16">
      <c r="B131" s="179">
        <v>400</v>
      </c>
      <c r="C131" s="179">
        <v>411</v>
      </c>
      <c r="D131" s="179">
        <v>372000000</v>
      </c>
      <c r="E131" s="180">
        <v>1.2219999916851521E-2</v>
      </c>
      <c r="F131" s="179">
        <v>543279424</v>
      </c>
      <c r="G131" s="179">
        <v>201345760</v>
      </c>
      <c r="H131" s="181">
        <v>0.37061178684234619</v>
      </c>
      <c r="I131" s="181">
        <v>2.4855146184563637E-2</v>
      </c>
      <c r="J131" s="181">
        <v>8.5618533194065094E-2</v>
      </c>
      <c r="K131" s="181">
        <v>3.0487717594951391E-3</v>
      </c>
      <c r="L131" s="181">
        <v>0.15130400657653809</v>
      </c>
      <c r="M131" s="181">
        <v>9.0468861162662506E-2</v>
      </c>
      <c r="N131" s="181">
        <v>1.5316475182771683E-2</v>
      </c>
      <c r="O131" s="43"/>
      <c r="P131" s="43"/>
    </row>
    <row r="132" spans="2:16">
      <c r="B132" s="38"/>
      <c r="C132" s="38"/>
      <c r="D132" s="38"/>
      <c r="E132" s="38"/>
      <c r="F132" s="38"/>
      <c r="G132" s="38"/>
      <c r="H132" s="38"/>
      <c r="I132" s="38"/>
      <c r="J132" s="38"/>
      <c r="K132" s="38"/>
      <c r="L132" s="38"/>
      <c r="M132" s="38"/>
      <c r="N132" s="38"/>
      <c r="O132" s="43"/>
      <c r="P132" s="43"/>
    </row>
    <row r="133" spans="2:16">
      <c r="B133" s="23" t="s">
        <v>204</v>
      </c>
      <c r="C133" s="38"/>
      <c r="D133" s="38"/>
      <c r="E133" s="38"/>
      <c r="F133" s="38"/>
      <c r="G133" s="38"/>
      <c r="H133" s="38"/>
      <c r="I133" s="38"/>
      <c r="J133" s="38"/>
      <c r="K133" s="38"/>
      <c r="L133" s="38"/>
      <c r="M133" s="38"/>
      <c r="N133" s="38"/>
      <c r="O133" s="43"/>
      <c r="P133" s="43"/>
    </row>
    <row r="134" spans="2:16">
      <c r="B134" s="104" t="s">
        <v>205</v>
      </c>
    </row>
    <row r="135" spans="2:16">
      <c r="B135" s="1"/>
    </row>
  </sheetData>
  <mergeCells count="2">
    <mergeCell ref="B2:F2"/>
    <mergeCell ref="G2:N2"/>
  </mergeCells>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1228E-E6EC-4D97-A6BE-F9C5DE6DBC67}">
  <dimension ref="B1:L17"/>
  <sheetViews>
    <sheetView zoomScale="115" zoomScaleNormal="115" workbookViewId="0">
      <selection activeCell="B7" sqref="B7"/>
    </sheetView>
  </sheetViews>
  <sheetFormatPr baseColWidth="10" defaultRowHeight="14.4"/>
  <cols>
    <col min="1" max="1" width="3.6640625" customWidth="1"/>
    <col min="2" max="2" width="24.33203125" style="22" customWidth="1"/>
    <col min="3" max="3" width="11.5546875" style="22"/>
    <col min="4" max="4" width="16.33203125" style="22" bestFit="1" customWidth="1"/>
    <col min="5" max="5" width="16.33203125" style="22" customWidth="1"/>
    <col min="6" max="6" width="13" style="22" bestFit="1" customWidth="1"/>
    <col min="7" max="10" width="11.5546875" style="22"/>
    <col min="11" max="11" width="13" bestFit="1" customWidth="1"/>
    <col min="12" max="12" width="17.88671875" bestFit="1" customWidth="1"/>
  </cols>
  <sheetData>
    <row r="1" spans="2:12" s="85" customFormat="1">
      <c r="B1" s="22"/>
      <c r="C1" s="22"/>
      <c r="D1" s="22"/>
      <c r="E1" s="22"/>
      <c r="F1" s="22"/>
      <c r="G1" s="22"/>
      <c r="H1" s="22"/>
      <c r="I1" s="22"/>
      <c r="J1" s="22"/>
    </row>
    <row r="3" spans="2:12">
      <c r="B3" s="269" t="s">
        <v>7</v>
      </c>
      <c r="C3" s="269" t="s">
        <v>64</v>
      </c>
      <c r="D3" s="269" t="s">
        <v>65</v>
      </c>
      <c r="E3" s="269" t="s">
        <v>148</v>
      </c>
      <c r="F3" s="252" t="s">
        <v>43</v>
      </c>
      <c r="G3" s="252"/>
      <c r="H3" s="252"/>
      <c r="I3" s="252"/>
      <c r="J3" s="252"/>
    </row>
    <row r="4" spans="2:12" ht="43.2">
      <c r="B4" s="269"/>
      <c r="C4" s="269"/>
      <c r="D4" s="269"/>
      <c r="E4" s="269"/>
      <c r="F4" s="39" t="s">
        <v>51</v>
      </c>
      <c r="G4" s="45" t="s">
        <v>66</v>
      </c>
      <c r="H4" s="39" t="s">
        <v>67</v>
      </c>
      <c r="I4" s="45" t="s">
        <v>62</v>
      </c>
      <c r="J4" s="45" t="s">
        <v>68</v>
      </c>
    </row>
    <row r="5" spans="2:12" s="85" customFormat="1">
      <c r="B5" s="276" t="s">
        <v>200</v>
      </c>
      <c r="C5" s="276"/>
      <c r="D5" s="276"/>
      <c r="E5" s="276"/>
      <c r="F5" s="276"/>
      <c r="G5" s="276"/>
      <c r="H5" s="276"/>
      <c r="I5" s="276"/>
      <c r="J5" s="276"/>
    </row>
    <row r="6" spans="2:12">
      <c r="B6" s="154" t="s">
        <v>63</v>
      </c>
      <c r="C6" s="154">
        <v>367</v>
      </c>
      <c r="D6" s="97">
        <v>452300000</v>
      </c>
      <c r="E6" s="168">
        <v>5.6000000000000001E-2</v>
      </c>
      <c r="F6" s="107">
        <v>0.23799999999999999</v>
      </c>
      <c r="G6" s="107">
        <v>0.11</v>
      </c>
      <c r="H6" s="107">
        <v>8.8999999999999996E-2</v>
      </c>
      <c r="I6" s="107">
        <v>6.0000000000000001E-3</v>
      </c>
      <c r="J6" s="107">
        <v>3.4000000000000002E-2</v>
      </c>
      <c r="K6" s="26"/>
      <c r="L6" s="81"/>
    </row>
    <row r="7" spans="2:12">
      <c r="B7" s="154" t="s">
        <v>198</v>
      </c>
      <c r="C7" s="154">
        <v>92</v>
      </c>
      <c r="D7" s="97">
        <v>1093400000</v>
      </c>
      <c r="E7" s="168">
        <v>5.2999999999999999E-2</v>
      </c>
      <c r="F7" s="107">
        <v>0.22</v>
      </c>
      <c r="G7" s="107">
        <v>0.08</v>
      </c>
      <c r="H7" s="107">
        <v>0.10100000000000001</v>
      </c>
      <c r="I7" s="107">
        <v>4.0000000000000001E-3</v>
      </c>
      <c r="J7" s="107">
        <v>3.5999999999999997E-2</v>
      </c>
      <c r="K7" s="26"/>
    </row>
    <row r="8" spans="2:12">
      <c r="B8" s="154" t="s">
        <v>199</v>
      </c>
      <c r="C8" s="154">
        <v>276</v>
      </c>
      <c r="D8" s="97">
        <v>238700000</v>
      </c>
      <c r="E8" s="168">
        <v>6.3E-2</v>
      </c>
      <c r="F8" s="107">
        <v>0.26600000000000001</v>
      </c>
      <c r="G8" s="107">
        <v>0.156</v>
      </c>
      <c r="H8" s="107">
        <v>7.0999999999999994E-2</v>
      </c>
      <c r="I8" s="107">
        <v>8.9999999999999993E-3</v>
      </c>
      <c r="J8" s="107">
        <v>0.03</v>
      </c>
      <c r="K8" s="26"/>
    </row>
    <row r="9" spans="2:12" s="85" customFormat="1">
      <c r="B9" s="276" t="s">
        <v>202</v>
      </c>
      <c r="C9" s="276"/>
      <c r="D9" s="276"/>
      <c r="E9" s="276"/>
      <c r="F9" s="276"/>
      <c r="G9" s="276"/>
      <c r="H9" s="276"/>
      <c r="I9" s="276"/>
      <c r="J9" s="276"/>
      <c r="K9" s="26"/>
    </row>
    <row r="10" spans="2:12" s="85" customFormat="1">
      <c r="B10" s="154" t="s">
        <v>63</v>
      </c>
      <c r="C10" s="154">
        <v>367</v>
      </c>
      <c r="D10" s="97">
        <f>(D6*C6-F16)/C6</f>
        <v>395956675.74931878</v>
      </c>
      <c r="E10" s="168">
        <f>E6*(D10/D6)</f>
        <v>4.9024041215922728E-2</v>
      </c>
      <c r="F10" s="107">
        <f>F6*($D6/$D10)</f>
        <v>0.27186661216479113</v>
      </c>
      <c r="G10" s="107">
        <f>G6*($D6/$D10)</f>
        <v>0.1256526358744833</v>
      </c>
      <c r="H10" s="107">
        <f>H6*($D6/$D10)</f>
        <v>0.10166440538935466</v>
      </c>
      <c r="I10" s="107">
        <f>I6*($D6/$D10)</f>
        <v>6.8537801386081799E-3</v>
      </c>
      <c r="J10" s="107">
        <f>J6*($D6/$D10)</f>
        <v>3.8838087452113021E-2</v>
      </c>
      <c r="K10" s="26"/>
    </row>
    <row r="11" spans="2:12">
      <c r="B11" s="19"/>
    </row>
    <row r="12" spans="2:12">
      <c r="B12" s="19" t="s">
        <v>293</v>
      </c>
    </row>
    <row r="13" spans="2:12">
      <c r="B13" s="19" t="s">
        <v>294</v>
      </c>
    </row>
    <row r="14" spans="2:12">
      <c r="B14" s="19" t="s">
        <v>295</v>
      </c>
      <c r="H14" s="45"/>
    </row>
    <row r="16" spans="2:12">
      <c r="B16" s="169" t="s">
        <v>201</v>
      </c>
      <c r="F16" s="106">
        <f>0.49*42.2*1000000000</f>
        <v>20678000000</v>
      </c>
    </row>
    <row r="17" spans="2:2">
      <c r="B17" s="19" t="s">
        <v>292</v>
      </c>
    </row>
  </sheetData>
  <mergeCells count="7">
    <mergeCell ref="B9:J9"/>
    <mergeCell ref="F3:J3"/>
    <mergeCell ref="B5:J5"/>
    <mergeCell ref="E3:E4"/>
    <mergeCell ref="D3:D4"/>
    <mergeCell ref="C3:C4"/>
    <mergeCell ref="B3:B4"/>
  </mergeCells>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49D255-9FD5-4F0E-A8E9-9FD9F5E5BD9A}">
  <sheetPr codeName="Feuil5"/>
  <dimension ref="B2:P35"/>
  <sheetViews>
    <sheetView topLeftCell="B1" zoomScale="115" zoomScaleNormal="115" workbookViewId="0">
      <selection activeCell="F21" sqref="F21"/>
    </sheetView>
  </sheetViews>
  <sheetFormatPr baseColWidth="10" defaultRowHeight="14.4"/>
  <cols>
    <col min="1" max="1" width="2.6640625" customWidth="1"/>
    <col min="2" max="2" width="15.5546875" customWidth="1"/>
    <col min="9" max="9" width="15.33203125" customWidth="1"/>
    <col min="11" max="11" width="14.109375" bestFit="1" customWidth="1"/>
    <col min="12" max="12" width="17.5546875" customWidth="1"/>
  </cols>
  <sheetData>
    <row r="2" spans="2:16">
      <c r="C2" s="252" t="s">
        <v>6</v>
      </c>
      <c r="D2" s="252"/>
      <c r="E2" s="252"/>
      <c r="F2" s="252"/>
      <c r="G2" s="252"/>
      <c r="I2" s="252" t="s">
        <v>42</v>
      </c>
      <c r="J2" s="252"/>
      <c r="K2" s="252"/>
      <c r="L2" s="252"/>
      <c r="M2" s="252"/>
    </row>
    <row r="3" spans="2:16" ht="55.2">
      <c r="B3" s="39" t="s">
        <v>7</v>
      </c>
      <c r="C3" s="21" t="s">
        <v>15</v>
      </c>
      <c r="D3" s="21" t="s">
        <v>11</v>
      </c>
      <c r="E3" s="21" t="s">
        <v>12</v>
      </c>
      <c r="F3" s="21" t="s">
        <v>13</v>
      </c>
      <c r="G3" s="21" t="s">
        <v>14</v>
      </c>
      <c r="H3" s="21"/>
      <c r="I3" s="21" t="s">
        <v>7</v>
      </c>
      <c r="J3" s="21" t="s">
        <v>31</v>
      </c>
      <c r="K3" s="39" t="s">
        <v>16</v>
      </c>
      <c r="L3" s="39" t="s">
        <v>17</v>
      </c>
      <c r="M3" s="39" t="s">
        <v>32</v>
      </c>
      <c r="N3" s="43"/>
      <c r="O3" s="43"/>
      <c r="P3" s="43"/>
    </row>
    <row r="4" spans="2:16">
      <c r="B4" s="155" t="s">
        <v>19</v>
      </c>
      <c r="C4" s="107">
        <v>7.5960683602224799E-2</v>
      </c>
      <c r="D4" s="107">
        <v>0.212741843744019</v>
      </c>
      <c r="E4" s="107">
        <v>0.20531545757172201</v>
      </c>
      <c r="F4" s="107">
        <v>1.26300513016978E-2</v>
      </c>
      <c r="G4" s="107">
        <v>0.5066480362196637</v>
      </c>
      <c r="H4" s="84"/>
      <c r="I4" s="39" t="s">
        <v>33</v>
      </c>
      <c r="J4" s="170">
        <v>13332368</v>
      </c>
      <c r="K4" s="92"/>
      <c r="L4" s="97">
        <v>44371</v>
      </c>
      <c r="M4" s="107">
        <v>1</v>
      </c>
      <c r="N4" s="43"/>
      <c r="O4" s="43"/>
      <c r="P4" s="43"/>
    </row>
    <row r="5" spans="2:16">
      <c r="B5" s="155" t="s">
        <v>20</v>
      </c>
      <c r="C5" s="107">
        <v>9.0593912806377894E-2</v>
      </c>
      <c r="D5" s="107">
        <v>0.17665944307649101</v>
      </c>
      <c r="E5" s="107">
        <v>0.17307909536456301</v>
      </c>
      <c r="F5" s="107">
        <v>1.7366535107066199E-2</v>
      </c>
      <c r="G5" s="107">
        <v>0.45769898635449813</v>
      </c>
      <c r="H5" s="84"/>
      <c r="I5" s="154" t="s">
        <v>34</v>
      </c>
      <c r="J5" s="170">
        <v>6666184</v>
      </c>
      <c r="K5" s="92"/>
      <c r="L5" s="97">
        <v>19049</v>
      </c>
      <c r="M5" s="107">
        <v>0.215</v>
      </c>
      <c r="N5" s="43"/>
      <c r="O5" s="43"/>
      <c r="P5" s="43"/>
    </row>
    <row r="6" spans="2:16">
      <c r="B6" s="155" t="s">
        <v>21</v>
      </c>
      <c r="C6" s="107">
        <v>0.10363514720654</v>
      </c>
      <c r="D6" s="107">
        <v>0.17453947297514699</v>
      </c>
      <c r="E6" s="107">
        <v>0.16063244948996799</v>
      </c>
      <c r="F6" s="107">
        <v>1.82614224433311E-2</v>
      </c>
      <c r="G6" s="107">
        <v>0.45706849211498607</v>
      </c>
      <c r="H6" s="84"/>
      <c r="I6" s="154" t="s">
        <v>35</v>
      </c>
      <c r="J6" s="170">
        <v>5332947</v>
      </c>
      <c r="K6" s="92">
        <v>34158</v>
      </c>
      <c r="L6" s="97">
        <v>47982</v>
      </c>
      <c r="M6" s="107">
        <v>0.433</v>
      </c>
      <c r="N6" s="43"/>
      <c r="O6" s="43"/>
      <c r="P6" s="43"/>
    </row>
    <row r="7" spans="2:16">
      <c r="B7" s="155" t="s">
        <v>22</v>
      </c>
      <c r="C7" s="107">
        <v>0.114473948978531</v>
      </c>
      <c r="D7" s="107">
        <v>0.17761434175112201</v>
      </c>
      <c r="E7" s="107">
        <v>0.15186467319316499</v>
      </c>
      <c r="F7" s="107">
        <v>1.75003769937177E-2</v>
      </c>
      <c r="G7" s="107">
        <v>0.46145334091653567</v>
      </c>
      <c r="H7" s="84"/>
      <c r="I7" s="154" t="s">
        <v>36</v>
      </c>
      <c r="J7" s="170">
        <v>1333237</v>
      </c>
      <c r="K7" s="92">
        <v>72164</v>
      </c>
      <c r="L7" s="97">
        <v>156533</v>
      </c>
      <c r="M7" s="107">
        <v>0.35299999999999998</v>
      </c>
      <c r="N7" s="43"/>
      <c r="O7" s="43"/>
      <c r="P7" s="43"/>
    </row>
    <row r="8" spans="2:16">
      <c r="B8" s="155" t="s">
        <v>23</v>
      </c>
      <c r="C8" s="107">
        <v>0.12764930854622</v>
      </c>
      <c r="D8" s="107">
        <v>0.17859024846143901</v>
      </c>
      <c r="E8" s="107">
        <v>0.14354702680476</v>
      </c>
      <c r="F8" s="107">
        <v>1.6906828122627001E-2</v>
      </c>
      <c r="G8" s="107">
        <v>0.46669341193504599</v>
      </c>
      <c r="H8" s="84"/>
      <c r="I8" s="154" t="s">
        <v>37</v>
      </c>
      <c r="J8" s="170">
        <v>133324</v>
      </c>
      <c r="K8" s="92">
        <v>226162</v>
      </c>
      <c r="L8" s="97">
        <v>625482</v>
      </c>
      <c r="M8" s="107">
        <v>0.14099999999999999</v>
      </c>
      <c r="N8" s="43"/>
      <c r="O8" s="43"/>
      <c r="P8" s="43"/>
    </row>
    <row r="9" spans="2:16">
      <c r="B9" s="155" t="s">
        <v>24</v>
      </c>
      <c r="C9" s="107">
        <v>0.14333419972636299</v>
      </c>
      <c r="D9" s="107">
        <v>0.17669005767072099</v>
      </c>
      <c r="E9" s="107">
        <v>0.137230244568084</v>
      </c>
      <c r="F9" s="107">
        <v>1.6946955642056099E-2</v>
      </c>
      <c r="G9" s="107">
        <v>0.4742014576072241</v>
      </c>
      <c r="H9" s="84"/>
      <c r="I9" s="154" t="s">
        <v>38</v>
      </c>
      <c r="J9" s="170">
        <v>13333</v>
      </c>
      <c r="K9" s="92">
        <v>1023879</v>
      </c>
      <c r="L9" s="97">
        <v>2694670</v>
      </c>
      <c r="M9" s="107">
        <v>6.0999999999999999E-2</v>
      </c>
      <c r="N9" s="43"/>
      <c r="O9" s="43"/>
      <c r="P9" s="43"/>
    </row>
    <row r="10" spans="2:16">
      <c r="B10" s="155" t="s">
        <v>25</v>
      </c>
      <c r="C10" s="107">
        <v>0.16273693237568801</v>
      </c>
      <c r="D10" s="107">
        <v>0.17128099276085801</v>
      </c>
      <c r="E10" s="107">
        <v>0.13140199006998499</v>
      </c>
      <c r="F10" s="107">
        <v>1.7638340874946899E-2</v>
      </c>
      <c r="G10" s="107">
        <v>0.4830582560814779</v>
      </c>
      <c r="H10" s="84"/>
      <c r="I10" s="154" t="s">
        <v>39</v>
      </c>
      <c r="J10" s="170">
        <v>1334</v>
      </c>
      <c r="K10" s="92">
        <v>4372218</v>
      </c>
      <c r="L10" s="97">
        <v>10921054</v>
      </c>
      <c r="M10" s="107">
        <v>2.5000000000000001E-2</v>
      </c>
      <c r="N10" s="43"/>
      <c r="O10" s="43"/>
      <c r="P10" s="43"/>
    </row>
    <row r="11" spans="2:16">
      <c r="B11" s="155" t="s">
        <v>26</v>
      </c>
      <c r="C11" s="107">
        <v>0.188093669894526</v>
      </c>
      <c r="D11" s="107">
        <v>0.15776473727476201</v>
      </c>
      <c r="E11" s="107">
        <v>0.120820998343993</v>
      </c>
      <c r="F11" s="107">
        <v>1.95914970960251E-2</v>
      </c>
      <c r="G11" s="107">
        <v>0.48627090260930617</v>
      </c>
      <c r="H11" s="84"/>
      <c r="I11" s="154" t="s">
        <v>40</v>
      </c>
      <c r="J11" s="84">
        <v>134</v>
      </c>
      <c r="K11" s="92">
        <v>18828918</v>
      </c>
      <c r="L11" s="97">
        <v>40602767</v>
      </c>
      <c r="M11" s="107">
        <v>9.0000000000000011E-3</v>
      </c>
      <c r="N11" s="43"/>
      <c r="O11" s="43"/>
      <c r="P11" s="43"/>
    </row>
    <row r="12" spans="2:16">
      <c r="B12" s="155" t="s">
        <v>27</v>
      </c>
      <c r="C12" s="107">
        <v>0.20728806806276501</v>
      </c>
      <c r="D12" s="107">
        <v>0.10120689198879999</v>
      </c>
      <c r="E12" s="107">
        <v>9.5152074741190806E-2</v>
      </c>
      <c r="F12" s="107">
        <v>3.3828154451692502E-2</v>
      </c>
      <c r="G12" s="107">
        <v>0.43747518924444834</v>
      </c>
      <c r="H12" s="43"/>
      <c r="I12" s="154" t="s">
        <v>41</v>
      </c>
      <c r="J12" s="84">
        <v>14</v>
      </c>
      <c r="K12" s="92">
        <v>89761129</v>
      </c>
      <c r="L12" s="97">
        <v>111562388</v>
      </c>
      <c r="M12" s="107">
        <v>3.0000000000000001E-3</v>
      </c>
      <c r="N12" s="43"/>
      <c r="O12" s="43"/>
      <c r="P12" s="43"/>
    </row>
    <row r="13" spans="2:16">
      <c r="B13" s="155" t="s">
        <v>28</v>
      </c>
      <c r="C13" s="107">
        <v>0.112275580459926</v>
      </c>
      <c r="D13" s="107">
        <v>2.3027494650312098E-2</v>
      </c>
      <c r="E13" s="107">
        <v>4.7575856317013103E-2</v>
      </c>
      <c r="F13" s="107">
        <v>8.89365737986232E-2</v>
      </c>
      <c r="G13" s="107">
        <v>0.27181550522587439</v>
      </c>
      <c r="H13" s="43"/>
      <c r="I13" s="155" t="s">
        <v>298</v>
      </c>
      <c r="J13" s="43"/>
      <c r="K13" s="43"/>
      <c r="L13" s="43"/>
      <c r="M13" s="43"/>
      <c r="N13" s="43"/>
      <c r="O13" s="43"/>
      <c r="P13" s="43"/>
    </row>
    <row r="14" spans="2:16">
      <c r="B14" s="155" t="s">
        <v>29</v>
      </c>
      <c r="C14" s="107">
        <v>6.18723823742399E-2</v>
      </c>
      <c r="D14" s="107">
        <v>5.2210869275538304E-3</v>
      </c>
      <c r="E14" s="107">
        <v>3.5201891721885502E-2</v>
      </c>
      <c r="F14" s="107">
        <v>0.11183797296190701</v>
      </c>
      <c r="G14" s="107">
        <v>0.21413333398558623</v>
      </c>
      <c r="H14" s="43"/>
      <c r="I14" s="2"/>
      <c r="J14" s="43"/>
      <c r="K14" s="43"/>
      <c r="L14" s="43"/>
      <c r="M14" s="43"/>
      <c r="N14" s="43"/>
      <c r="O14" s="43"/>
      <c r="P14" s="43"/>
    </row>
    <row r="15" spans="2:16">
      <c r="B15" s="155" t="s">
        <v>8</v>
      </c>
      <c r="C15" s="107">
        <v>4.4620931902958703E-2</v>
      </c>
      <c r="D15" s="107">
        <v>1.3255245466198E-3</v>
      </c>
      <c r="E15" s="107">
        <v>2.9789039319120199E-2</v>
      </c>
      <c r="F15" s="107">
        <v>0.11487752281729</v>
      </c>
      <c r="G15" s="107">
        <v>0.1906130185859887</v>
      </c>
      <c r="H15" s="43"/>
      <c r="I15" s="43"/>
      <c r="J15" s="43"/>
      <c r="K15" s="43"/>
      <c r="L15" s="43"/>
      <c r="M15" s="43"/>
      <c r="N15" s="43"/>
      <c r="O15" s="43"/>
      <c r="P15" s="43"/>
    </row>
    <row r="16" spans="2:16">
      <c r="B16" s="155" t="s">
        <v>9</v>
      </c>
      <c r="C16" s="107">
        <v>2.2128670383768902E-2</v>
      </c>
      <c r="D16" s="107">
        <v>3.1994709023309298E-4</v>
      </c>
      <c r="E16" s="107">
        <v>2.6581062674075E-2</v>
      </c>
      <c r="F16" s="107">
        <v>0.13276331399685801</v>
      </c>
      <c r="G16" s="107">
        <v>0.18179299414493499</v>
      </c>
      <c r="H16" s="43"/>
      <c r="I16" s="43"/>
      <c r="J16" s="43"/>
      <c r="K16" s="43"/>
      <c r="L16" s="43"/>
      <c r="M16" s="43"/>
      <c r="N16" s="43"/>
      <c r="O16" s="43"/>
      <c r="P16" s="43"/>
    </row>
    <row r="17" spans="2:16">
      <c r="B17" s="155" t="s">
        <v>30</v>
      </c>
      <c r="C17" s="107">
        <v>2.30090312504326E-3</v>
      </c>
      <c r="D17" s="107">
        <v>6.9734195242105706E-5</v>
      </c>
      <c r="E17" s="107">
        <v>1.7716005357975999E-2</v>
      </c>
      <c r="F17" s="107">
        <v>0.14434712971200001</v>
      </c>
      <c r="G17" s="107">
        <v>0.16443377239026136</v>
      </c>
      <c r="H17" s="43"/>
      <c r="I17" s="43"/>
      <c r="J17" s="43"/>
      <c r="K17" s="43"/>
      <c r="L17" s="43"/>
      <c r="M17" s="43"/>
      <c r="N17" s="43"/>
      <c r="O17" s="43"/>
      <c r="P17" s="43"/>
    </row>
    <row r="18" spans="2:16">
      <c r="B18" s="43"/>
      <c r="C18" s="43"/>
      <c r="D18" s="43"/>
      <c r="E18" s="43"/>
      <c r="F18" s="43"/>
      <c r="G18" s="43"/>
      <c r="H18" s="43"/>
      <c r="I18" s="43"/>
      <c r="J18" s="43"/>
      <c r="K18" s="43"/>
      <c r="L18" s="43"/>
      <c r="M18" s="43"/>
      <c r="N18" s="43"/>
      <c r="O18" s="43"/>
      <c r="P18" s="43"/>
    </row>
    <row r="19" spans="2:16">
      <c r="B19" s="43"/>
      <c r="C19" s="43" t="s">
        <v>297</v>
      </c>
      <c r="D19" s="43"/>
      <c r="E19" s="43"/>
      <c r="F19" s="43"/>
      <c r="G19" s="43"/>
      <c r="H19" s="43"/>
      <c r="I19" s="43"/>
      <c r="J19" s="43"/>
      <c r="K19" s="43"/>
      <c r="L19" s="43"/>
      <c r="M19" s="43"/>
      <c r="N19" s="43"/>
      <c r="O19" s="43"/>
      <c r="P19" s="43"/>
    </row>
    <row r="20" spans="2:16">
      <c r="B20" s="43"/>
      <c r="C20" s="2"/>
      <c r="D20" s="43"/>
      <c r="E20" s="43"/>
      <c r="F20" s="43"/>
      <c r="G20" s="43"/>
      <c r="H20" s="43"/>
      <c r="I20" s="43"/>
      <c r="J20" s="43"/>
      <c r="K20" s="43"/>
      <c r="L20" s="43"/>
      <c r="M20" s="43"/>
      <c r="N20" s="43"/>
      <c r="O20" s="43"/>
      <c r="P20" s="43"/>
    </row>
    <row r="21" spans="2:16">
      <c r="B21" s="43"/>
      <c r="C21" s="43"/>
      <c r="D21" s="43"/>
      <c r="E21" s="43"/>
      <c r="F21" s="43"/>
      <c r="G21" s="43"/>
      <c r="H21" s="43"/>
      <c r="I21" s="43"/>
      <c r="J21" s="43"/>
      <c r="K21" s="43"/>
      <c r="L21" s="43"/>
      <c r="M21" s="43"/>
      <c r="N21" s="43"/>
      <c r="O21" s="43"/>
      <c r="P21" s="43"/>
    </row>
    <row r="22" spans="2:16">
      <c r="B22" s="43"/>
      <c r="C22" s="195"/>
      <c r="D22" s="195"/>
      <c r="E22" s="195"/>
      <c r="F22" s="195"/>
      <c r="G22" s="43"/>
      <c r="H22" s="194"/>
      <c r="I22" s="43"/>
      <c r="J22" s="43"/>
      <c r="K22" s="43"/>
      <c r="L22" s="43"/>
      <c r="M22" s="43"/>
      <c r="N22" s="43"/>
      <c r="O22" s="43"/>
      <c r="P22" s="43"/>
    </row>
    <row r="23" spans="2:16">
      <c r="B23" s="43"/>
      <c r="C23" s="195"/>
      <c r="D23" s="195"/>
      <c r="E23" s="195"/>
      <c r="F23" s="195"/>
      <c r="G23" s="43"/>
      <c r="H23" s="194"/>
      <c r="I23" s="43"/>
      <c r="J23" s="43"/>
      <c r="K23" s="43"/>
      <c r="L23" s="43"/>
      <c r="M23" s="43"/>
      <c r="N23" s="43"/>
      <c r="O23" s="43"/>
      <c r="P23" s="43"/>
    </row>
    <row r="24" spans="2:16">
      <c r="C24" s="195"/>
      <c r="D24" s="195"/>
      <c r="E24" s="195"/>
      <c r="F24" s="195"/>
      <c r="H24" s="194"/>
    </row>
    <row r="25" spans="2:16">
      <c r="C25" s="195"/>
      <c r="D25" s="195"/>
      <c r="E25" s="195"/>
      <c r="F25" s="195"/>
      <c r="H25" s="194"/>
    </row>
    <row r="26" spans="2:16">
      <c r="C26" s="195"/>
      <c r="D26" s="195"/>
      <c r="E26" s="195"/>
      <c r="F26" s="195"/>
      <c r="H26" s="194"/>
    </row>
    <row r="27" spans="2:16">
      <c r="C27" s="195"/>
      <c r="D27" s="195"/>
      <c r="E27" s="195"/>
      <c r="F27" s="195"/>
      <c r="H27" s="194"/>
    </row>
    <row r="28" spans="2:16">
      <c r="C28" s="195"/>
      <c r="D28" s="195"/>
      <c r="E28" s="195"/>
      <c r="F28" s="195"/>
      <c r="H28" s="194"/>
    </row>
    <row r="29" spans="2:16">
      <c r="C29" s="195"/>
      <c r="D29" s="195"/>
      <c r="E29" s="195"/>
      <c r="F29" s="195"/>
      <c r="H29" s="194"/>
    </row>
    <row r="30" spans="2:16">
      <c r="C30" s="195"/>
      <c r="D30" s="195"/>
      <c r="E30" s="195"/>
      <c r="F30" s="195"/>
      <c r="H30" s="194"/>
    </row>
    <row r="31" spans="2:16">
      <c r="C31" s="195"/>
      <c r="D31" s="195"/>
      <c r="E31" s="195"/>
      <c r="F31" s="195"/>
      <c r="H31" s="194"/>
    </row>
    <row r="32" spans="2:16">
      <c r="C32" s="195"/>
      <c r="D32" s="195"/>
      <c r="E32" s="195"/>
      <c r="F32" s="195"/>
      <c r="H32" s="194"/>
    </row>
    <row r="33" spans="3:8">
      <c r="C33" s="195"/>
      <c r="D33" s="195"/>
      <c r="E33" s="195"/>
      <c r="F33" s="195"/>
      <c r="H33" s="194"/>
    </row>
    <row r="34" spans="3:8">
      <c r="C34" s="195"/>
      <c r="D34" s="195"/>
      <c r="E34" s="195"/>
      <c r="F34" s="195"/>
      <c r="H34" s="194"/>
    </row>
    <row r="35" spans="3:8">
      <c r="C35" s="195"/>
      <c r="D35" s="195"/>
      <c r="E35" s="195"/>
      <c r="F35" s="195"/>
      <c r="H35" s="194"/>
    </row>
  </sheetData>
  <mergeCells count="2">
    <mergeCell ref="C2:G2"/>
    <mergeCell ref="I2:M2"/>
  </mergeCell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8D0CC9-61B3-4D1E-94F5-791761C62400}">
  <dimension ref="B2:R26"/>
  <sheetViews>
    <sheetView zoomScale="115" zoomScaleNormal="115" workbookViewId="0">
      <selection activeCell="C25" sqref="C25"/>
    </sheetView>
  </sheetViews>
  <sheetFormatPr baseColWidth="10" defaultRowHeight="14.4"/>
  <cols>
    <col min="1" max="1" width="3.33203125" customWidth="1"/>
    <col min="2" max="2" width="15.6640625" customWidth="1"/>
    <col min="12" max="12" width="14.5546875" bestFit="1" customWidth="1"/>
    <col min="13" max="15" width="15.6640625" bestFit="1" customWidth="1"/>
    <col min="16" max="16" width="13" bestFit="1" customWidth="1"/>
    <col min="17" max="17" width="12.6640625" bestFit="1" customWidth="1"/>
  </cols>
  <sheetData>
    <row r="2" spans="2:18">
      <c r="C2" s="252" t="s">
        <v>6</v>
      </c>
      <c r="D2" s="252"/>
      <c r="E2" s="252"/>
      <c r="F2" s="252"/>
      <c r="G2" s="252"/>
      <c r="H2" s="252"/>
      <c r="I2" s="252"/>
      <c r="J2" s="252"/>
      <c r="K2" s="252" t="s">
        <v>95</v>
      </c>
      <c r="L2" s="252"/>
      <c r="M2" s="252"/>
      <c r="N2" s="252"/>
      <c r="O2" s="252"/>
      <c r="P2" s="252"/>
      <c r="Q2" s="252"/>
    </row>
    <row r="3" spans="2:18" ht="43.2">
      <c r="B3" s="39" t="s">
        <v>7</v>
      </c>
      <c r="C3" s="39" t="s">
        <v>51</v>
      </c>
      <c r="D3" s="39" t="s">
        <v>52</v>
      </c>
      <c r="E3" s="39" t="s">
        <v>72</v>
      </c>
      <c r="F3" s="39" t="s">
        <v>53</v>
      </c>
      <c r="G3" s="39" t="s">
        <v>73</v>
      </c>
      <c r="H3" s="39" t="s">
        <v>74</v>
      </c>
      <c r="I3" s="39" t="s">
        <v>75</v>
      </c>
      <c r="J3" s="43"/>
      <c r="K3" s="39" t="s">
        <v>96</v>
      </c>
      <c r="L3" s="39" t="s">
        <v>57</v>
      </c>
      <c r="M3" s="39" t="s">
        <v>149</v>
      </c>
      <c r="N3" s="39" t="s">
        <v>150</v>
      </c>
      <c r="O3" s="39" t="s">
        <v>149</v>
      </c>
      <c r="P3" s="39" t="s">
        <v>150</v>
      </c>
      <c r="Q3" s="39" t="s">
        <v>94</v>
      </c>
      <c r="R3" s="43"/>
    </row>
    <row r="4" spans="2:18" s="85" customFormat="1">
      <c r="B4" s="39"/>
      <c r="C4" s="39"/>
      <c r="D4" s="39"/>
      <c r="E4" s="39"/>
      <c r="F4" s="39"/>
      <c r="G4" s="39"/>
      <c r="H4" s="39"/>
      <c r="I4" s="39"/>
      <c r="J4" s="43"/>
      <c r="K4" s="116" t="s">
        <v>77</v>
      </c>
      <c r="L4" s="39"/>
      <c r="M4" s="39"/>
      <c r="N4" s="39"/>
      <c r="O4" s="39"/>
      <c r="P4" s="39"/>
      <c r="Q4" s="176">
        <v>1</v>
      </c>
      <c r="R4" s="43"/>
    </row>
    <row r="5" spans="2:18">
      <c r="B5" s="155" t="s">
        <v>69</v>
      </c>
      <c r="C5" s="107">
        <v>0.48921796000000001</v>
      </c>
      <c r="D5" s="107">
        <v>0.35078787</v>
      </c>
      <c r="E5" s="107">
        <v>7.3076589999999997E-2</v>
      </c>
      <c r="F5" s="107">
        <v>1.1969000000000563E-4</v>
      </c>
      <c r="G5" s="107">
        <v>3.028099999999867E-4</v>
      </c>
      <c r="H5" s="107">
        <v>3.7247660000000016E-2</v>
      </c>
      <c r="I5" s="107">
        <v>2.7683340000000001E-2</v>
      </c>
      <c r="J5" s="177"/>
      <c r="K5" s="116" t="s">
        <v>78</v>
      </c>
      <c r="L5" s="113">
        <f>L8*(9/5)</f>
        <v>136575286.20000002</v>
      </c>
      <c r="M5" s="43"/>
      <c r="N5" s="114">
        <f>(N6*L6+(L5-L6)*6681)/L5</f>
        <v>42778.888888888883</v>
      </c>
      <c r="O5" s="115"/>
      <c r="P5" s="113">
        <f t="shared" ref="P5:P7" si="0">N5/4.03</f>
        <v>10615.108905431483</v>
      </c>
      <c r="Q5" s="107">
        <f>'Bach et al. (2025)'!F5/100</f>
        <v>0.99849999999999994</v>
      </c>
      <c r="R5" s="43"/>
    </row>
    <row r="6" spans="2:18">
      <c r="B6" s="155" t="s">
        <v>21</v>
      </c>
      <c r="C6" s="107">
        <v>0.48097889999999999</v>
      </c>
      <c r="D6" s="107">
        <v>0.30598335999999998</v>
      </c>
      <c r="E6" s="107">
        <v>0.12977363000000003</v>
      </c>
      <c r="F6" s="107">
        <v>2.9069999999964402E-5</v>
      </c>
      <c r="G6" s="107">
        <v>4.4550000000032064E-5</v>
      </c>
      <c r="H6" s="107">
        <v>1.8400489999999992E-2</v>
      </c>
      <c r="I6" s="107">
        <v>2.6747799999999988E-2</v>
      </c>
      <c r="J6" s="177"/>
      <c r="K6" s="116" t="s">
        <v>80</v>
      </c>
      <c r="L6" s="113">
        <f>L8*(7/5)</f>
        <v>106225222.59999999</v>
      </c>
      <c r="M6" s="43"/>
      <c r="N6" s="114">
        <f>(N7*L7+(L6-L7)*13151)/L6</f>
        <v>53092.571428571428</v>
      </c>
      <c r="O6" s="115"/>
      <c r="P6" s="113">
        <f t="shared" si="0"/>
        <v>13174.335342077276</v>
      </c>
      <c r="Q6" s="107">
        <f>(L6*N6)/(L5*N5)*Q5</f>
        <v>0.96384646632554982</v>
      </c>
      <c r="R6" s="43"/>
    </row>
    <row r="7" spans="2:18">
      <c r="B7" s="155" t="s">
        <v>22</v>
      </c>
      <c r="C7" s="107">
        <v>0.44749116</v>
      </c>
      <c r="D7" s="107">
        <v>0.28814492000000003</v>
      </c>
      <c r="E7" s="107">
        <v>0.11425879</v>
      </c>
      <c r="F7" s="107">
        <v>3.2159999999947786E-5</v>
      </c>
      <c r="G7" s="107">
        <v>7.4400000000029998E-5</v>
      </c>
      <c r="H7" s="107">
        <v>1.9991690000000006E-2</v>
      </c>
      <c r="I7" s="107">
        <v>2.4989199999999989E-2</v>
      </c>
      <c r="J7" s="177"/>
      <c r="K7" s="116" t="s">
        <v>81</v>
      </c>
      <c r="L7" s="113">
        <f>L8*(6/5)</f>
        <v>91050190.799999997</v>
      </c>
      <c r="M7" s="43"/>
      <c r="N7" s="114">
        <f>(N8*L8+(L7-L8)*15882)/L7</f>
        <v>59749.5</v>
      </c>
      <c r="O7" s="115"/>
      <c r="P7" s="113">
        <f t="shared" si="0"/>
        <v>14826.178660049627</v>
      </c>
      <c r="Q7" s="107">
        <f>(L7*N7)/(L6*N6)*Q6</f>
        <v>0.92974014830783602</v>
      </c>
      <c r="R7" s="43"/>
    </row>
    <row r="8" spans="2:18">
      <c r="B8" s="155" t="s">
        <v>23</v>
      </c>
      <c r="C8" s="107">
        <v>0.46344125000000003</v>
      </c>
      <c r="D8" s="107">
        <v>0.27923704999999999</v>
      </c>
      <c r="E8" s="107">
        <v>0.13652030000000004</v>
      </c>
      <c r="F8" s="107">
        <v>3.9299999999964363E-5</v>
      </c>
      <c r="G8" s="107">
        <v>5.9399999999987241E-5</v>
      </c>
      <c r="H8" s="107">
        <v>2.199091000000003E-2</v>
      </c>
      <c r="I8" s="107">
        <v>2.559429000000002E-2</v>
      </c>
      <c r="J8" s="177"/>
      <c r="K8" s="43" t="s">
        <v>82</v>
      </c>
      <c r="L8" s="92">
        <v>75875159</v>
      </c>
      <c r="M8" s="92">
        <v>14305</v>
      </c>
      <c r="N8" s="92">
        <v>68523</v>
      </c>
      <c r="O8" s="178">
        <f>M8/4.03</f>
        <v>3549.6277915632754</v>
      </c>
      <c r="P8" s="178">
        <f>N8/4.03</f>
        <v>17003.225806451614</v>
      </c>
      <c r="Q8" s="107">
        <f t="shared" ref="Q8:Q18" si="1">(L8*N8)/(L7*N7)*Q7</f>
        <v>0.8885511480221292</v>
      </c>
      <c r="R8" s="43"/>
    </row>
    <row r="9" spans="2:18">
      <c r="B9" s="155" t="s">
        <v>24</v>
      </c>
      <c r="C9" s="107">
        <v>0.46875623</v>
      </c>
      <c r="D9" s="107">
        <v>0.27187730999999998</v>
      </c>
      <c r="E9" s="107">
        <v>0.14923669000000001</v>
      </c>
      <c r="F9" s="107">
        <v>6.3599999999996992E-5</v>
      </c>
      <c r="G9" s="107">
        <v>5.3579999999997519E-5</v>
      </c>
      <c r="H9" s="107">
        <v>2.1793000000000007E-2</v>
      </c>
      <c r="I9" s="107">
        <v>2.5732050000000006E-2</v>
      </c>
      <c r="J9" s="177"/>
      <c r="K9" s="115" t="s">
        <v>83</v>
      </c>
      <c r="L9" s="113">
        <f>L8*(4/5)</f>
        <v>60700127.200000003</v>
      </c>
      <c r="M9" s="43"/>
      <c r="N9" s="113">
        <f>(N8*L8-(L8-L9)*19241)/L9</f>
        <v>80843.5</v>
      </c>
      <c r="O9" s="43"/>
      <c r="P9" s="113">
        <f t="shared" ref="P9:P10" si="2">N9/4.03</f>
        <v>20060.421836228288</v>
      </c>
      <c r="Q9" s="107">
        <f t="shared" si="1"/>
        <v>0.83865078569387808</v>
      </c>
      <c r="R9" s="43"/>
    </row>
    <row r="10" spans="2:18">
      <c r="B10" s="155" t="s">
        <v>25</v>
      </c>
      <c r="C10" s="107">
        <v>0.4378783</v>
      </c>
      <c r="D10" s="107">
        <v>0.24387754</v>
      </c>
      <c r="E10" s="107">
        <v>0.14179302999999999</v>
      </c>
      <c r="F10" s="107">
        <v>4.4270299999999985E-3</v>
      </c>
      <c r="G10" s="107">
        <v>5.1422000000000967E-4</v>
      </c>
      <c r="H10" s="107">
        <v>2.343706000000001E-2</v>
      </c>
      <c r="I10" s="107">
        <v>2.382941999999999E-2</v>
      </c>
      <c r="J10" s="177"/>
      <c r="K10" s="115" t="s">
        <v>84</v>
      </c>
      <c r="L10" s="113">
        <f>L8*(3/5)</f>
        <v>45525095.399999999</v>
      </c>
      <c r="M10" s="178"/>
      <c r="N10" s="113">
        <f>(N9*L9-(L9-L10)*24114)/L10</f>
        <v>99753.333333333343</v>
      </c>
      <c r="O10" s="43"/>
      <c r="P10" s="113">
        <f t="shared" si="2"/>
        <v>24752.68817204301</v>
      </c>
      <c r="Q10" s="107">
        <f t="shared" si="1"/>
        <v>0.77611259447806547</v>
      </c>
      <c r="R10" s="43"/>
    </row>
    <row r="11" spans="2:18">
      <c r="B11" s="155" t="s">
        <v>26</v>
      </c>
      <c r="C11" s="107">
        <v>0.49957816999999999</v>
      </c>
      <c r="D11" s="107">
        <v>0.20272693</v>
      </c>
      <c r="E11" s="107">
        <v>0.22207020000000002</v>
      </c>
      <c r="F11" s="107">
        <v>2.8896959999999972E-2</v>
      </c>
      <c r="G11" s="107">
        <v>1.6467800000000143E-3</v>
      </c>
      <c r="H11" s="107">
        <v>1.9115920000000008E-2</v>
      </c>
      <c r="I11" s="107">
        <v>2.5121379999999971E-2</v>
      </c>
      <c r="J11" s="177"/>
      <c r="K11" s="43" t="s">
        <v>85</v>
      </c>
      <c r="L11" s="92">
        <v>29837281</v>
      </c>
      <c r="M11" s="92">
        <v>36178</v>
      </c>
      <c r="N11" s="92">
        <v>141121</v>
      </c>
      <c r="O11" s="178">
        <f t="shared" ref="O11:O18" si="3">M11/4.03</f>
        <v>8977.1712158808932</v>
      </c>
      <c r="P11" s="178">
        <f t="shared" ref="P11:P18" si="4">N11/4.03</f>
        <v>35017.617866004963</v>
      </c>
      <c r="Q11" s="107">
        <f t="shared" si="1"/>
        <v>0.71961024760150227</v>
      </c>
      <c r="R11" s="43"/>
    </row>
    <row r="12" spans="2:18">
      <c r="B12" s="155" t="s">
        <v>70</v>
      </c>
      <c r="C12" s="107">
        <v>0.51614698999999997</v>
      </c>
      <c r="D12" s="107">
        <v>0.18110766</v>
      </c>
      <c r="E12" s="107">
        <v>0.22354725999999997</v>
      </c>
      <c r="F12" s="107">
        <v>6.8337360000000014E-2</v>
      </c>
      <c r="G12" s="107">
        <v>3.1153600000000115E-3</v>
      </c>
      <c r="H12" s="107">
        <v>1.5995470000000012E-2</v>
      </c>
      <c r="I12" s="107">
        <v>2.4043879999999962E-2</v>
      </c>
      <c r="J12" s="177"/>
      <c r="K12" s="43" t="s">
        <v>86</v>
      </c>
      <c r="L12" s="92">
        <v>14918640</v>
      </c>
      <c r="M12" s="92">
        <v>73213</v>
      </c>
      <c r="N12" s="92">
        <v>230814</v>
      </c>
      <c r="O12" s="178">
        <f t="shared" si="3"/>
        <v>18166.99751861042</v>
      </c>
      <c r="P12" s="178">
        <f t="shared" si="4"/>
        <v>57273.945409429274</v>
      </c>
      <c r="Q12" s="107">
        <f>(L12*N12)/(L11*N11)*Q11</f>
        <v>0.58848829771317546</v>
      </c>
      <c r="R12" s="43"/>
    </row>
    <row r="13" spans="2:18">
      <c r="B13" s="155" t="s">
        <v>71</v>
      </c>
      <c r="C13" s="107">
        <v>0.41765648999999999</v>
      </c>
      <c r="D13" s="107">
        <v>0.10663188999999999</v>
      </c>
      <c r="E13" s="107">
        <v>0.17045790999999999</v>
      </c>
      <c r="F13" s="107">
        <v>0.10205763000000001</v>
      </c>
      <c r="G13" s="107">
        <v>8.3621600000000074E-3</v>
      </c>
      <c r="H13" s="107">
        <v>1.1407039999999979E-2</v>
      </c>
      <c r="I13" s="107">
        <v>1.8739859999999997E-2</v>
      </c>
      <c r="J13" s="177"/>
      <c r="K13" s="43" t="s">
        <v>87</v>
      </c>
      <c r="L13" s="92">
        <v>7459319</v>
      </c>
      <c r="M13" s="92">
        <v>129125</v>
      </c>
      <c r="N13" s="92">
        <v>365465</v>
      </c>
      <c r="O13" s="178">
        <f t="shared" si="3"/>
        <v>32040.942928039702</v>
      </c>
      <c r="P13" s="178">
        <f t="shared" si="4"/>
        <v>90686.104218362278</v>
      </c>
      <c r="Q13" s="107">
        <f t="shared" si="1"/>
        <v>0.46589861726564968</v>
      </c>
      <c r="R13" s="43"/>
    </row>
    <row r="14" spans="2:18">
      <c r="B14" s="155" t="s">
        <v>28</v>
      </c>
      <c r="C14" s="107">
        <v>0.30034454999999999</v>
      </c>
      <c r="D14" s="107">
        <v>6.541951E-2</v>
      </c>
      <c r="E14" s="107">
        <v>9.6153059999999999E-2</v>
      </c>
      <c r="F14" s="107">
        <v>8.8037680000000007E-2</v>
      </c>
      <c r="G14" s="107">
        <v>2.8660810000000009E-2</v>
      </c>
      <c r="H14" s="107">
        <v>7.3779199999999823E-3</v>
      </c>
      <c r="I14" s="107">
        <v>1.4695569999999991E-2</v>
      </c>
      <c r="J14" s="177"/>
      <c r="K14" s="43" t="s">
        <v>54</v>
      </c>
      <c r="L14" s="92">
        <v>1491870</v>
      </c>
      <c r="M14" s="92">
        <v>374526</v>
      </c>
      <c r="N14" s="92">
        <v>1004838</v>
      </c>
      <c r="O14" s="178">
        <f t="shared" si="3"/>
        <v>92934.491315136474</v>
      </c>
      <c r="P14" s="178">
        <f t="shared" si="4"/>
        <v>249339.4540942928</v>
      </c>
      <c r="Q14" s="107">
        <f t="shared" si="1"/>
        <v>0.25619667019275622</v>
      </c>
      <c r="R14" s="43"/>
    </row>
    <row r="15" spans="2:18">
      <c r="B15" s="155" t="s">
        <v>29</v>
      </c>
      <c r="C15" s="107">
        <v>0.22436049</v>
      </c>
      <c r="D15" s="107">
        <v>5.3847699999999998E-2</v>
      </c>
      <c r="E15" s="107">
        <v>2.5956469999999995E-2</v>
      </c>
      <c r="F15" s="107">
        <v>4.4077640000000001E-2</v>
      </c>
      <c r="G15" s="107">
        <v>8.1830119999999992E-2</v>
      </c>
      <c r="H15" s="107">
        <v>4.4707800000000075E-3</v>
      </c>
      <c r="I15" s="107">
        <v>1.4177780000000001E-2</v>
      </c>
      <c r="J15" s="177"/>
      <c r="K15" s="43" t="s">
        <v>88</v>
      </c>
      <c r="L15" s="92">
        <v>149187</v>
      </c>
      <c r="M15" s="92">
        <v>1422293</v>
      </c>
      <c r="N15" s="92">
        <v>4586560</v>
      </c>
      <c r="O15" s="178">
        <f t="shared" si="3"/>
        <v>352926.30272952851</v>
      </c>
      <c r="P15" s="178">
        <f t="shared" si="4"/>
        <v>1138104.2183622827</v>
      </c>
      <c r="Q15" s="107">
        <f t="shared" si="1"/>
        <v>0.11694038239390708</v>
      </c>
      <c r="R15" s="43"/>
    </row>
    <row r="16" spans="2:18">
      <c r="B16" s="155" t="s">
        <v>8</v>
      </c>
      <c r="C16" s="107">
        <v>0.21458076000000001</v>
      </c>
      <c r="D16" s="107">
        <v>4.9400050000000001E-2</v>
      </c>
      <c r="E16" s="107">
        <v>9.7962600000000011E-3</v>
      </c>
      <c r="F16" s="107">
        <v>3.0993380000000001E-2</v>
      </c>
      <c r="G16" s="107">
        <v>0.10685298</v>
      </c>
      <c r="H16" s="107">
        <v>2.698779999999984E-3</v>
      </c>
      <c r="I16" s="107">
        <v>1.4839310000000022E-2</v>
      </c>
      <c r="J16" s="177"/>
      <c r="K16" s="43" t="s">
        <v>89</v>
      </c>
      <c r="L16" s="92">
        <v>14922</v>
      </c>
      <c r="M16" s="92">
        <v>7003875</v>
      </c>
      <c r="N16" s="92">
        <v>22950356</v>
      </c>
      <c r="O16" s="178">
        <f t="shared" si="3"/>
        <v>1737934.2431761785</v>
      </c>
      <c r="P16" s="178">
        <f t="shared" si="4"/>
        <v>5694877.4193548383</v>
      </c>
      <c r="Q16" s="107">
        <f t="shared" si="1"/>
        <v>5.8527895972065452E-2</v>
      </c>
      <c r="R16" s="43"/>
    </row>
    <row r="17" spans="2:18">
      <c r="B17" s="155" t="s">
        <v>40</v>
      </c>
      <c r="C17" s="107">
        <v>0.19708729</v>
      </c>
      <c r="D17" s="107">
        <v>4.0906579999999998E-2</v>
      </c>
      <c r="E17" s="107">
        <v>1.884540000000004E-3</v>
      </c>
      <c r="F17" s="107">
        <v>1.9791820000000002E-2</v>
      </c>
      <c r="G17" s="107">
        <v>0.11906232</v>
      </c>
      <c r="H17" s="107">
        <v>6.687800000000077E-4</v>
      </c>
      <c r="I17" s="107">
        <v>1.4773249999999988E-2</v>
      </c>
      <c r="J17" s="177"/>
      <c r="K17" s="43" t="s">
        <v>90</v>
      </c>
      <c r="L17" s="92">
        <v>1492</v>
      </c>
      <c r="M17" s="92">
        <v>36343312</v>
      </c>
      <c r="N17" s="92">
        <v>111879448</v>
      </c>
      <c r="O17" s="178">
        <f t="shared" si="3"/>
        <v>9018191.5632754341</v>
      </c>
      <c r="P17" s="178">
        <f t="shared" si="4"/>
        <v>27761649.627791561</v>
      </c>
      <c r="Q17" s="107">
        <f t="shared" si="1"/>
        <v>2.8527623076542157E-2</v>
      </c>
      <c r="R17" s="43"/>
    </row>
    <row r="18" spans="2:18" s="85" customFormat="1">
      <c r="B18" s="155"/>
      <c r="C18" s="107"/>
      <c r="D18" s="107"/>
      <c r="E18" s="107"/>
      <c r="F18" s="107"/>
      <c r="G18" s="107"/>
      <c r="H18" s="107"/>
      <c r="I18" s="107"/>
      <c r="J18" s="177"/>
      <c r="K18" s="43" t="s">
        <v>97</v>
      </c>
      <c r="L18" s="92">
        <v>152</v>
      </c>
      <c r="M18" s="92">
        <v>199694816</v>
      </c>
      <c r="N18" s="92">
        <v>491618912</v>
      </c>
      <c r="O18" s="178">
        <f t="shared" si="3"/>
        <v>49552063.523573197</v>
      </c>
      <c r="P18" s="178">
        <f t="shared" si="4"/>
        <v>121989804.46650124</v>
      </c>
      <c r="Q18" s="107">
        <f t="shared" si="1"/>
        <v>1.277081515371974E-2</v>
      </c>
      <c r="R18" s="43"/>
    </row>
    <row r="19" spans="2:18">
      <c r="B19" s="155"/>
      <c r="C19" s="107"/>
      <c r="D19" s="107"/>
      <c r="E19" s="107"/>
      <c r="F19" s="107"/>
      <c r="G19" s="107"/>
      <c r="H19" s="43"/>
      <c r="I19" s="43"/>
      <c r="J19" s="43"/>
      <c r="K19" s="43"/>
      <c r="L19" s="43"/>
      <c r="M19" s="43"/>
      <c r="N19" s="43"/>
      <c r="O19" s="43"/>
      <c r="P19" s="43"/>
      <c r="Q19" s="178"/>
      <c r="R19" s="43"/>
    </row>
    <row r="20" spans="2:18">
      <c r="B20" s="43" t="s">
        <v>98</v>
      </c>
      <c r="C20" s="43"/>
      <c r="D20" s="43"/>
      <c r="E20" s="43"/>
      <c r="F20" s="43"/>
      <c r="G20" s="43"/>
      <c r="H20" s="43"/>
      <c r="I20" s="43"/>
      <c r="J20" s="43"/>
      <c r="K20" s="43" t="s">
        <v>130</v>
      </c>
      <c r="L20" s="43"/>
      <c r="M20" s="43"/>
      <c r="N20" s="43"/>
      <c r="O20" s="43"/>
      <c r="P20" s="43"/>
      <c r="Q20" s="43"/>
      <c r="R20" s="43"/>
    </row>
    <row r="21" spans="2:18">
      <c r="B21" s="2"/>
      <c r="C21" s="43"/>
      <c r="D21" s="43"/>
      <c r="E21" s="43"/>
      <c r="F21" s="43"/>
      <c r="G21" s="43"/>
      <c r="H21" s="43"/>
      <c r="I21" s="43"/>
      <c r="J21" s="43"/>
      <c r="K21" s="43" t="s">
        <v>207</v>
      </c>
      <c r="L21" s="43"/>
      <c r="M21" s="43"/>
      <c r="N21" s="43"/>
      <c r="O21" s="43"/>
      <c r="P21" s="43"/>
      <c r="Q21" s="43"/>
      <c r="R21" s="43"/>
    </row>
    <row r="22" spans="2:18">
      <c r="B22" s="43"/>
      <c r="C22" s="43"/>
      <c r="D22" s="43"/>
      <c r="E22" s="43"/>
      <c r="F22" s="43"/>
      <c r="G22" s="43"/>
      <c r="H22" s="43"/>
      <c r="I22" s="43"/>
      <c r="J22" s="43"/>
      <c r="K22" s="43" t="s">
        <v>206</v>
      </c>
      <c r="L22" s="43"/>
      <c r="M22" s="43"/>
      <c r="N22" s="43"/>
      <c r="O22" s="43"/>
      <c r="P22" s="43"/>
      <c r="Q22" s="43"/>
      <c r="R22" s="43"/>
    </row>
    <row r="23" spans="2:18">
      <c r="B23" s="43"/>
      <c r="C23" s="43"/>
      <c r="D23" s="43"/>
      <c r="E23" s="43"/>
      <c r="F23" s="43"/>
      <c r="G23" s="43"/>
      <c r="H23" s="43"/>
      <c r="I23" s="43"/>
      <c r="J23" s="43"/>
      <c r="K23" s="2"/>
      <c r="L23" s="43"/>
      <c r="M23" s="43"/>
      <c r="N23" s="43"/>
      <c r="O23" s="43"/>
      <c r="P23" s="43"/>
      <c r="Q23" s="43"/>
      <c r="R23" s="43"/>
    </row>
    <row r="24" spans="2:18">
      <c r="B24" s="43"/>
      <c r="C24" s="43"/>
      <c r="D24" s="43"/>
      <c r="E24" s="43"/>
      <c r="F24" s="43"/>
      <c r="G24" s="43"/>
      <c r="H24" s="43"/>
      <c r="I24" s="43"/>
      <c r="J24" s="43"/>
      <c r="K24" s="43"/>
      <c r="L24" s="43"/>
      <c r="M24" s="43"/>
      <c r="N24" s="43"/>
      <c r="O24" s="43"/>
      <c r="P24" s="43"/>
      <c r="Q24" s="43"/>
      <c r="R24" s="43"/>
    </row>
    <row r="25" spans="2:18">
      <c r="B25" s="43"/>
      <c r="C25" s="43"/>
      <c r="D25" s="43"/>
      <c r="E25" s="43"/>
      <c r="F25" s="43"/>
      <c r="G25" s="43"/>
      <c r="H25" s="43"/>
      <c r="I25" s="43"/>
      <c r="J25" s="43"/>
      <c r="K25" s="43"/>
      <c r="L25" s="43"/>
      <c r="M25" s="43"/>
      <c r="N25" s="43"/>
      <c r="O25" s="43"/>
      <c r="P25" s="43"/>
      <c r="Q25" s="43"/>
      <c r="R25" s="43"/>
    </row>
    <row r="26" spans="2:18">
      <c r="B26" s="43"/>
      <c r="C26" s="43"/>
      <c r="D26" s="43"/>
      <c r="E26" s="43"/>
      <c r="F26" s="43"/>
      <c r="G26" s="43"/>
      <c r="H26" s="43"/>
      <c r="I26" s="43"/>
      <c r="J26" s="43"/>
      <c r="K26" s="43"/>
      <c r="L26" s="43"/>
      <c r="M26" s="43"/>
      <c r="N26" s="43"/>
      <c r="O26" s="43"/>
      <c r="P26" s="43"/>
      <c r="Q26" s="43"/>
      <c r="R26" s="43"/>
    </row>
  </sheetData>
  <mergeCells count="2">
    <mergeCell ref="C2:J2"/>
    <mergeCell ref="K2:Q2"/>
  </mergeCells>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2BD9FE-447D-43A9-B308-0AB122408051}">
  <dimension ref="B2:M166"/>
  <sheetViews>
    <sheetView zoomScaleNormal="100" workbookViewId="0">
      <selection activeCell="B4" sqref="B4"/>
    </sheetView>
  </sheetViews>
  <sheetFormatPr baseColWidth="10" defaultRowHeight="14.4"/>
  <cols>
    <col min="1" max="1" width="3.44140625" customWidth="1"/>
    <col min="2" max="11" width="11.6640625" customWidth="1"/>
    <col min="12" max="12" width="9.33203125" customWidth="1"/>
  </cols>
  <sheetData>
    <row r="2" spans="2:12" ht="36" customHeight="1">
      <c r="B2" s="265" t="s">
        <v>6</v>
      </c>
      <c r="C2" s="265"/>
      <c r="D2" s="265"/>
      <c r="E2" s="25"/>
      <c r="F2" s="68"/>
      <c r="L2" s="68"/>
    </row>
    <row r="3" spans="2:12" ht="28.8">
      <c r="B3" s="39" t="s">
        <v>7</v>
      </c>
      <c r="C3" s="171" t="s">
        <v>123</v>
      </c>
      <c r="D3" s="171" t="s">
        <v>122</v>
      </c>
      <c r="E3" s="172"/>
      <c r="F3" s="172"/>
      <c r="G3" s="43"/>
      <c r="L3" s="27"/>
    </row>
    <row r="4" spans="2:12">
      <c r="B4" s="124" t="s">
        <v>120</v>
      </c>
      <c r="C4" s="173">
        <v>0.42</v>
      </c>
      <c r="D4" s="173">
        <v>0.1</v>
      </c>
      <c r="E4" s="172"/>
      <c r="F4" s="172"/>
      <c r="G4" s="43"/>
      <c r="L4" s="27"/>
    </row>
    <row r="5" spans="2:12">
      <c r="B5" s="124" t="s">
        <v>0</v>
      </c>
      <c r="C5" s="173">
        <v>0.43</v>
      </c>
      <c r="D5" s="173">
        <v>0.13</v>
      </c>
      <c r="E5" s="172"/>
      <c r="F5" s="172"/>
      <c r="G5" s="43"/>
      <c r="L5" s="27"/>
    </row>
    <row r="6" spans="2:12">
      <c r="B6" s="124" t="s">
        <v>1</v>
      </c>
      <c r="C6" s="173">
        <v>0.45</v>
      </c>
      <c r="D6" s="173">
        <v>0.14000000000000001</v>
      </c>
      <c r="E6" s="172"/>
      <c r="F6" s="172"/>
      <c r="G6" s="43"/>
      <c r="L6" s="27"/>
    </row>
    <row r="7" spans="2:12">
      <c r="B7" s="124" t="s">
        <v>2</v>
      </c>
      <c r="C7" s="173">
        <v>0.47</v>
      </c>
      <c r="D7" s="173">
        <v>0.14000000000000001</v>
      </c>
      <c r="E7" s="172"/>
      <c r="F7" s="172"/>
      <c r="G7" s="43"/>
      <c r="L7" s="27"/>
    </row>
    <row r="8" spans="2:12">
      <c r="B8" s="124" t="s">
        <v>3</v>
      </c>
      <c r="C8" s="173">
        <v>0.49</v>
      </c>
      <c r="D8" s="173">
        <v>0.15</v>
      </c>
      <c r="E8" s="172"/>
      <c r="F8" s="172"/>
      <c r="G8" s="43"/>
      <c r="L8" s="27"/>
    </row>
    <row r="9" spans="2:12">
      <c r="B9" s="124" t="s">
        <v>121</v>
      </c>
      <c r="C9" s="173">
        <v>0.5</v>
      </c>
      <c r="D9" s="173">
        <v>0.2</v>
      </c>
      <c r="E9" s="172"/>
      <c r="F9" s="172"/>
      <c r="G9" s="43"/>
      <c r="L9" s="27"/>
    </row>
    <row r="10" spans="2:12">
      <c r="B10" s="124" t="s">
        <v>4</v>
      </c>
      <c r="C10" s="173">
        <v>0.43</v>
      </c>
      <c r="D10" s="173">
        <v>0.25</v>
      </c>
      <c r="E10" s="172"/>
      <c r="F10" s="172"/>
      <c r="G10" s="43"/>
      <c r="L10" s="27"/>
    </row>
    <row r="11" spans="2:12">
      <c r="B11" s="124" t="s">
        <v>106</v>
      </c>
      <c r="C11" s="173">
        <v>0.36</v>
      </c>
      <c r="D11" s="173">
        <v>0.15</v>
      </c>
      <c r="E11" s="172"/>
      <c r="F11" s="172"/>
      <c r="G11" s="43"/>
      <c r="L11" s="27"/>
    </row>
    <row r="12" spans="2:12">
      <c r="B12" s="124" t="s">
        <v>125</v>
      </c>
      <c r="C12" s="173">
        <v>0.18</v>
      </c>
      <c r="D12" s="173"/>
      <c r="E12" s="172"/>
      <c r="F12" s="172"/>
      <c r="G12" s="43"/>
      <c r="L12" s="27"/>
    </row>
    <row r="13" spans="2:12">
      <c r="B13" s="43"/>
      <c r="C13" s="174"/>
      <c r="D13" s="172"/>
      <c r="E13" s="172"/>
      <c r="F13" s="172"/>
      <c r="G13" s="43"/>
      <c r="L13" s="27"/>
    </row>
    <row r="14" spans="2:12">
      <c r="B14" s="43" t="s">
        <v>124</v>
      </c>
      <c r="C14" s="174"/>
      <c r="D14" s="172"/>
      <c r="E14" s="172"/>
      <c r="F14" s="172"/>
      <c r="G14" s="43"/>
      <c r="L14" s="27"/>
    </row>
    <row r="15" spans="2:12">
      <c r="B15" s="30" t="s">
        <v>126</v>
      </c>
      <c r="C15" s="69"/>
      <c r="D15" s="27"/>
      <c r="E15" s="27"/>
      <c r="F15" s="27"/>
      <c r="L15" s="27"/>
    </row>
    <row r="16" spans="2:12">
      <c r="B16" s="1"/>
      <c r="D16" s="27"/>
      <c r="E16" s="27"/>
      <c r="F16" s="27"/>
      <c r="L16" s="27"/>
    </row>
    <row r="18" spans="2:13">
      <c r="B18" s="252" t="s">
        <v>42</v>
      </c>
      <c r="C18" s="252"/>
      <c r="D18" s="252"/>
      <c r="E18" s="252"/>
      <c r="F18" s="252"/>
    </row>
    <row r="19" spans="2:13" ht="28.8">
      <c r="B19" s="45" t="s">
        <v>110</v>
      </c>
      <c r="C19" s="45" t="s">
        <v>111</v>
      </c>
      <c r="D19" s="45" t="s">
        <v>16</v>
      </c>
      <c r="E19" s="45" t="s">
        <v>17</v>
      </c>
      <c r="F19" s="45" t="s">
        <v>94</v>
      </c>
    </row>
    <row r="20" spans="2:13">
      <c r="B20" t="s">
        <v>33</v>
      </c>
      <c r="C20" s="66">
        <v>50699447</v>
      </c>
      <c r="D20" s="66"/>
      <c r="E20" s="66">
        <v>26357</v>
      </c>
      <c r="F20" s="109">
        <v>1</v>
      </c>
    </row>
    <row r="21" spans="2:13">
      <c r="B21" t="s">
        <v>112</v>
      </c>
      <c r="C21" s="66">
        <v>12674862</v>
      </c>
      <c r="D21" s="66"/>
      <c r="E21" s="66">
        <v>1814</v>
      </c>
      <c r="F21" s="109">
        <v>1.7000000000000001E-2</v>
      </c>
    </row>
    <row r="22" spans="2:13">
      <c r="B22" t="s">
        <v>113</v>
      </c>
      <c r="C22" s="66">
        <v>12674862</v>
      </c>
      <c r="D22" s="66">
        <v>6817</v>
      </c>
      <c r="E22" s="66">
        <v>13582</v>
      </c>
      <c r="F22" s="109">
        <v>0.14599999999999999</v>
      </c>
    </row>
    <row r="23" spans="2:13">
      <c r="B23" t="s">
        <v>114</v>
      </c>
      <c r="C23" s="66">
        <v>5069945</v>
      </c>
      <c r="D23" s="66">
        <v>20006</v>
      </c>
      <c r="E23" s="66">
        <v>22592</v>
      </c>
      <c r="F23" s="109">
        <v>8.5999999999999993E-2</v>
      </c>
    </row>
    <row r="24" spans="2:13">
      <c r="B24" t="s">
        <v>115</v>
      </c>
      <c r="C24" s="66">
        <v>5069945</v>
      </c>
      <c r="D24" s="66">
        <v>25057</v>
      </c>
      <c r="E24" s="66">
        <v>27618</v>
      </c>
      <c r="F24" s="109">
        <v>0.105</v>
      </c>
      <c r="M24" s="67"/>
    </row>
    <row r="25" spans="2:13">
      <c r="B25" t="s">
        <v>116</v>
      </c>
      <c r="C25" s="66">
        <v>5069945</v>
      </c>
      <c r="D25" s="66">
        <v>30433</v>
      </c>
      <c r="E25" s="66">
        <v>33938</v>
      </c>
      <c r="F25" s="109">
        <v>0.129</v>
      </c>
    </row>
    <row r="26" spans="2:13">
      <c r="B26" s="43" t="s">
        <v>117</v>
      </c>
      <c r="C26" s="175">
        <v>5069945</v>
      </c>
      <c r="D26" s="175">
        <v>37957</v>
      </c>
      <c r="E26" s="175">
        <v>43279</v>
      </c>
      <c r="F26" s="40">
        <v>0.16400000000000001</v>
      </c>
    </row>
    <row r="27" spans="2:13">
      <c r="B27" s="43" t="s">
        <v>36</v>
      </c>
      <c r="C27" s="175">
        <v>5069945</v>
      </c>
      <c r="D27" s="175">
        <v>50313</v>
      </c>
      <c r="E27" s="175">
        <v>97649</v>
      </c>
      <c r="F27" s="40">
        <v>0.37</v>
      </c>
    </row>
    <row r="28" spans="2:13">
      <c r="B28" s="43" t="s">
        <v>118</v>
      </c>
      <c r="C28" s="175">
        <v>2534972</v>
      </c>
      <c r="D28" s="175">
        <v>68534</v>
      </c>
      <c r="E28" s="175">
        <v>137611</v>
      </c>
      <c r="F28" s="40">
        <v>0.26100000000000001</v>
      </c>
    </row>
    <row r="29" spans="2:13">
      <c r="B29" s="43" t="s">
        <v>37</v>
      </c>
      <c r="C29" s="175">
        <v>506994</v>
      </c>
      <c r="D29" s="175">
        <v>147733</v>
      </c>
      <c r="E29" s="175">
        <v>310672</v>
      </c>
      <c r="F29" s="40">
        <v>0.11799999999999999</v>
      </c>
    </row>
    <row r="30" spans="2:13">
      <c r="B30" s="43" t="s">
        <v>38</v>
      </c>
      <c r="C30" s="175">
        <v>50699</v>
      </c>
      <c r="D30" s="175">
        <v>507543</v>
      </c>
      <c r="E30" s="175">
        <v>1195681</v>
      </c>
      <c r="F30" s="40">
        <v>4.4999999999999998E-2</v>
      </c>
      <c r="G30" s="103">
        <f>E30/D30</f>
        <v>2.3558220682779587</v>
      </c>
      <c r="H30" s="140" t="s">
        <v>237</v>
      </c>
    </row>
    <row r="32" spans="2:13">
      <c r="B32" t="s">
        <v>119</v>
      </c>
    </row>
    <row r="33" spans="2:6">
      <c r="B33" s="1"/>
    </row>
    <row r="36" spans="2:6">
      <c r="B36" s="252"/>
      <c r="C36" s="252"/>
      <c r="D36" s="252"/>
      <c r="E36" s="252"/>
      <c r="F36" s="252"/>
    </row>
    <row r="37" spans="2:6">
      <c r="B37" s="85"/>
      <c r="C37" s="85"/>
      <c r="D37" s="85"/>
      <c r="E37" s="85"/>
      <c r="F37" s="85"/>
    </row>
    <row r="38" spans="2:6">
      <c r="B38" s="85"/>
      <c r="C38" s="93"/>
      <c r="D38" s="89"/>
      <c r="E38" s="89"/>
      <c r="F38" s="125"/>
    </row>
    <row r="39" spans="2:6">
      <c r="B39" s="85"/>
      <c r="C39" s="93"/>
      <c r="D39" s="89"/>
      <c r="E39" s="89"/>
      <c r="F39" s="125"/>
    </row>
    <row r="40" spans="2:6">
      <c r="B40" s="85"/>
      <c r="C40" s="93"/>
      <c r="D40" s="89"/>
      <c r="E40" s="89"/>
      <c r="F40" s="125"/>
    </row>
    <row r="41" spans="2:6">
      <c r="B41" s="85"/>
      <c r="C41" s="93"/>
      <c r="D41" s="89"/>
      <c r="E41" s="89"/>
      <c r="F41" s="125"/>
    </row>
    <row r="42" spans="2:6">
      <c r="B42" s="85"/>
      <c r="C42" s="93"/>
      <c r="D42" s="89"/>
      <c r="E42" s="89"/>
      <c r="F42" s="125"/>
    </row>
    <row r="43" spans="2:6">
      <c r="B43" s="85"/>
      <c r="C43" s="93"/>
      <c r="D43" s="89"/>
      <c r="E43" s="89"/>
      <c r="F43" s="125"/>
    </row>
    <row r="44" spans="2:6">
      <c r="B44" s="85"/>
      <c r="C44" s="93"/>
      <c r="D44" s="89"/>
      <c r="E44" s="89"/>
      <c r="F44" s="125"/>
    </row>
    <row r="45" spans="2:6">
      <c r="B45" s="85"/>
      <c r="C45" s="93"/>
      <c r="D45" s="89"/>
      <c r="E45" s="89"/>
      <c r="F45" s="125"/>
    </row>
    <row r="46" spans="2:6">
      <c r="B46" s="85"/>
      <c r="C46" s="93"/>
      <c r="D46" s="89"/>
      <c r="E46" s="89"/>
      <c r="F46" s="125"/>
    </row>
    <row r="47" spans="2:6">
      <c r="B47" s="85"/>
      <c r="C47" s="93"/>
      <c r="D47" s="89"/>
      <c r="E47" s="89"/>
      <c r="F47" s="125"/>
    </row>
    <row r="48" spans="2:6">
      <c r="B48" s="85"/>
      <c r="C48" s="93"/>
      <c r="D48" s="89"/>
      <c r="E48" s="89"/>
      <c r="F48" s="125"/>
    </row>
    <row r="49" spans="2:6">
      <c r="B49" s="85"/>
      <c r="C49" s="93"/>
      <c r="D49" s="89"/>
      <c r="E49" s="89"/>
      <c r="F49" s="125"/>
    </row>
    <row r="50" spans="2:6">
      <c r="B50" s="85"/>
      <c r="C50" s="93"/>
      <c r="D50" s="89"/>
      <c r="E50" s="89"/>
      <c r="F50" s="125"/>
    </row>
    <row r="51" spans="2:6">
      <c r="B51" s="85"/>
      <c r="C51" s="93"/>
      <c r="D51" s="89"/>
      <c r="E51" s="89"/>
      <c r="F51" s="125"/>
    </row>
    <row r="52" spans="2:6">
      <c r="B52" s="85"/>
      <c r="C52" s="93"/>
      <c r="D52" s="89"/>
      <c r="E52" s="89"/>
      <c r="F52" s="125"/>
    </row>
    <row r="53" spans="2:6">
      <c r="B53" s="85"/>
      <c r="C53" s="93"/>
      <c r="D53" s="89"/>
      <c r="E53" s="89"/>
      <c r="F53" s="125"/>
    </row>
    <row r="54" spans="2:6">
      <c r="B54" s="85"/>
      <c r="C54" s="93"/>
      <c r="D54" s="89"/>
      <c r="E54" s="89"/>
      <c r="F54" s="125"/>
    </row>
    <row r="55" spans="2:6">
      <c r="B55" s="85"/>
      <c r="C55" s="93"/>
      <c r="D55" s="89"/>
      <c r="E55" s="89"/>
      <c r="F55" s="125"/>
    </row>
    <row r="56" spans="2:6">
      <c r="B56" s="85"/>
      <c r="C56" s="93"/>
      <c r="D56" s="89"/>
      <c r="E56" s="89"/>
      <c r="F56" s="125"/>
    </row>
    <row r="57" spans="2:6">
      <c r="B57" s="85"/>
      <c r="C57" s="93"/>
      <c r="D57" s="89"/>
      <c r="E57" s="89"/>
      <c r="F57" s="125"/>
    </row>
    <row r="58" spans="2:6">
      <c r="B58" s="85"/>
      <c r="C58" s="93"/>
      <c r="D58" s="89"/>
      <c r="E58" s="89"/>
      <c r="F58" s="125"/>
    </row>
    <row r="59" spans="2:6">
      <c r="B59" s="85"/>
      <c r="C59" s="93"/>
      <c r="D59" s="89"/>
      <c r="E59" s="89"/>
      <c r="F59" s="125"/>
    </row>
    <row r="60" spans="2:6">
      <c r="B60" s="85"/>
      <c r="C60" s="93"/>
      <c r="D60" s="89"/>
      <c r="E60" s="89"/>
      <c r="F60" s="125"/>
    </row>
    <row r="61" spans="2:6">
      <c r="B61" s="85"/>
      <c r="C61" s="93"/>
      <c r="D61" s="89"/>
      <c r="E61" s="89"/>
      <c r="F61" s="125"/>
    </row>
    <row r="62" spans="2:6">
      <c r="B62" s="85"/>
      <c r="C62" s="93"/>
      <c r="D62" s="89"/>
      <c r="E62" s="89"/>
      <c r="F62" s="125"/>
    </row>
    <row r="63" spans="2:6">
      <c r="B63" s="85"/>
      <c r="C63" s="93"/>
      <c r="D63" s="89"/>
      <c r="E63" s="89"/>
      <c r="F63" s="125"/>
    </row>
    <row r="64" spans="2:6">
      <c r="B64" s="85"/>
      <c r="C64" s="93"/>
      <c r="D64" s="89"/>
      <c r="E64" s="89"/>
      <c r="F64" s="125"/>
    </row>
    <row r="65" spans="2:6">
      <c r="B65" s="85"/>
      <c r="C65" s="93"/>
      <c r="D65" s="89"/>
      <c r="E65" s="89"/>
      <c r="F65" s="125"/>
    </row>
    <row r="66" spans="2:6">
      <c r="B66" s="85"/>
      <c r="C66" s="93"/>
      <c r="D66" s="89"/>
      <c r="E66" s="89"/>
      <c r="F66" s="125"/>
    </row>
    <row r="67" spans="2:6">
      <c r="B67" s="85"/>
      <c r="C67" s="93"/>
      <c r="D67" s="89"/>
      <c r="E67" s="89"/>
      <c r="F67" s="125"/>
    </row>
    <row r="68" spans="2:6">
      <c r="B68" s="85"/>
      <c r="C68" s="93"/>
      <c r="D68" s="89"/>
      <c r="E68" s="89"/>
      <c r="F68" s="125"/>
    </row>
    <row r="69" spans="2:6">
      <c r="B69" s="85"/>
      <c r="C69" s="93"/>
      <c r="D69" s="89"/>
      <c r="E69" s="89"/>
      <c r="F69" s="125"/>
    </row>
    <row r="70" spans="2:6">
      <c r="B70" s="85"/>
      <c r="C70" s="93"/>
      <c r="D70" s="89"/>
      <c r="E70" s="89"/>
      <c r="F70" s="125"/>
    </row>
    <row r="71" spans="2:6">
      <c r="B71" s="85"/>
      <c r="C71" s="93"/>
      <c r="D71" s="89"/>
      <c r="E71" s="89"/>
      <c r="F71" s="125"/>
    </row>
    <row r="72" spans="2:6">
      <c r="B72" s="85"/>
      <c r="C72" s="93"/>
      <c r="D72" s="89"/>
      <c r="E72" s="89"/>
      <c r="F72" s="125"/>
    </row>
    <row r="73" spans="2:6">
      <c r="B73" s="85"/>
      <c r="C73" s="93"/>
      <c r="D73" s="89"/>
      <c r="E73" s="89"/>
      <c r="F73" s="125"/>
    </row>
    <row r="74" spans="2:6">
      <c r="B74" s="85"/>
      <c r="C74" s="93"/>
      <c r="D74" s="89"/>
      <c r="E74" s="89"/>
      <c r="F74" s="125"/>
    </row>
    <row r="75" spans="2:6">
      <c r="B75" s="85"/>
      <c r="C75" s="93"/>
      <c r="D75" s="89"/>
      <c r="E75" s="89"/>
      <c r="F75" s="125"/>
    </row>
    <row r="76" spans="2:6">
      <c r="B76" s="85"/>
      <c r="C76" s="93"/>
      <c r="D76" s="89"/>
      <c r="E76" s="89"/>
      <c r="F76" s="125"/>
    </row>
    <row r="77" spans="2:6">
      <c r="B77" s="85"/>
      <c r="C77" s="93"/>
      <c r="D77" s="89"/>
      <c r="E77" s="89"/>
      <c r="F77" s="125"/>
    </row>
    <row r="78" spans="2:6">
      <c r="B78" s="85"/>
      <c r="C78" s="93"/>
      <c r="D78" s="89"/>
      <c r="E78" s="89"/>
      <c r="F78" s="125"/>
    </row>
    <row r="79" spans="2:6">
      <c r="B79" s="85"/>
      <c r="C79" s="93"/>
      <c r="D79" s="89"/>
      <c r="E79" s="89"/>
      <c r="F79" s="125"/>
    </row>
    <row r="80" spans="2:6">
      <c r="B80" s="85"/>
      <c r="C80" s="93"/>
      <c r="D80" s="89"/>
      <c r="E80" s="89"/>
      <c r="F80" s="125"/>
    </row>
    <row r="81" spans="2:6">
      <c r="B81" s="85"/>
      <c r="C81" s="93"/>
      <c r="D81" s="89"/>
      <c r="E81" s="89"/>
      <c r="F81" s="125"/>
    </row>
    <row r="82" spans="2:6">
      <c r="B82" s="85"/>
      <c r="C82" s="93"/>
      <c r="D82" s="89"/>
      <c r="E82" s="89"/>
      <c r="F82" s="125"/>
    </row>
    <row r="83" spans="2:6">
      <c r="B83" s="85"/>
      <c r="C83" s="93"/>
      <c r="D83" s="89"/>
      <c r="E83" s="89"/>
      <c r="F83" s="125"/>
    </row>
    <row r="84" spans="2:6">
      <c r="B84" s="85"/>
      <c r="C84" s="93"/>
      <c r="D84" s="89"/>
      <c r="E84" s="89"/>
      <c r="F84" s="125"/>
    </row>
    <row r="85" spans="2:6">
      <c r="B85" s="85"/>
      <c r="C85" s="93"/>
      <c r="D85" s="89"/>
      <c r="E85" s="89"/>
      <c r="F85" s="125"/>
    </row>
    <row r="86" spans="2:6">
      <c r="B86" s="85"/>
      <c r="C86" s="93"/>
      <c r="D86" s="89"/>
      <c r="E86" s="89"/>
      <c r="F86" s="125"/>
    </row>
    <row r="87" spans="2:6">
      <c r="B87" s="85"/>
      <c r="C87" s="93"/>
      <c r="D87" s="89"/>
      <c r="E87" s="89"/>
      <c r="F87" s="125"/>
    </row>
    <row r="88" spans="2:6">
      <c r="B88" s="85"/>
      <c r="C88" s="93"/>
      <c r="D88" s="89"/>
      <c r="E88" s="89"/>
      <c r="F88" s="125"/>
    </row>
    <row r="89" spans="2:6">
      <c r="B89" s="85"/>
      <c r="C89" s="93"/>
      <c r="D89" s="89"/>
      <c r="E89" s="89"/>
      <c r="F89" s="125"/>
    </row>
    <row r="90" spans="2:6">
      <c r="B90" s="85"/>
      <c r="C90" s="93"/>
      <c r="D90" s="89"/>
      <c r="E90" s="89"/>
      <c r="F90" s="125"/>
    </row>
    <row r="91" spans="2:6">
      <c r="B91" s="85"/>
      <c r="C91" s="93"/>
      <c r="D91" s="89"/>
      <c r="E91" s="89"/>
      <c r="F91" s="125"/>
    </row>
    <row r="92" spans="2:6">
      <c r="B92" s="85"/>
      <c r="C92" s="93"/>
      <c r="D92" s="89"/>
      <c r="E92" s="89"/>
      <c r="F92" s="125"/>
    </row>
    <row r="93" spans="2:6">
      <c r="B93" s="85"/>
      <c r="C93" s="93"/>
      <c r="D93" s="89"/>
      <c r="E93" s="89"/>
      <c r="F93" s="125"/>
    </row>
    <row r="94" spans="2:6">
      <c r="B94" s="85"/>
      <c r="C94" s="93"/>
      <c r="D94" s="89"/>
      <c r="E94" s="89"/>
      <c r="F94" s="125"/>
    </row>
    <row r="95" spans="2:6">
      <c r="B95" s="85"/>
      <c r="C95" s="93"/>
      <c r="D95" s="89"/>
      <c r="E95" s="89"/>
      <c r="F95" s="125"/>
    </row>
    <row r="96" spans="2:6">
      <c r="B96" s="85"/>
      <c r="C96" s="93"/>
      <c r="D96" s="89"/>
      <c r="E96" s="89"/>
      <c r="F96" s="125"/>
    </row>
    <row r="97" spans="2:6">
      <c r="B97" s="85"/>
      <c r="C97" s="93"/>
      <c r="D97" s="89"/>
      <c r="E97" s="89"/>
      <c r="F97" s="125"/>
    </row>
    <row r="98" spans="2:6">
      <c r="B98" s="85"/>
      <c r="C98" s="93"/>
      <c r="D98" s="89"/>
      <c r="E98" s="89"/>
      <c r="F98" s="125"/>
    </row>
    <row r="99" spans="2:6">
      <c r="B99" s="85"/>
      <c r="C99" s="93"/>
      <c r="D99" s="89"/>
      <c r="E99" s="89"/>
      <c r="F99" s="125"/>
    </row>
    <row r="100" spans="2:6">
      <c r="B100" s="85"/>
      <c r="C100" s="93"/>
      <c r="D100" s="89"/>
      <c r="E100" s="89"/>
      <c r="F100" s="125"/>
    </row>
    <row r="101" spans="2:6">
      <c r="B101" s="85"/>
      <c r="C101" s="93"/>
      <c r="D101" s="89"/>
      <c r="E101" s="89"/>
      <c r="F101" s="125"/>
    </row>
    <row r="102" spans="2:6">
      <c r="B102" s="85"/>
      <c r="C102" s="93"/>
      <c r="D102" s="89"/>
      <c r="E102" s="89"/>
      <c r="F102" s="125"/>
    </row>
    <row r="103" spans="2:6">
      <c r="B103" s="85"/>
      <c r="C103" s="93"/>
      <c r="D103" s="89"/>
      <c r="E103" s="89"/>
      <c r="F103" s="125"/>
    </row>
    <row r="104" spans="2:6">
      <c r="B104" s="85"/>
      <c r="C104" s="93"/>
      <c r="D104" s="89"/>
      <c r="E104" s="89"/>
      <c r="F104" s="125"/>
    </row>
    <row r="105" spans="2:6">
      <c r="B105" s="85"/>
      <c r="C105" s="93"/>
      <c r="D105" s="89"/>
      <c r="E105" s="89"/>
      <c r="F105" s="125"/>
    </row>
    <row r="106" spans="2:6">
      <c r="B106" s="85"/>
      <c r="C106" s="93"/>
      <c r="D106" s="89"/>
      <c r="E106" s="89"/>
      <c r="F106" s="125"/>
    </row>
    <row r="107" spans="2:6">
      <c r="B107" s="85"/>
      <c r="C107" s="93"/>
      <c r="D107" s="89"/>
      <c r="E107" s="89"/>
      <c r="F107" s="125"/>
    </row>
    <row r="108" spans="2:6">
      <c r="B108" s="85"/>
      <c r="C108" s="93"/>
      <c r="D108" s="89"/>
      <c r="E108" s="89"/>
      <c r="F108" s="125"/>
    </row>
    <row r="109" spans="2:6">
      <c r="B109" s="85"/>
      <c r="C109" s="93"/>
      <c r="D109" s="89"/>
      <c r="E109" s="89"/>
      <c r="F109" s="125"/>
    </row>
    <row r="110" spans="2:6">
      <c r="B110" s="85"/>
      <c r="C110" s="93"/>
      <c r="D110" s="89"/>
      <c r="E110" s="89"/>
      <c r="F110" s="125"/>
    </row>
    <row r="111" spans="2:6">
      <c r="B111" s="85"/>
      <c r="C111" s="93"/>
      <c r="D111" s="89"/>
      <c r="E111" s="89"/>
      <c r="F111" s="125"/>
    </row>
    <row r="112" spans="2:6">
      <c r="B112" s="85"/>
      <c r="C112" s="93"/>
      <c r="D112" s="89"/>
      <c r="E112" s="89"/>
      <c r="F112" s="125"/>
    </row>
    <row r="113" spans="2:6">
      <c r="B113" s="85"/>
      <c r="C113" s="93"/>
      <c r="D113" s="89"/>
      <c r="E113" s="89"/>
      <c r="F113" s="125"/>
    </row>
    <row r="114" spans="2:6">
      <c r="B114" s="85"/>
      <c r="C114" s="93"/>
      <c r="D114" s="89"/>
      <c r="E114" s="89"/>
      <c r="F114" s="125"/>
    </row>
    <row r="115" spans="2:6">
      <c r="B115" s="85"/>
      <c r="C115" s="93"/>
      <c r="D115" s="89"/>
      <c r="E115" s="89"/>
      <c r="F115" s="125"/>
    </row>
    <row r="116" spans="2:6">
      <c r="B116" s="85"/>
      <c r="C116" s="93"/>
      <c r="D116" s="89"/>
      <c r="E116" s="89"/>
      <c r="F116" s="125"/>
    </row>
    <row r="117" spans="2:6">
      <c r="B117" s="85"/>
      <c r="C117" s="93"/>
      <c r="D117" s="89"/>
      <c r="E117" s="89"/>
      <c r="F117" s="125"/>
    </row>
    <row r="118" spans="2:6">
      <c r="B118" s="85"/>
      <c r="C118" s="93"/>
      <c r="D118" s="89"/>
      <c r="E118" s="89"/>
      <c r="F118" s="125"/>
    </row>
    <row r="119" spans="2:6">
      <c r="B119" s="85"/>
      <c r="C119" s="93"/>
      <c r="D119" s="89"/>
      <c r="E119" s="89"/>
      <c r="F119" s="125"/>
    </row>
    <row r="120" spans="2:6">
      <c r="B120" s="85"/>
      <c r="C120" s="93"/>
      <c r="D120" s="89"/>
      <c r="E120" s="89"/>
      <c r="F120" s="125"/>
    </row>
    <row r="121" spans="2:6">
      <c r="B121" s="85"/>
      <c r="C121" s="93"/>
      <c r="D121" s="89"/>
      <c r="E121" s="89"/>
      <c r="F121" s="125"/>
    </row>
    <row r="122" spans="2:6">
      <c r="B122" s="85"/>
      <c r="C122" s="93"/>
      <c r="D122" s="89"/>
      <c r="E122" s="89"/>
      <c r="F122" s="125"/>
    </row>
    <row r="123" spans="2:6">
      <c r="B123" s="85"/>
      <c r="C123" s="93"/>
      <c r="D123" s="89"/>
      <c r="E123" s="89"/>
      <c r="F123" s="125"/>
    </row>
    <row r="124" spans="2:6">
      <c r="B124" s="85"/>
      <c r="C124" s="93"/>
      <c r="D124" s="89"/>
      <c r="E124" s="89"/>
      <c r="F124" s="125"/>
    </row>
    <row r="125" spans="2:6">
      <c r="B125" s="85"/>
      <c r="C125" s="93"/>
      <c r="D125" s="89"/>
      <c r="E125" s="89"/>
      <c r="F125" s="125"/>
    </row>
    <row r="126" spans="2:6">
      <c r="B126" s="85"/>
      <c r="C126" s="93"/>
      <c r="D126" s="89"/>
      <c r="E126" s="89"/>
      <c r="F126" s="125"/>
    </row>
    <row r="127" spans="2:6">
      <c r="B127" s="85"/>
      <c r="C127" s="93"/>
      <c r="D127" s="89"/>
      <c r="E127" s="89"/>
      <c r="F127" s="125"/>
    </row>
    <row r="128" spans="2:6">
      <c r="B128" s="85"/>
      <c r="C128" s="93"/>
      <c r="D128" s="89"/>
      <c r="E128" s="89"/>
      <c r="F128" s="125"/>
    </row>
    <row r="129" spans="2:6">
      <c r="B129" s="85"/>
      <c r="C129" s="93"/>
      <c r="D129" s="89"/>
      <c r="E129" s="89"/>
      <c r="F129" s="125"/>
    </row>
    <row r="130" spans="2:6">
      <c r="B130" s="85"/>
      <c r="C130" s="93"/>
      <c r="D130" s="89"/>
      <c r="E130" s="89"/>
      <c r="F130" s="125"/>
    </row>
    <row r="131" spans="2:6">
      <c r="B131" s="85"/>
      <c r="C131" s="93"/>
      <c r="D131" s="89"/>
      <c r="E131" s="89"/>
      <c r="F131" s="125"/>
    </row>
    <row r="132" spans="2:6">
      <c r="B132" s="85"/>
      <c r="C132" s="93"/>
      <c r="D132" s="89"/>
      <c r="E132" s="89"/>
      <c r="F132" s="125"/>
    </row>
    <row r="133" spans="2:6">
      <c r="B133" s="85"/>
      <c r="C133" s="93"/>
      <c r="D133" s="89"/>
      <c r="E133" s="89"/>
      <c r="F133" s="125"/>
    </row>
    <row r="134" spans="2:6">
      <c r="B134" s="85"/>
      <c r="C134" s="93"/>
      <c r="D134" s="89"/>
      <c r="E134" s="89"/>
      <c r="F134" s="125"/>
    </row>
    <row r="135" spans="2:6">
      <c r="B135" s="85"/>
      <c r="C135" s="93"/>
      <c r="D135" s="89"/>
      <c r="E135" s="89"/>
      <c r="F135" s="125"/>
    </row>
    <row r="136" spans="2:6">
      <c r="B136" s="85"/>
      <c r="C136" s="93"/>
      <c r="D136" s="89"/>
      <c r="E136" s="89"/>
      <c r="F136" s="125"/>
    </row>
    <row r="137" spans="2:6">
      <c r="B137" s="85"/>
      <c r="C137" s="93"/>
      <c r="D137" s="89"/>
      <c r="E137" s="89"/>
      <c r="F137" s="125"/>
    </row>
    <row r="138" spans="2:6">
      <c r="B138" s="85"/>
      <c r="C138" s="93"/>
      <c r="D138" s="89"/>
      <c r="E138" s="89"/>
      <c r="F138" s="125"/>
    </row>
    <row r="139" spans="2:6">
      <c r="B139" s="85"/>
      <c r="C139" s="93"/>
      <c r="D139" s="89"/>
      <c r="E139" s="89"/>
      <c r="F139" s="125"/>
    </row>
    <row r="140" spans="2:6">
      <c r="B140" s="85"/>
      <c r="C140" s="93"/>
      <c r="D140" s="89"/>
      <c r="E140" s="89"/>
      <c r="F140" s="125"/>
    </row>
    <row r="141" spans="2:6">
      <c r="B141" s="85"/>
      <c r="C141" s="93"/>
      <c r="D141" s="89"/>
      <c r="E141" s="89"/>
      <c r="F141" s="125"/>
    </row>
    <row r="142" spans="2:6">
      <c r="B142" s="85"/>
      <c r="C142" s="93"/>
      <c r="D142" s="89"/>
      <c r="E142" s="89"/>
      <c r="F142" s="125"/>
    </row>
    <row r="143" spans="2:6">
      <c r="B143" s="85"/>
      <c r="C143" s="93"/>
      <c r="D143" s="89"/>
      <c r="E143" s="89"/>
      <c r="F143" s="125"/>
    </row>
    <row r="144" spans="2:6">
      <c r="B144" s="85"/>
      <c r="C144" s="93"/>
      <c r="D144" s="89"/>
      <c r="E144" s="89"/>
      <c r="F144" s="125"/>
    </row>
    <row r="145" spans="2:7">
      <c r="B145" s="85"/>
      <c r="C145" s="93"/>
      <c r="D145" s="89"/>
      <c r="E145" s="89"/>
      <c r="F145" s="125"/>
    </row>
    <row r="146" spans="2:7">
      <c r="B146" s="85"/>
      <c r="C146" s="93"/>
      <c r="D146" s="89"/>
      <c r="E146" s="89"/>
      <c r="F146" s="125"/>
    </row>
    <row r="147" spans="2:7">
      <c r="B147" s="85"/>
      <c r="C147" s="93"/>
      <c r="D147" s="89"/>
      <c r="E147" s="89"/>
      <c r="F147" s="125"/>
    </row>
    <row r="148" spans="2:7">
      <c r="B148" s="85"/>
      <c r="C148" s="93"/>
      <c r="D148" s="89"/>
      <c r="E148" s="89"/>
      <c r="F148" s="125"/>
    </row>
    <row r="149" spans="2:7">
      <c r="B149" s="85"/>
      <c r="C149" s="93"/>
      <c r="D149" s="89"/>
      <c r="E149" s="89"/>
      <c r="F149" s="125"/>
      <c r="G149" s="85"/>
    </row>
    <row r="150" spans="2:7">
      <c r="B150" s="85"/>
      <c r="C150" s="93"/>
      <c r="D150" s="89"/>
      <c r="E150" s="89"/>
      <c r="F150" s="125"/>
      <c r="G150" s="85"/>
    </row>
    <row r="151" spans="2:7">
      <c r="B151" s="85"/>
      <c r="C151" s="93"/>
      <c r="D151" s="89"/>
      <c r="E151" s="89"/>
      <c r="F151" s="125"/>
      <c r="G151" s="85"/>
    </row>
    <row r="152" spans="2:7">
      <c r="B152" s="85"/>
      <c r="C152" s="93"/>
      <c r="D152" s="89"/>
      <c r="E152" s="89"/>
      <c r="F152" s="125"/>
      <c r="G152" s="85"/>
    </row>
    <row r="153" spans="2:7">
      <c r="B153" s="85"/>
      <c r="C153" s="93"/>
      <c r="D153" s="89"/>
      <c r="E153" s="89"/>
      <c r="F153" s="125"/>
      <c r="G153" s="85"/>
    </row>
    <row r="154" spans="2:7">
      <c r="B154" s="85"/>
      <c r="C154" s="93"/>
      <c r="D154" s="89"/>
      <c r="E154" s="89"/>
      <c r="F154" s="125"/>
      <c r="G154" s="85"/>
    </row>
    <row r="155" spans="2:7">
      <c r="B155" s="85"/>
      <c r="C155" s="93"/>
      <c r="D155" s="89"/>
      <c r="E155" s="89"/>
      <c r="F155" s="125"/>
      <c r="G155" s="85"/>
    </row>
    <row r="156" spans="2:7">
      <c r="B156" s="85"/>
      <c r="C156" s="93"/>
      <c r="D156" s="89"/>
      <c r="E156" s="89"/>
      <c r="F156" s="125"/>
      <c r="G156" s="85"/>
    </row>
    <row r="157" spans="2:7">
      <c r="B157" s="85"/>
      <c r="C157" s="93"/>
      <c r="D157" s="89"/>
      <c r="E157" s="89"/>
      <c r="F157" s="125"/>
      <c r="G157" s="85"/>
    </row>
    <row r="158" spans="2:7">
      <c r="B158" s="85"/>
      <c r="C158" s="93"/>
      <c r="D158" s="89"/>
      <c r="E158" s="89"/>
      <c r="F158" s="125"/>
      <c r="G158" s="85"/>
    </row>
    <row r="159" spans="2:7">
      <c r="B159" s="85"/>
      <c r="C159" s="93"/>
      <c r="D159" s="89"/>
      <c r="E159" s="89"/>
      <c r="F159" s="125"/>
      <c r="G159" s="85"/>
    </row>
    <row r="160" spans="2:7">
      <c r="B160" s="85"/>
      <c r="C160" s="93"/>
      <c r="D160" s="89"/>
      <c r="E160" s="89"/>
      <c r="F160" s="125"/>
      <c r="G160" s="85"/>
    </row>
    <row r="161" spans="2:7">
      <c r="B161" s="85"/>
      <c r="C161" s="93"/>
      <c r="D161" s="89"/>
      <c r="E161" s="89"/>
      <c r="F161" s="125"/>
      <c r="G161" s="85"/>
    </row>
    <row r="162" spans="2:7">
      <c r="B162" s="85"/>
      <c r="C162" s="93"/>
      <c r="D162" s="89"/>
      <c r="E162" s="89"/>
      <c r="F162" s="125"/>
      <c r="G162" s="85"/>
    </row>
    <row r="163" spans="2:7">
      <c r="B163" s="85"/>
      <c r="C163" s="93"/>
      <c r="D163" s="62"/>
      <c r="E163" s="62"/>
      <c r="F163" s="125"/>
    </row>
    <row r="164" spans="2:7">
      <c r="B164" s="85"/>
      <c r="C164" s="93"/>
      <c r="D164" s="62"/>
      <c r="E164" s="62"/>
      <c r="F164" s="125"/>
    </row>
    <row r="165" spans="2:7">
      <c r="C165" s="22"/>
      <c r="D165" s="22"/>
      <c r="E165" s="22"/>
      <c r="F165" s="22"/>
    </row>
    <row r="166" spans="2:7">
      <c r="D166" s="16"/>
      <c r="E166" s="91"/>
      <c r="F166" s="91"/>
    </row>
  </sheetData>
  <mergeCells count="3">
    <mergeCell ref="B18:F18"/>
    <mergeCell ref="B2:D2"/>
    <mergeCell ref="B36:F36"/>
  </mergeCells>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D8562F-2B27-4E8C-AAFC-DDC8915E49AC}">
  <dimension ref="A2:P73"/>
  <sheetViews>
    <sheetView topLeftCell="A43" zoomScale="115" zoomScaleNormal="115" workbookViewId="0">
      <selection activeCell="H81" sqref="H81"/>
    </sheetView>
  </sheetViews>
  <sheetFormatPr baseColWidth="10" defaultRowHeight="14.4"/>
  <cols>
    <col min="2" max="3" width="11.5546875" style="155"/>
    <col min="4" max="12" width="13.6640625" style="43" customWidth="1"/>
    <col min="13" max="13" width="15.44140625" style="43" bestFit="1" customWidth="1"/>
    <col min="14" max="14" width="12.5546875" style="43" customWidth="1"/>
    <col min="15" max="15" width="11.6640625" style="43" bestFit="1" customWidth="1"/>
  </cols>
  <sheetData>
    <row r="2" spans="1:15" s="85" customFormat="1">
      <c r="B2" s="155"/>
      <c r="C2" s="155"/>
      <c r="D2" s="277" t="s">
        <v>171</v>
      </c>
      <c r="E2" s="277"/>
      <c r="F2" s="277"/>
      <c r="G2" s="277"/>
      <c r="H2" s="277"/>
      <c r="I2" s="277"/>
      <c r="J2" s="277"/>
      <c r="K2" s="277"/>
      <c r="L2" s="277"/>
      <c r="M2" s="277"/>
      <c r="N2" s="43"/>
      <c r="O2" s="278" t="s">
        <v>267</v>
      </c>
    </row>
    <row r="3" spans="1:15">
      <c r="A3" s="43"/>
      <c r="B3" s="158" t="s">
        <v>265</v>
      </c>
      <c r="C3" s="158" t="s">
        <v>264</v>
      </c>
      <c r="D3" s="84">
        <v>2015</v>
      </c>
      <c r="E3" s="153">
        <v>2016</v>
      </c>
      <c r="F3" s="153">
        <v>2017</v>
      </c>
      <c r="G3" s="153">
        <v>2018</v>
      </c>
      <c r="H3" s="153">
        <v>2019</v>
      </c>
      <c r="I3" s="153">
        <v>2020</v>
      </c>
      <c r="J3" s="153">
        <v>2021</v>
      </c>
      <c r="K3" s="153">
        <v>2022</v>
      </c>
      <c r="L3" s="153">
        <v>2023</v>
      </c>
      <c r="M3" s="153">
        <v>2024</v>
      </c>
      <c r="O3" s="278"/>
    </row>
    <row r="4" spans="1:15">
      <c r="A4" s="43"/>
    </row>
    <row r="5" spans="1:15">
      <c r="A5" s="43"/>
      <c r="B5" s="2" t="s">
        <v>170</v>
      </c>
      <c r="C5" s="2" t="s">
        <v>169</v>
      </c>
      <c r="D5" s="156">
        <v>281665.81329999998</v>
      </c>
      <c r="E5" s="156">
        <v>283728.63640000002</v>
      </c>
      <c r="F5" s="156">
        <v>293012.29070000001</v>
      </c>
      <c r="G5" s="156">
        <v>306547.67540000001</v>
      </c>
      <c r="H5" s="156">
        <v>311439.79790000001</v>
      </c>
      <c r="I5" s="156">
        <v>287122.08590000001</v>
      </c>
      <c r="J5" s="156">
        <v>323189.61989999999</v>
      </c>
      <c r="K5" s="156">
        <v>338549.96260000003</v>
      </c>
      <c r="L5" s="156">
        <v>353306.30200000003</v>
      </c>
      <c r="M5" s="156">
        <v>365008.61330000003</v>
      </c>
      <c r="O5" s="20">
        <f>(M5/E5)^(1/8) - 1</f>
        <v>3.1988820813529939E-2</v>
      </c>
    </row>
    <row r="6" spans="1:15">
      <c r="A6" s="43"/>
      <c r="B6" s="2" t="s">
        <v>170</v>
      </c>
      <c r="C6" s="2" t="s">
        <v>168</v>
      </c>
      <c r="D6" s="156">
        <v>926532.2807</v>
      </c>
      <c r="E6" s="156">
        <v>944375.37320000003</v>
      </c>
      <c r="F6" s="156">
        <v>1010828.4266</v>
      </c>
      <c r="G6" s="156">
        <v>1168007.4314999999</v>
      </c>
      <c r="H6" s="156">
        <v>1159051.5205000001</v>
      </c>
      <c r="I6" s="156">
        <v>1042575.8739</v>
      </c>
      <c r="J6" s="156">
        <v>1340604.9879000001</v>
      </c>
      <c r="K6" s="156">
        <v>1341070.4889</v>
      </c>
      <c r="L6" s="156">
        <v>1367315.3495</v>
      </c>
      <c r="M6" s="156">
        <v>1412603.9556</v>
      </c>
      <c r="O6" s="20">
        <f t="shared" ref="O6:O8" si="0">(M6/E6)^(1/8) - 1</f>
        <v>5.1621534096552013E-2</v>
      </c>
    </row>
    <row r="7" spans="1:15">
      <c r="A7" s="43"/>
      <c r="B7" s="2" t="s">
        <v>170</v>
      </c>
      <c r="C7" s="2" t="s">
        <v>167</v>
      </c>
      <c r="D7" s="156">
        <v>3253157.7855000002</v>
      </c>
      <c r="E7" s="156">
        <v>3369797.5874999999</v>
      </c>
      <c r="F7" s="156">
        <v>3710635.9966000002</v>
      </c>
      <c r="G7" s="156">
        <v>4906499.6194000002</v>
      </c>
      <c r="H7" s="156">
        <v>4777769.6265000002</v>
      </c>
      <c r="I7" s="156">
        <v>4178577.9073000001</v>
      </c>
      <c r="J7" s="156">
        <v>6183935.466</v>
      </c>
      <c r="K7" s="156">
        <v>5767540.9134999998</v>
      </c>
      <c r="L7" s="156">
        <v>5489222.2060000002</v>
      </c>
      <c r="M7" s="156">
        <v>5671037.7778000003</v>
      </c>
      <c r="O7" s="20">
        <f t="shared" si="0"/>
        <v>6.7228318747607929E-2</v>
      </c>
    </row>
    <row r="8" spans="1:15">
      <c r="A8" s="43"/>
      <c r="B8" s="2" t="s">
        <v>170</v>
      </c>
      <c r="C8" s="2" t="s">
        <v>166</v>
      </c>
      <c r="D8" s="156">
        <v>16944652.197299998</v>
      </c>
      <c r="E8" s="156">
        <v>17968757.545899998</v>
      </c>
      <c r="F8" s="156">
        <v>25213361.057300001</v>
      </c>
      <c r="G8" s="156">
        <v>33431961.457400002</v>
      </c>
      <c r="H8" s="156">
        <v>25645138.578000002</v>
      </c>
      <c r="I8" s="156">
        <v>25081435.605900001</v>
      </c>
      <c r="J8" s="156">
        <v>49235845.562299997</v>
      </c>
      <c r="K8" s="156">
        <v>32558968.0163</v>
      </c>
      <c r="L8" s="156">
        <v>39605408.366599999</v>
      </c>
      <c r="M8" s="156">
        <v>40917220.200000003</v>
      </c>
      <c r="O8" s="20">
        <f t="shared" si="0"/>
        <v>0.10834128077179117</v>
      </c>
    </row>
    <row r="9" spans="1:15">
      <c r="A9" s="43"/>
      <c r="D9" s="62"/>
      <c r="E9" s="62"/>
      <c r="F9" s="62"/>
      <c r="G9" s="62"/>
      <c r="H9" s="62"/>
      <c r="I9" s="62"/>
      <c r="J9" s="62"/>
      <c r="K9" s="62"/>
      <c r="L9" s="62"/>
      <c r="M9" s="62"/>
    </row>
    <row r="10" spans="1:15">
      <c r="A10" s="43"/>
      <c r="B10" s="2" t="s">
        <v>260</v>
      </c>
      <c r="C10" s="2" t="s">
        <v>169</v>
      </c>
      <c r="D10" s="156">
        <v>726678.1814</v>
      </c>
      <c r="E10" s="156">
        <v>729965.76089999999</v>
      </c>
      <c r="F10" s="156">
        <v>774960.41440000001</v>
      </c>
      <c r="G10" s="156">
        <v>819467.13950000005</v>
      </c>
      <c r="H10" s="156">
        <v>847204.36840000004</v>
      </c>
      <c r="I10" s="156">
        <v>780923.97790000006</v>
      </c>
      <c r="J10" s="156">
        <v>905777.64399999997</v>
      </c>
      <c r="K10" s="156">
        <v>1003521.7274</v>
      </c>
      <c r="L10" s="156">
        <v>1057582.7080000001</v>
      </c>
      <c r="M10" s="156">
        <v>1098008.3999999999</v>
      </c>
      <c r="O10" s="20">
        <f>(M10/H10)^(1/5) - 1</f>
        <v>5.3230665114281539E-2</v>
      </c>
    </row>
    <row r="11" spans="1:15">
      <c r="A11" s="43"/>
      <c r="B11" s="2" t="s">
        <v>260</v>
      </c>
      <c r="C11" s="2" t="s">
        <v>168</v>
      </c>
      <c r="D11" s="156">
        <v>3357210.1570000001</v>
      </c>
      <c r="E11" s="156">
        <v>3345071.7272999999</v>
      </c>
      <c r="F11" s="156">
        <v>3491827.4487000001</v>
      </c>
      <c r="G11" s="156">
        <v>3729826.5792</v>
      </c>
      <c r="H11" s="156">
        <v>3782305.7582999999</v>
      </c>
      <c r="I11" s="156">
        <v>3503646.9597</v>
      </c>
      <c r="J11" s="156">
        <v>4284199.4724000003</v>
      </c>
      <c r="K11" s="156">
        <v>4841063.1478000004</v>
      </c>
      <c r="L11" s="156">
        <v>5101857.3229999999</v>
      </c>
      <c r="M11" s="156">
        <v>5296873.8556000004</v>
      </c>
      <c r="O11" s="20">
        <f t="shared" ref="O11:O13" si="1">(M11/H11)^(1/5) - 1</f>
        <v>6.9676855940272286E-2</v>
      </c>
    </row>
    <row r="12" spans="1:15">
      <c r="A12" s="43"/>
      <c r="B12" s="2" t="s">
        <v>260</v>
      </c>
      <c r="C12" s="2" t="s">
        <v>167</v>
      </c>
      <c r="D12" s="156">
        <v>15710021.888499999</v>
      </c>
      <c r="E12" s="156">
        <v>15528098.6908</v>
      </c>
      <c r="F12" s="156">
        <v>16145008.6337</v>
      </c>
      <c r="G12" s="156">
        <v>17046167.594700001</v>
      </c>
      <c r="H12" s="156">
        <v>16863783.6358</v>
      </c>
      <c r="I12" s="156">
        <v>15805340.7294</v>
      </c>
      <c r="J12" s="156">
        <v>20176089.699900001</v>
      </c>
      <c r="K12" s="156">
        <v>23136750.936500002</v>
      </c>
      <c r="L12" s="156">
        <v>24383156.879700001</v>
      </c>
      <c r="M12" s="156">
        <v>25315193.666700002</v>
      </c>
      <c r="O12" s="20">
        <f t="shared" si="1"/>
        <v>8.4639075850964085E-2</v>
      </c>
    </row>
    <row r="13" spans="1:15">
      <c r="A13" s="43"/>
      <c r="B13" s="2" t="s">
        <v>260</v>
      </c>
      <c r="C13" s="2" t="s">
        <v>166</v>
      </c>
      <c r="D13" s="156">
        <v>122084184.4068</v>
      </c>
      <c r="E13" s="156">
        <v>121054418.5354</v>
      </c>
      <c r="F13" s="156">
        <v>130476563.9303</v>
      </c>
      <c r="G13" s="156">
        <v>127273354.33580001</v>
      </c>
      <c r="H13" s="156">
        <v>121143372.91410001</v>
      </c>
      <c r="I13" s="156">
        <v>112967274.09980001</v>
      </c>
      <c r="J13" s="156">
        <v>153929835.19310001</v>
      </c>
      <c r="K13" s="156">
        <v>186321929.3001</v>
      </c>
      <c r="L13" s="156">
        <v>196310985.4341</v>
      </c>
      <c r="M13" s="156">
        <v>203814922.09999999</v>
      </c>
      <c r="O13" s="20">
        <f t="shared" si="1"/>
        <v>0.10965318286575365</v>
      </c>
    </row>
    <row r="14" spans="1:15">
      <c r="A14" s="43"/>
      <c r="D14" s="62"/>
      <c r="E14" s="62"/>
      <c r="F14" s="62"/>
      <c r="G14" s="62"/>
      <c r="H14" s="62"/>
      <c r="I14" s="62"/>
      <c r="J14" s="62"/>
      <c r="K14" s="62"/>
      <c r="L14" s="62"/>
      <c r="M14" s="62"/>
    </row>
    <row r="15" spans="1:15">
      <c r="A15" s="43"/>
      <c r="B15" s="2" t="s">
        <v>261</v>
      </c>
      <c r="C15" s="2" t="s">
        <v>169</v>
      </c>
      <c r="D15" s="156">
        <v>253281.89749999999</v>
      </c>
      <c r="E15" s="156">
        <v>258692.55059999999</v>
      </c>
      <c r="F15" s="156">
        <v>273789.22879999998</v>
      </c>
      <c r="G15" s="156">
        <v>283919.48009999999</v>
      </c>
      <c r="H15" s="156">
        <v>283557.8187</v>
      </c>
      <c r="I15" s="156">
        <v>271239.24359999999</v>
      </c>
      <c r="J15" s="156">
        <v>320360.65990000003</v>
      </c>
      <c r="K15" s="156">
        <v>342506.8566</v>
      </c>
      <c r="L15" s="156">
        <v>371708.23670000001</v>
      </c>
      <c r="M15" s="156">
        <v>389175.4167</v>
      </c>
      <c r="O15" s="20">
        <f>(M15/E15)^(1/8) - 1</f>
        <v>5.2374180986976215E-2</v>
      </c>
    </row>
    <row r="16" spans="1:15">
      <c r="A16" s="43"/>
      <c r="B16" s="2" t="s">
        <v>261</v>
      </c>
      <c r="C16" s="2" t="s">
        <v>168</v>
      </c>
      <c r="D16" s="156">
        <v>587109.37930000003</v>
      </c>
      <c r="E16" s="156">
        <v>610732.89309999999</v>
      </c>
      <c r="F16" s="156">
        <v>639694.45979999995</v>
      </c>
      <c r="G16" s="156">
        <v>662658.36910000001</v>
      </c>
      <c r="H16" s="156">
        <v>662721.33860000002</v>
      </c>
      <c r="I16" s="156">
        <v>633930.79929999996</v>
      </c>
      <c r="J16" s="156">
        <v>745304.34939999995</v>
      </c>
      <c r="K16" s="156">
        <v>759000.29669999995</v>
      </c>
      <c r="L16" s="156">
        <v>825260.48869999999</v>
      </c>
      <c r="M16" s="156">
        <v>864040.83330000006</v>
      </c>
      <c r="O16" s="20">
        <f t="shared" ref="O16:O18" si="2">(M16/E16)^(1/8) - 1</f>
        <v>4.4324266203125129E-2</v>
      </c>
    </row>
    <row r="17" spans="1:15">
      <c r="A17" s="43"/>
      <c r="B17" s="2" t="s">
        <v>261</v>
      </c>
      <c r="C17" s="2" t="s">
        <v>167</v>
      </c>
      <c r="D17" s="156">
        <v>1358600.2165000001</v>
      </c>
      <c r="E17" s="156">
        <v>1439939.3413</v>
      </c>
      <c r="F17" s="156">
        <v>1432915.59</v>
      </c>
      <c r="G17" s="156">
        <v>1508490.5962</v>
      </c>
      <c r="H17" s="156">
        <v>1575321.2146999999</v>
      </c>
      <c r="I17" s="156">
        <v>1506884.6869000001</v>
      </c>
      <c r="J17" s="156">
        <v>1743050.4946000001</v>
      </c>
      <c r="K17" s="156">
        <v>1785883.0508999999</v>
      </c>
      <c r="L17" s="156">
        <v>1977897.0390999999</v>
      </c>
      <c r="M17" s="156">
        <v>2070841.6666999999</v>
      </c>
      <c r="O17" s="20">
        <f t="shared" si="2"/>
        <v>4.6466517123606277E-2</v>
      </c>
    </row>
    <row r="18" spans="1:15">
      <c r="A18" s="43"/>
      <c r="B18" s="2" t="s">
        <v>261</v>
      </c>
      <c r="C18" s="2" t="s">
        <v>166</v>
      </c>
      <c r="D18" s="156">
        <v>3626819.1348999999</v>
      </c>
      <c r="E18" s="156">
        <v>3977355.3816999998</v>
      </c>
      <c r="F18" s="156">
        <v>3925792.3591999998</v>
      </c>
      <c r="G18" s="156">
        <v>4133622.1814999999</v>
      </c>
      <c r="H18" s="156">
        <v>4151640.8415999999</v>
      </c>
      <c r="I18" s="156">
        <v>3971246.0748999999</v>
      </c>
      <c r="J18" s="156">
        <v>4781816.0911999997</v>
      </c>
      <c r="K18" s="156">
        <v>4898927.6392000001</v>
      </c>
      <c r="L18" s="156">
        <v>5051333.8450999996</v>
      </c>
      <c r="M18" s="156">
        <v>5288700.5</v>
      </c>
      <c r="O18" s="20">
        <f t="shared" si="2"/>
        <v>3.6261401702052831E-2</v>
      </c>
    </row>
    <row r="19" spans="1:15">
      <c r="A19" s="43"/>
      <c r="D19" s="62"/>
      <c r="E19" s="62"/>
      <c r="F19" s="62"/>
      <c r="G19" s="62"/>
      <c r="H19" s="62"/>
      <c r="I19" s="62"/>
      <c r="J19" s="62"/>
      <c r="K19" s="62"/>
      <c r="L19" s="62"/>
      <c r="M19" s="62"/>
    </row>
    <row r="20" spans="1:15">
      <c r="A20" s="43"/>
      <c r="B20" s="2" t="s">
        <v>263</v>
      </c>
      <c r="C20" s="2" t="s">
        <v>169</v>
      </c>
      <c r="D20" s="156">
        <v>602409.7672</v>
      </c>
      <c r="E20" s="156">
        <v>604569.48670000001</v>
      </c>
      <c r="F20" s="156">
        <v>571812.95600000001</v>
      </c>
      <c r="G20" s="156">
        <v>646331.36880000005</v>
      </c>
      <c r="H20" s="156">
        <v>603628.42330000002</v>
      </c>
      <c r="I20" s="156">
        <v>666459.53469999996</v>
      </c>
      <c r="J20" s="156">
        <v>757766.60820000002</v>
      </c>
      <c r="K20" s="156">
        <v>880343.71970000002</v>
      </c>
      <c r="L20" s="156">
        <v>971757.30119999999</v>
      </c>
      <c r="M20" s="156">
        <v>1031864.7733</v>
      </c>
      <c r="O20" s="20">
        <f>(M20/H20)^(1/5) - 1</f>
        <v>0.11319339541956008</v>
      </c>
    </row>
    <row r="21" spans="1:15">
      <c r="A21" s="43"/>
      <c r="B21" s="2" t="s">
        <v>263</v>
      </c>
      <c r="C21" s="2" t="s">
        <v>168</v>
      </c>
      <c r="D21" s="156">
        <v>2047459.0597000001</v>
      </c>
      <c r="E21" s="156">
        <v>2168428.2209999999</v>
      </c>
      <c r="F21" s="156">
        <v>1497915.4885</v>
      </c>
      <c r="G21" s="156">
        <v>2259899.8909</v>
      </c>
      <c r="H21" s="156">
        <v>2938097.7859</v>
      </c>
      <c r="I21" s="156">
        <v>2876598.8465</v>
      </c>
      <c r="J21" s="156">
        <v>3390869.2828000002</v>
      </c>
      <c r="K21" s="156">
        <v>3440354.2343000001</v>
      </c>
      <c r="L21" s="156">
        <v>3917009.6447000001</v>
      </c>
      <c r="M21" s="156">
        <v>4159293.9556</v>
      </c>
      <c r="O21" s="20">
        <f t="shared" ref="O21:O23" si="3">(M21/H21)^(1/5) - 1</f>
        <v>7.1989851223473345E-2</v>
      </c>
    </row>
    <row r="22" spans="1:15">
      <c r="A22" s="43"/>
      <c r="B22" s="2" t="s">
        <v>263</v>
      </c>
      <c r="C22" s="2" t="s">
        <v>167</v>
      </c>
      <c r="D22" s="156">
        <v>6036333.4829000002</v>
      </c>
      <c r="E22" s="156">
        <v>3509594.8086999999</v>
      </c>
      <c r="F22" s="156">
        <v>4168112.6638000002</v>
      </c>
      <c r="G22" s="156">
        <v>2983067.8561</v>
      </c>
      <c r="H22" s="156">
        <v>4190556.1368999998</v>
      </c>
      <c r="I22" s="156">
        <v>6550670.6405999996</v>
      </c>
      <c r="J22" s="156">
        <v>7414119.3321000002</v>
      </c>
      <c r="K22" s="156">
        <v>3688253.2212</v>
      </c>
      <c r="L22" s="156">
        <v>5148814.6743999999</v>
      </c>
      <c r="M22" s="156">
        <v>5467291.5555999996</v>
      </c>
      <c r="O22" s="20">
        <f t="shared" si="3"/>
        <v>5.4629983402930016E-2</v>
      </c>
    </row>
    <row r="23" spans="1:15">
      <c r="A23" s="43"/>
      <c r="B23" s="2" t="s">
        <v>263</v>
      </c>
      <c r="C23" s="2" t="s">
        <v>166</v>
      </c>
      <c r="D23" s="156">
        <v>231734934.65259999</v>
      </c>
      <c r="E23" s="156">
        <v>178921007.82870001</v>
      </c>
      <c r="F23" s="156">
        <v>325885942.79170001</v>
      </c>
      <c r="G23" s="156">
        <v>192811345.0327</v>
      </c>
      <c r="H23" s="156">
        <v>227897476.8321</v>
      </c>
      <c r="I23" s="156">
        <v>237970584.9219</v>
      </c>
      <c r="J23" s="156">
        <v>321648093.79900002</v>
      </c>
      <c r="K23" s="156">
        <v>266315683.06110001</v>
      </c>
      <c r="L23" s="156">
        <v>281052926.22970003</v>
      </c>
      <c r="M23" s="156">
        <v>298437145.30000001</v>
      </c>
      <c r="O23" s="20">
        <f t="shared" si="3"/>
        <v>5.5413565648924967E-2</v>
      </c>
    </row>
    <row r="24" spans="1:15">
      <c r="A24" s="43"/>
      <c r="D24" s="62"/>
      <c r="E24" s="62"/>
      <c r="F24" s="62"/>
      <c r="G24" s="62"/>
      <c r="H24" s="62"/>
      <c r="I24" s="62"/>
      <c r="J24" s="62"/>
      <c r="K24" s="62"/>
      <c r="L24" s="62"/>
      <c r="M24" s="62"/>
    </row>
    <row r="25" spans="1:15">
      <c r="A25" s="43"/>
      <c r="B25" s="2" t="s">
        <v>262</v>
      </c>
      <c r="C25" s="2" t="s">
        <v>169</v>
      </c>
      <c r="D25" s="156">
        <v>175054.99170000001</v>
      </c>
      <c r="E25" s="156">
        <v>199024.74950000001</v>
      </c>
      <c r="F25" s="156">
        <v>212661.45499999999</v>
      </c>
      <c r="G25" s="156">
        <v>216139.15760000001</v>
      </c>
      <c r="H25" s="156">
        <v>215809.25829999999</v>
      </c>
      <c r="I25" s="156">
        <v>197155.43040000001</v>
      </c>
      <c r="J25" s="156">
        <v>215348.0344</v>
      </c>
      <c r="K25" s="156">
        <v>231710.1594</v>
      </c>
      <c r="L25" s="156">
        <v>242256.98639999999</v>
      </c>
      <c r="M25" s="156">
        <v>248145.29329999999</v>
      </c>
      <c r="O25" s="20">
        <f>(M25/D25)^(1/9) - 1</f>
        <v>3.9529547284178124E-2</v>
      </c>
    </row>
    <row r="26" spans="1:15">
      <c r="A26" s="43"/>
      <c r="B26" s="2" t="s">
        <v>262</v>
      </c>
      <c r="C26" s="2" t="s">
        <v>168</v>
      </c>
      <c r="D26" s="156">
        <v>449014.5367</v>
      </c>
      <c r="E26" s="156">
        <v>565947.15500000003</v>
      </c>
      <c r="F26" s="156">
        <v>601140.2831</v>
      </c>
      <c r="G26" s="156">
        <v>607169.54209999996</v>
      </c>
      <c r="H26" s="156">
        <v>603732.23750000005</v>
      </c>
      <c r="I26" s="156">
        <v>551547.64919999999</v>
      </c>
      <c r="J26" s="156">
        <v>649086.6973</v>
      </c>
      <c r="K26" s="156">
        <v>736275.27289999998</v>
      </c>
      <c r="L26" s="156">
        <v>746578.13419999997</v>
      </c>
      <c r="M26" s="156">
        <v>764724.4889</v>
      </c>
      <c r="O26" s="20">
        <f t="shared" ref="O26:O28" si="4">(M26/D26)^(1/9) - 1</f>
        <v>6.0947378546226894E-2</v>
      </c>
    </row>
    <row r="27" spans="1:15">
      <c r="A27" s="43"/>
      <c r="B27" s="2" t="s">
        <v>262</v>
      </c>
      <c r="C27" s="2" t="s">
        <v>167</v>
      </c>
      <c r="D27" s="156">
        <v>1183213.9818</v>
      </c>
      <c r="E27" s="156">
        <v>1603516.9391999999</v>
      </c>
      <c r="F27" s="156">
        <v>1712926.6131</v>
      </c>
      <c r="G27" s="156">
        <v>1715913.9232999999</v>
      </c>
      <c r="H27" s="156">
        <v>1667768.6118000001</v>
      </c>
      <c r="I27" s="156">
        <v>1523612.2907</v>
      </c>
      <c r="J27" s="156">
        <v>1825556.3359999999</v>
      </c>
      <c r="K27" s="156">
        <v>2057239.7331999999</v>
      </c>
      <c r="L27" s="156">
        <v>2094989.6624</v>
      </c>
      <c r="M27" s="156">
        <v>2145910.5556000001</v>
      </c>
      <c r="O27" s="20">
        <f t="shared" si="4"/>
        <v>6.8384531363919754E-2</v>
      </c>
    </row>
    <row r="28" spans="1:15">
      <c r="A28" s="43"/>
      <c r="B28" s="2" t="s">
        <v>262</v>
      </c>
      <c r="C28" s="2" t="s">
        <v>166</v>
      </c>
      <c r="D28" s="156">
        <v>3677032.7940000002</v>
      </c>
      <c r="E28" s="156">
        <v>5905331.142</v>
      </c>
      <c r="F28" s="156">
        <v>6119727.5400999999</v>
      </c>
      <c r="G28" s="156">
        <v>6073085.1756999996</v>
      </c>
      <c r="H28" s="156">
        <v>5928398.4550000001</v>
      </c>
      <c r="I28" s="156">
        <v>5415985.5739000002</v>
      </c>
      <c r="J28" s="156">
        <v>6403003.8276000004</v>
      </c>
      <c r="K28" s="156">
        <v>7235545.2131000003</v>
      </c>
      <c r="L28" s="156">
        <v>7248733.5467999997</v>
      </c>
      <c r="M28" s="156">
        <v>7424933.9000000004</v>
      </c>
      <c r="O28" s="20">
        <f t="shared" si="4"/>
        <v>8.1211273676845996E-2</v>
      </c>
    </row>
    <row r="30" spans="1:15">
      <c r="B30" s="155" t="s">
        <v>266</v>
      </c>
    </row>
    <row r="31" spans="1:15">
      <c r="B31" s="155" t="s">
        <v>272</v>
      </c>
    </row>
    <row r="33" spans="2:15" s="85" customFormat="1">
      <c r="B33" s="155"/>
      <c r="C33" s="155"/>
      <c r="D33" s="277" t="s">
        <v>269</v>
      </c>
      <c r="E33" s="277"/>
      <c r="F33" s="277"/>
      <c r="G33" s="277"/>
      <c r="H33" s="277"/>
      <c r="I33" s="277"/>
      <c r="J33" s="277"/>
      <c r="K33" s="277"/>
      <c r="L33" s="277"/>
      <c r="M33" s="277"/>
      <c r="N33" s="43"/>
      <c r="O33" s="278" t="s">
        <v>267</v>
      </c>
    </row>
    <row r="34" spans="2:15">
      <c r="B34" s="155" t="s">
        <v>265</v>
      </c>
      <c r="C34" s="155" t="s">
        <v>264</v>
      </c>
      <c r="D34" s="154">
        <v>2015</v>
      </c>
      <c r="E34" s="157">
        <v>2016</v>
      </c>
      <c r="F34" s="157">
        <v>2017</v>
      </c>
      <c r="G34" s="157">
        <v>2018</v>
      </c>
      <c r="H34" s="157">
        <v>2019</v>
      </c>
      <c r="I34" s="157">
        <v>2020</v>
      </c>
      <c r="J34" s="157">
        <v>2021</v>
      </c>
      <c r="K34" s="157">
        <v>2022</v>
      </c>
      <c r="L34" s="157">
        <v>2023</v>
      </c>
      <c r="M34" s="157">
        <v>2024</v>
      </c>
      <c r="O34" s="278"/>
    </row>
    <row r="36" spans="2:15">
      <c r="B36" s="2" t="s">
        <v>170</v>
      </c>
      <c r="C36" s="2" t="s">
        <v>231</v>
      </c>
      <c r="D36" s="156">
        <v>172900.10949999999</v>
      </c>
      <c r="E36" s="156">
        <v>188158.63070000001</v>
      </c>
      <c r="F36" s="156">
        <v>191212.3174</v>
      </c>
      <c r="G36" s="156">
        <v>193427.10769999999</v>
      </c>
      <c r="H36" s="156">
        <v>182729.63759999999</v>
      </c>
      <c r="I36" s="156">
        <v>169850.43229999999</v>
      </c>
      <c r="J36" s="156">
        <v>180506.37349999999</v>
      </c>
      <c r="K36" s="156">
        <v>191569.67120000001</v>
      </c>
      <c r="L36" s="156">
        <v>204146.1826</v>
      </c>
      <c r="M36" s="156">
        <v>226912.8</v>
      </c>
      <c r="O36" s="20">
        <f>(M36/E36)^(1/8) - 1</f>
        <v>2.3686217993555081E-2</v>
      </c>
    </row>
    <row r="37" spans="2:15">
      <c r="B37" s="2" t="s">
        <v>170</v>
      </c>
      <c r="C37" s="2" t="s">
        <v>232</v>
      </c>
      <c r="D37" s="156">
        <v>545763.32250000001</v>
      </c>
      <c r="E37" s="156">
        <v>550818.19530000002</v>
      </c>
      <c r="F37" s="156">
        <v>635770.64419999998</v>
      </c>
      <c r="G37" s="156">
        <v>635359.72019999998</v>
      </c>
      <c r="H37" s="156">
        <v>640347.49190000002</v>
      </c>
      <c r="I37" s="156">
        <v>581432.42819999997</v>
      </c>
      <c r="J37" s="156">
        <v>759492.09900000005</v>
      </c>
      <c r="K37" s="156">
        <v>711840.20979999995</v>
      </c>
      <c r="L37" s="156">
        <v>732402.28240000003</v>
      </c>
      <c r="M37" s="156">
        <v>833460.9</v>
      </c>
      <c r="O37" s="20">
        <f t="shared" ref="O37:O39" si="5">(M37/E37)^(1/8) - 1</f>
        <v>5.3136388737166973E-2</v>
      </c>
    </row>
    <row r="38" spans="2:15">
      <c r="B38" s="2" t="s">
        <v>170</v>
      </c>
      <c r="C38" s="2" t="s">
        <v>233</v>
      </c>
      <c r="D38" s="156">
        <v>1881298.7086</v>
      </c>
      <c r="E38" s="156">
        <v>1924270.9071</v>
      </c>
      <c r="F38" s="156">
        <v>2078009.8322999999</v>
      </c>
      <c r="G38" s="156">
        <v>2656934.4413999999</v>
      </c>
      <c r="H38" s="156">
        <v>2572756.5943</v>
      </c>
      <c r="I38" s="156">
        <v>2298621.0317000002</v>
      </c>
      <c r="J38" s="156">
        <v>3216909.5356999999</v>
      </c>
      <c r="K38" s="156">
        <v>3362173.9589999998</v>
      </c>
      <c r="L38" s="156">
        <v>3060872.6397000002</v>
      </c>
      <c r="M38" s="156">
        <v>3162255</v>
      </c>
      <c r="O38" s="20">
        <f t="shared" si="5"/>
        <v>6.406053093993247E-2</v>
      </c>
    </row>
    <row r="39" spans="2:15">
      <c r="B39" s="2" t="s">
        <v>170</v>
      </c>
      <c r="C39" s="2" t="s">
        <v>166</v>
      </c>
      <c r="D39" s="156">
        <v>11444660.8928</v>
      </c>
      <c r="E39" s="156">
        <v>12069486.0844</v>
      </c>
      <c r="F39" s="156">
        <v>8369288.0806999998</v>
      </c>
      <c r="G39" s="156">
        <v>21370185.559999999</v>
      </c>
      <c r="H39" s="156">
        <v>11448523.572799999</v>
      </c>
      <c r="I39" s="156">
        <v>16316331.1316</v>
      </c>
      <c r="J39" s="156">
        <v>30559349.963399999</v>
      </c>
      <c r="K39" s="156">
        <v>21850044.306600001</v>
      </c>
      <c r="L39" s="156">
        <v>24890666.5759</v>
      </c>
      <c r="M39" s="156">
        <v>25715096</v>
      </c>
      <c r="O39" s="20">
        <f t="shared" si="5"/>
        <v>9.9163811673651514E-2</v>
      </c>
    </row>
    <row r="40" spans="2:15">
      <c r="D40" s="62"/>
      <c r="E40" s="62"/>
      <c r="F40" s="62"/>
      <c r="G40" s="62"/>
      <c r="H40" s="62"/>
      <c r="I40" s="62"/>
      <c r="J40" s="62"/>
      <c r="K40" s="62"/>
      <c r="L40" s="62"/>
      <c r="M40" s="62"/>
    </row>
    <row r="41" spans="2:15">
      <c r="B41" s="2" t="s">
        <v>260</v>
      </c>
      <c r="C41" s="2" t="s">
        <v>231</v>
      </c>
      <c r="D41" s="156">
        <v>391226.1041</v>
      </c>
      <c r="E41" s="156">
        <v>393832.65350000001</v>
      </c>
      <c r="F41" s="156">
        <v>413672.93550000002</v>
      </c>
      <c r="G41" s="156">
        <v>435602.17969999998</v>
      </c>
      <c r="H41" s="156">
        <v>449540.94589999999</v>
      </c>
      <c r="I41" s="156">
        <v>418398.24349999998</v>
      </c>
      <c r="J41" s="156">
        <v>468632.50520000001</v>
      </c>
      <c r="K41" s="156">
        <v>513112.31900000002</v>
      </c>
      <c r="L41" s="156">
        <v>539951.55379999999</v>
      </c>
      <c r="M41" s="156">
        <v>560591.1</v>
      </c>
      <c r="O41" s="20">
        <f>(M41/H41)^(1/5) - 1</f>
        <v>4.5142211981690661E-2</v>
      </c>
    </row>
    <row r="42" spans="2:15">
      <c r="B42" s="2" t="s">
        <v>260</v>
      </c>
      <c r="C42" s="2" t="s">
        <v>232</v>
      </c>
      <c r="D42" s="156">
        <v>1686992.1657</v>
      </c>
      <c r="E42" s="156">
        <v>1688494.277</v>
      </c>
      <c r="F42" s="156">
        <v>1784689.9972000001</v>
      </c>
      <c r="G42" s="156">
        <v>1898766.4217000001</v>
      </c>
      <c r="H42" s="156">
        <v>1951092.7660000001</v>
      </c>
      <c r="I42" s="156">
        <v>1799492.9134</v>
      </c>
      <c r="J42" s="156">
        <v>2152815.5811000001</v>
      </c>
      <c r="K42" s="156">
        <v>2410702.4748999998</v>
      </c>
      <c r="L42" s="156">
        <v>2540557.9588000001</v>
      </c>
      <c r="M42" s="156">
        <v>2637670.2999999998</v>
      </c>
      <c r="O42" s="20">
        <f t="shared" ref="O42:O44" si="6">(M42/H42)^(1/5) - 1</f>
        <v>6.2156516965497399E-2</v>
      </c>
    </row>
    <row r="43" spans="2:15">
      <c r="B43" s="2" t="s">
        <v>260</v>
      </c>
      <c r="C43" s="2" t="s">
        <v>233</v>
      </c>
      <c r="D43" s="156">
        <v>7950330.3327000001</v>
      </c>
      <c r="E43" s="156">
        <v>7879606.4204000002</v>
      </c>
      <c r="F43" s="156">
        <v>8186686.5807999996</v>
      </c>
      <c r="G43" s="156">
        <v>8738745.5146999992</v>
      </c>
      <c r="H43" s="156">
        <v>8754857.4811000004</v>
      </c>
      <c r="I43" s="156">
        <v>8145419.1146999998</v>
      </c>
      <c r="J43" s="156">
        <v>10202796.013900001</v>
      </c>
      <c r="K43" s="156">
        <v>11608408.2245</v>
      </c>
      <c r="L43" s="156">
        <v>12251469.070800001</v>
      </c>
      <c r="M43" s="156">
        <v>12719778</v>
      </c>
      <c r="O43" s="20">
        <f t="shared" si="6"/>
        <v>7.7571484349869602E-2</v>
      </c>
    </row>
    <row r="44" spans="2:15">
      <c r="B44" s="2" t="s">
        <v>260</v>
      </c>
      <c r="C44" s="2" t="s">
        <v>166</v>
      </c>
      <c r="D44" s="156">
        <v>76965371.158800006</v>
      </c>
      <c r="E44" s="156">
        <v>76268204.255400002</v>
      </c>
      <c r="F44" s="156">
        <v>81670255.813500002</v>
      </c>
      <c r="G44" s="156">
        <v>80781355.050600007</v>
      </c>
      <c r="H44" s="156">
        <v>77393669.609599993</v>
      </c>
      <c r="I44" s="156">
        <v>72181338.826399997</v>
      </c>
      <c r="J44" s="156">
        <v>97333115.514599994</v>
      </c>
      <c r="K44" s="156">
        <v>116821077.6609</v>
      </c>
      <c r="L44" s="156">
        <v>123125166.3272</v>
      </c>
      <c r="M44" s="156">
        <v>127831592</v>
      </c>
      <c r="O44" s="20">
        <f t="shared" si="6"/>
        <v>0.1055707795385401</v>
      </c>
    </row>
    <row r="45" spans="2:15">
      <c r="D45" s="62"/>
      <c r="E45" s="62"/>
      <c r="F45" s="62"/>
      <c r="G45" s="62"/>
      <c r="H45" s="62"/>
      <c r="I45" s="62"/>
      <c r="J45" s="62"/>
      <c r="K45" s="62"/>
      <c r="L45" s="62"/>
      <c r="M45" s="62"/>
    </row>
    <row r="46" spans="2:15">
      <c r="B46" s="2" t="s">
        <v>261</v>
      </c>
      <c r="C46" s="2" t="s">
        <v>231</v>
      </c>
      <c r="D46" s="156">
        <v>177219.61919999999</v>
      </c>
      <c r="E46" s="156">
        <v>180472.8216</v>
      </c>
      <c r="F46" s="156">
        <v>191380.9595</v>
      </c>
      <c r="G46" s="156">
        <v>198325.03140000001</v>
      </c>
      <c r="H46" s="156">
        <v>198444.18210000001</v>
      </c>
      <c r="I46" s="156">
        <v>189821.51139999999</v>
      </c>
      <c r="J46" s="156">
        <v>221804.95629999999</v>
      </c>
      <c r="K46" s="156">
        <v>239174.83259999999</v>
      </c>
      <c r="L46" s="156">
        <v>259428.50469999999</v>
      </c>
      <c r="M46" s="156">
        <v>271619.3</v>
      </c>
      <c r="O46" s="20">
        <f>(M46/E46)^(1/8) - 1</f>
        <v>5.2430927660569226E-2</v>
      </c>
    </row>
    <row r="47" spans="2:15">
      <c r="B47" s="2" t="s">
        <v>261</v>
      </c>
      <c r="C47" s="2" t="s">
        <v>232</v>
      </c>
      <c r="D47" s="156">
        <v>413449.56709999999</v>
      </c>
      <c r="E47" s="156">
        <v>425896.34720000002</v>
      </c>
      <c r="F47" s="156">
        <v>447743.8567</v>
      </c>
      <c r="G47" s="156">
        <v>464548.3174</v>
      </c>
      <c r="H47" s="156">
        <v>464623.47389999998</v>
      </c>
      <c r="I47" s="156">
        <v>444434.59279999998</v>
      </c>
      <c r="J47" s="156">
        <v>520654.73220000003</v>
      </c>
      <c r="K47" s="156">
        <v>533419.37730000005</v>
      </c>
      <c r="L47" s="156">
        <v>578590.4878</v>
      </c>
      <c r="M47" s="156">
        <v>605778.9</v>
      </c>
      <c r="O47" s="20">
        <f t="shared" ref="O47:O49" si="7">(M47/E47)^(1/8) - 1</f>
        <v>4.5024033244391193E-2</v>
      </c>
    </row>
    <row r="48" spans="2:15">
      <c r="B48" s="2" t="s">
        <v>261</v>
      </c>
      <c r="C48" s="2" t="s">
        <v>233</v>
      </c>
      <c r="D48" s="156">
        <v>954417.89709999994</v>
      </c>
      <c r="E48" s="156">
        <v>1003016.5201</v>
      </c>
      <c r="F48" s="156">
        <v>1034151.3431000001</v>
      </c>
      <c r="G48" s="156">
        <v>1077643.969</v>
      </c>
      <c r="H48" s="156">
        <v>1078945.1804</v>
      </c>
      <c r="I48" s="156">
        <v>1032063.4142999999</v>
      </c>
      <c r="J48" s="156">
        <v>1220870.6564</v>
      </c>
      <c r="K48" s="156">
        <v>1250515.8036</v>
      </c>
      <c r="L48" s="156">
        <v>1356411.1706999999</v>
      </c>
      <c r="M48" s="156">
        <v>1420150.5</v>
      </c>
      <c r="O48" s="20">
        <f t="shared" si="7"/>
        <v>4.4427469339446857E-2</v>
      </c>
    </row>
    <row r="49" spans="2:16">
      <c r="B49" s="2" t="s">
        <v>261</v>
      </c>
      <c r="C49" s="2" t="s">
        <v>166</v>
      </c>
      <c r="D49" s="156">
        <v>2824905.9808999998</v>
      </c>
      <c r="E49" s="156">
        <v>3074477.8824</v>
      </c>
      <c r="F49" s="156">
        <v>3058521.3297000001</v>
      </c>
      <c r="G49" s="156">
        <v>3214350.1575000002</v>
      </c>
      <c r="H49" s="156">
        <v>3226466.2272999999</v>
      </c>
      <c r="I49" s="156">
        <v>3086271.6883</v>
      </c>
      <c r="J49" s="156">
        <v>3707852.4855</v>
      </c>
      <c r="K49" s="156">
        <v>3798387.0622</v>
      </c>
      <c r="L49" s="156">
        <v>3988817.7991999998</v>
      </c>
      <c r="M49" s="156">
        <v>4176256.3</v>
      </c>
      <c r="O49" s="20">
        <f t="shared" si="7"/>
        <v>3.9027330446761654E-2</v>
      </c>
    </row>
    <row r="50" spans="2:16">
      <c r="B50" s="2"/>
      <c r="C50" s="2"/>
      <c r="D50" s="156"/>
      <c r="E50" s="156"/>
      <c r="F50" s="156"/>
      <c r="G50" s="156"/>
      <c r="H50" s="156"/>
      <c r="I50" s="156"/>
      <c r="J50" s="156"/>
      <c r="K50" s="156"/>
      <c r="L50" s="156"/>
      <c r="M50" s="156"/>
    </row>
    <row r="51" spans="2:16">
      <c r="B51" s="2" t="s">
        <v>263</v>
      </c>
      <c r="C51" s="2" t="s">
        <v>231</v>
      </c>
      <c r="D51" s="156">
        <v>367066.61800000002</v>
      </c>
      <c r="E51" s="156">
        <v>385522.8322</v>
      </c>
      <c r="F51" s="156">
        <v>383611.04200000002</v>
      </c>
      <c r="G51" s="156">
        <v>423057.95529999997</v>
      </c>
      <c r="H51" s="156">
        <v>403987.24699999997</v>
      </c>
      <c r="I51" s="156">
        <v>417735.59730000002</v>
      </c>
      <c r="J51" s="156">
        <v>476231.69179999997</v>
      </c>
      <c r="K51" s="156">
        <v>661331.51670000004</v>
      </c>
      <c r="L51" s="156">
        <v>615148.25899999996</v>
      </c>
      <c r="M51" s="156">
        <v>653197.6</v>
      </c>
      <c r="O51" s="20">
        <f>(M51/H51)^(1/5) - 1</f>
        <v>0.10086834754733487</v>
      </c>
    </row>
    <row r="52" spans="2:16">
      <c r="B52" s="2" t="s">
        <v>263</v>
      </c>
      <c r="C52" s="2" t="s">
        <v>232</v>
      </c>
      <c r="D52" s="156">
        <v>1249137.1018999999</v>
      </c>
      <c r="E52" s="156">
        <v>1109605.1499000001</v>
      </c>
      <c r="F52" s="156">
        <v>1126844.8751000001</v>
      </c>
      <c r="G52" s="156">
        <v>1229558.0119</v>
      </c>
      <c r="H52" s="156">
        <v>1710441.2047999999</v>
      </c>
      <c r="I52" s="156">
        <v>1352214.0386000001</v>
      </c>
      <c r="J52" s="156">
        <v>1620819.0824</v>
      </c>
      <c r="K52" s="156">
        <v>2526783.9865999999</v>
      </c>
      <c r="L52" s="156">
        <v>2601812.0932</v>
      </c>
      <c r="M52" s="156">
        <v>2762744.3</v>
      </c>
      <c r="O52" s="20">
        <f t="shared" ref="O52:O54" si="8">(M52/H52)^(1/5) - 1</f>
        <v>0.1006430821501958</v>
      </c>
    </row>
    <row r="53" spans="2:16">
      <c r="B53" s="2" t="s">
        <v>263</v>
      </c>
      <c r="C53" s="2" t="s">
        <v>233</v>
      </c>
      <c r="D53" s="156">
        <v>2639875.6828000001</v>
      </c>
      <c r="E53" s="156">
        <v>2576466.3593000001</v>
      </c>
      <c r="F53" s="156">
        <v>3326709.2365000001</v>
      </c>
      <c r="G53" s="156">
        <v>2444676.5627000001</v>
      </c>
      <c r="H53" s="156">
        <v>3105491.0062000002</v>
      </c>
      <c r="I53" s="156">
        <v>3894848.0460999999</v>
      </c>
      <c r="J53" s="156">
        <v>4501120.3982999995</v>
      </c>
      <c r="K53" s="156">
        <v>3450633.1061</v>
      </c>
      <c r="L53" s="156">
        <v>3941852.4936000002</v>
      </c>
      <c r="M53" s="156">
        <v>4185671.5</v>
      </c>
      <c r="O53" s="20">
        <f t="shared" si="8"/>
        <v>6.1517047262411362E-2</v>
      </c>
    </row>
    <row r="54" spans="2:16">
      <c r="B54" s="2" t="s">
        <v>263</v>
      </c>
      <c r="C54" s="2" t="s">
        <v>166</v>
      </c>
      <c r="D54" s="156">
        <v>21126575.933699999</v>
      </c>
      <c r="E54" s="156">
        <v>92512569.421299994</v>
      </c>
      <c r="F54" s="156">
        <v>166179725.8046</v>
      </c>
      <c r="G54" s="156">
        <v>5458519.6801000005</v>
      </c>
      <c r="H54" s="156">
        <v>117557070.95370001</v>
      </c>
      <c r="I54" s="156">
        <v>125824061.8096</v>
      </c>
      <c r="J54" s="156">
        <v>168558231.95559999</v>
      </c>
      <c r="K54" s="156">
        <v>135366956.31600001</v>
      </c>
      <c r="L54" s="156">
        <v>144749706.39660001</v>
      </c>
      <c r="M54" s="156">
        <v>153703040</v>
      </c>
      <c r="O54" s="20">
        <f t="shared" si="8"/>
        <v>5.5083278359018273E-2</v>
      </c>
    </row>
    <row r="55" spans="2:16">
      <c r="D55" s="62"/>
      <c r="E55" s="62"/>
      <c r="F55" s="62"/>
      <c r="G55" s="62"/>
      <c r="H55" s="62"/>
      <c r="I55" s="62"/>
      <c r="J55" s="62"/>
      <c r="K55" s="62"/>
      <c r="L55" s="62"/>
      <c r="M55" s="62"/>
    </row>
    <row r="56" spans="2:16">
      <c r="B56" s="2" t="s">
        <v>262</v>
      </c>
      <c r="C56" s="2" t="s">
        <v>231</v>
      </c>
      <c r="D56" s="156">
        <v>117972.4568</v>
      </c>
      <c r="E56" s="156">
        <v>128968.4966</v>
      </c>
      <c r="F56" s="156">
        <v>137074.8333</v>
      </c>
      <c r="G56" s="156">
        <v>139689.0882</v>
      </c>
      <c r="H56" s="156">
        <v>140164.5477</v>
      </c>
      <c r="I56" s="156">
        <v>128048.774</v>
      </c>
      <c r="J56" s="156">
        <v>139365.45499999999</v>
      </c>
      <c r="K56" s="156">
        <v>147911.92430000001</v>
      </c>
      <c r="L56" s="156">
        <v>157335.71979999999</v>
      </c>
      <c r="M56" s="156">
        <v>161160.1</v>
      </c>
      <c r="O56" s="20">
        <f>(M56/D56)^(1/9) - 1</f>
        <v>3.5268474725843157E-2</v>
      </c>
    </row>
    <row r="57" spans="2:16">
      <c r="B57" s="2" t="s">
        <v>262</v>
      </c>
      <c r="C57" s="2" t="s">
        <v>232</v>
      </c>
      <c r="D57" s="156">
        <v>301400.21799999999</v>
      </c>
      <c r="E57" s="156">
        <v>361115.5821</v>
      </c>
      <c r="F57" s="156">
        <v>386113.95510000002</v>
      </c>
      <c r="G57" s="156">
        <v>390467.73759999999</v>
      </c>
      <c r="H57" s="156">
        <v>388726.26569999999</v>
      </c>
      <c r="I57" s="156">
        <v>355127.3677</v>
      </c>
      <c r="J57" s="156">
        <v>419846.4657</v>
      </c>
      <c r="K57" s="156">
        <v>474436.30589999998</v>
      </c>
      <c r="L57" s="156">
        <v>482035.92090000003</v>
      </c>
      <c r="M57" s="156">
        <v>493752.9</v>
      </c>
      <c r="O57" s="20">
        <f t="shared" ref="O57:O59" si="9">(M57/D57)^(1/9) - 1</f>
        <v>5.6375828337975165E-2</v>
      </c>
    </row>
    <row r="58" spans="2:16">
      <c r="B58" s="2" t="s">
        <v>262</v>
      </c>
      <c r="C58" s="2" t="s">
        <v>233</v>
      </c>
      <c r="D58" s="156">
        <v>778485.32949999999</v>
      </c>
      <c r="E58" s="156">
        <v>1032045.1871</v>
      </c>
      <c r="F58" s="156">
        <v>1095442.5338000001</v>
      </c>
      <c r="G58" s="156">
        <v>1100228.43</v>
      </c>
      <c r="H58" s="156">
        <v>1087554.7582</v>
      </c>
      <c r="I58" s="156">
        <v>993553.14950000006</v>
      </c>
      <c r="J58" s="156">
        <v>1174620.4679</v>
      </c>
      <c r="K58" s="156">
        <v>1327348.8940000001</v>
      </c>
      <c r="L58" s="156">
        <v>1347401.8685000001</v>
      </c>
      <c r="M58" s="156">
        <v>1380154.3</v>
      </c>
      <c r="O58" s="20">
        <f t="shared" si="9"/>
        <v>6.5689780550636678E-2</v>
      </c>
    </row>
    <row r="59" spans="2:16">
      <c r="B59" s="2" t="s">
        <v>262</v>
      </c>
      <c r="C59" s="2" t="s">
        <v>166</v>
      </c>
      <c r="D59" s="156">
        <v>2758448.6257000002</v>
      </c>
      <c r="E59" s="156">
        <v>4292058.5208999999</v>
      </c>
      <c r="F59" s="156">
        <v>4466335.8470000001</v>
      </c>
      <c r="G59" s="156">
        <v>4440865.2810000004</v>
      </c>
      <c r="H59" s="156">
        <v>4343835.2262000004</v>
      </c>
      <c r="I59" s="156">
        <v>3968381.1028999998</v>
      </c>
      <c r="J59" s="156">
        <v>4691585.8121999996</v>
      </c>
      <c r="K59" s="156">
        <v>5301602.3743000003</v>
      </c>
      <c r="L59" s="156">
        <v>5321581.8296999997</v>
      </c>
      <c r="M59" s="156">
        <v>5450937</v>
      </c>
      <c r="O59" s="20">
        <f t="shared" si="9"/>
        <v>7.8617252423557993E-2</v>
      </c>
    </row>
    <row r="61" spans="2:16">
      <c r="B61" s="155" t="s">
        <v>268</v>
      </c>
    </row>
    <row r="62" spans="2:16">
      <c r="B62" s="155" t="s">
        <v>271</v>
      </c>
    </row>
    <row r="64" spans="2:16">
      <c r="D64" s="277" t="s">
        <v>274</v>
      </c>
      <c r="E64" s="277"/>
      <c r="F64" s="277"/>
      <c r="G64" s="277"/>
      <c r="H64" s="277"/>
      <c r="I64" s="277"/>
      <c r="J64" s="277"/>
      <c r="K64" s="277"/>
      <c r="L64" s="277"/>
      <c r="M64" s="277"/>
      <c r="O64" s="278" t="s">
        <v>275</v>
      </c>
      <c r="P64" s="43"/>
    </row>
    <row r="65" spans="2:16">
      <c r="B65" s="155" t="s">
        <v>265</v>
      </c>
      <c r="D65" s="154">
        <v>2015</v>
      </c>
      <c r="E65" s="157">
        <v>2016</v>
      </c>
      <c r="F65" s="157">
        <v>2017</v>
      </c>
      <c r="G65" s="157">
        <v>2018</v>
      </c>
      <c r="H65" s="157">
        <v>2019</v>
      </c>
      <c r="I65" s="157">
        <v>2020</v>
      </c>
      <c r="J65" s="157">
        <v>2021</v>
      </c>
      <c r="K65" s="157">
        <v>2022</v>
      </c>
      <c r="L65" s="157">
        <v>2023</v>
      </c>
      <c r="M65" s="157">
        <v>2024</v>
      </c>
      <c r="O65" s="278"/>
      <c r="P65" s="43"/>
    </row>
    <row r="66" spans="2:16">
      <c r="B66" s="47" t="s">
        <v>170</v>
      </c>
      <c r="C66" s="47"/>
      <c r="D66" s="47">
        <v>50504620</v>
      </c>
      <c r="E66" s="47">
        <v>50702744</v>
      </c>
      <c r="F66" s="47">
        <v>50953892</v>
      </c>
      <c r="G66" s="47">
        <v>51285688</v>
      </c>
      <c r="H66" s="47">
        <v>51601820</v>
      </c>
      <c r="I66" s="47">
        <v>51873496</v>
      </c>
      <c r="J66" s="47">
        <v>52136424</v>
      </c>
      <c r="K66" s="47">
        <v>52410868</v>
      </c>
      <c r="L66" s="47">
        <v>52695128</v>
      </c>
      <c r="M66" s="47">
        <v>52956956</v>
      </c>
      <c r="O66" s="20">
        <f>(M66/E66)^(1/8) - 1</f>
        <v>5.452234777918008E-3</v>
      </c>
      <c r="P66" s="43"/>
    </row>
    <row r="67" spans="2:16">
      <c r="B67" s="47" t="s">
        <v>260</v>
      </c>
      <c r="C67" s="47"/>
      <c r="D67" s="47">
        <v>242288453</v>
      </c>
      <c r="E67" s="47">
        <v>244961813</v>
      </c>
      <c r="F67" s="47">
        <v>247625094</v>
      </c>
      <c r="G67" s="47">
        <v>250238203</v>
      </c>
      <c r="H67" s="47">
        <v>252854125</v>
      </c>
      <c r="I67" s="47">
        <v>254844656</v>
      </c>
      <c r="J67" s="47">
        <v>256216438</v>
      </c>
      <c r="K67" s="47">
        <v>258043797</v>
      </c>
      <c r="L67" s="47">
        <v>260434000</v>
      </c>
      <c r="M67" s="47">
        <v>262814969</v>
      </c>
      <c r="O67" s="20">
        <f>(M67/H67)^(1/5) - 1</f>
        <v>7.7574348370168522E-3</v>
      </c>
      <c r="P67" s="43"/>
    </row>
    <row r="68" spans="2:16">
      <c r="B68" s="47" t="s">
        <v>261</v>
      </c>
      <c r="C68" s="47"/>
      <c r="D68" s="47">
        <v>13234287</v>
      </c>
      <c r="E68" s="47">
        <v>13336380</v>
      </c>
      <c r="F68" s="47">
        <v>13449388</v>
      </c>
      <c r="G68" s="47">
        <v>13568205</v>
      </c>
      <c r="H68" s="47">
        <v>13703108</v>
      </c>
      <c r="I68" s="47">
        <v>13832343</v>
      </c>
      <c r="J68" s="47">
        <v>13954525</v>
      </c>
      <c r="K68" s="47">
        <v>14132256</v>
      </c>
      <c r="L68" s="47">
        <v>14327401</v>
      </c>
      <c r="M68" s="47">
        <v>14475086</v>
      </c>
      <c r="O68" s="20">
        <f>(M68/E68)^(1/8) - 1</f>
        <v>1.0294291033525527E-2</v>
      </c>
      <c r="P68" s="43"/>
    </row>
    <row r="69" spans="2:16">
      <c r="B69" s="47" t="s">
        <v>263</v>
      </c>
      <c r="C69" s="47"/>
      <c r="D69" s="47">
        <v>139571188</v>
      </c>
      <c r="E69" s="47">
        <v>141673438</v>
      </c>
      <c r="F69" s="47">
        <v>143759375</v>
      </c>
      <c r="G69" s="47">
        <v>145780906</v>
      </c>
      <c r="H69" s="47">
        <v>147756922</v>
      </c>
      <c r="I69" s="47">
        <v>149602453</v>
      </c>
      <c r="J69" s="47">
        <v>151145594</v>
      </c>
      <c r="K69" s="47">
        <v>152542422</v>
      </c>
      <c r="L69" s="47">
        <v>153980281</v>
      </c>
      <c r="M69" s="47">
        <v>155432016</v>
      </c>
      <c r="O69" s="20">
        <f t="shared" ref="O69" si="10">(M69/H69)^(1/5) - 1</f>
        <v>1.0179448705106342E-2</v>
      </c>
      <c r="P69" s="43"/>
    </row>
    <row r="70" spans="2:16">
      <c r="B70" s="47" t="s">
        <v>262</v>
      </c>
      <c r="C70" s="47"/>
      <c r="D70" s="47">
        <v>49418188</v>
      </c>
      <c r="E70" s="47">
        <v>49409332</v>
      </c>
      <c r="F70" s="47">
        <v>49414824</v>
      </c>
      <c r="G70" s="47">
        <v>49419367</v>
      </c>
      <c r="H70" s="47">
        <v>49415379</v>
      </c>
      <c r="I70" s="47">
        <v>49356125</v>
      </c>
      <c r="J70" s="47">
        <v>49326875</v>
      </c>
      <c r="K70" s="47">
        <v>49349629</v>
      </c>
      <c r="L70" s="47">
        <v>49376355</v>
      </c>
      <c r="M70" s="47">
        <v>49380695</v>
      </c>
      <c r="O70" s="20">
        <f>(M70/D70)^(1/9) - 1</f>
        <v>-8.4327136323003593E-5</v>
      </c>
      <c r="P70" s="43"/>
    </row>
    <row r="71" spans="2:16">
      <c r="P71" s="43"/>
    </row>
    <row r="72" spans="2:16">
      <c r="B72" s="155" t="s">
        <v>270</v>
      </c>
      <c r="P72" s="43"/>
    </row>
    <row r="73" spans="2:16">
      <c r="B73" s="155" t="s">
        <v>273</v>
      </c>
      <c r="P73" s="43"/>
    </row>
  </sheetData>
  <mergeCells count="6">
    <mergeCell ref="D2:M2"/>
    <mergeCell ref="O2:O3"/>
    <mergeCell ref="O33:O34"/>
    <mergeCell ref="D33:M33"/>
    <mergeCell ref="D64:M64"/>
    <mergeCell ref="O64:O65"/>
  </mergeCell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18</vt:i4>
      </vt:variant>
    </vt:vector>
  </HeadingPairs>
  <TitlesOfParts>
    <vt:vector size="18" baseType="lpstr">
      <vt:lpstr>README</vt:lpstr>
      <vt:lpstr>FRA</vt:lpstr>
      <vt:lpstr>NDL</vt:lpstr>
      <vt:lpstr>USA</vt:lpstr>
      <vt:lpstr>BRA</vt:lpstr>
      <vt:lpstr>ITA</vt:lpstr>
      <vt:lpstr>Summary</vt:lpstr>
      <vt:lpstr>Data Sources</vt:lpstr>
      <vt:lpstr>Income to wealth ratios</vt:lpstr>
      <vt:lpstr>Insee (2024)</vt:lpstr>
      <vt:lpstr>Bach et al. (2025)</vt:lpstr>
      <vt:lpstr>Bozio et al. (2020)</vt:lpstr>
      <vt:lpstr>Piketty, Saez, Zucman (2018)</vt:lpstr>
      <vt:lpstr>Balkir et al. (2025)</vt:lpstr>
      <vt:lpstr>Bruil et al. (2025)</vt:lpstr>
      <vt:lpstr>Palomo et al. (2025)</vt:lpstr>
      <vt:lpstr>Guzzardi et al. (2024)</vt:lpstr>
      <vt:lpstr>WID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Léonard Mouillet</dc:creator>
  <cp:lastModifiedBy>Léonard Mouillet</cp:lastModifiedBy>
  <dcterms:created xsi:type="dcterms:W3CDTF">2026-01-08T13:27:51Z</dcterms:created>
  <dcterms:modified xsi:type="dcterms:W3CDTF">2026-02-23T10:05:34Z</dcterms:modified>
</cp:coreProperties>
</file>
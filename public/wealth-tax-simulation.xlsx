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C:\Users\l.mouillet\wealth-tax-simulator\simulations\"/>
    </mc:Choice>
  </mc:AlternateContent>
  <xr:revisionPtr revIDLastSave="0" documentId="13_ncr:1_{7C22583C-B92A-4F77-8FCA-7338267FF46A}" xr6:coauthVersionLast="47" xr6:coauthVersionMax="47" xr10:uidLastSave="{00000000-0000-0000-0000-000000000000}"/>
  <bookViews>
    <workbookView xWindow="28680" yWindow="-1410" windowWidth="29040" windowHeight="15720" xr2:uid="{A69BB1AE-355D-4D40-8FE7-BE3B860A349E}"/>
  </bookViews>
  <sheets>
    <sheet name="README" sheetId="14" r:id="rId1"/>
    <sheet name="FRA" sheetId="7" r:id="rId2"/>
    <sheet name="NDL" sheetId="13" r:id="rId3"/>
    <sheet name="USA" sheetId="11" r:id="rId4"/>
    <sheet name="BRA" sheetId="3" r:id="rId5"/>
    <sheet name="ITA" sheetId="17" r:id="rId6"/>
    <sheet name="Summary" sheetId="24" r:id="rId7"/>
    <sheet name="Data Sources" sheetId="26" r:id="rId8"/>
    <sheet name="Income to wealth ratios" sheetId="20" r:id="rId9"/>
    <sheet name="Insee (2026)" sheetId="29" r:id="rId10"/>
    <sheet name="Bach et al. (2025)" sheetId="6" r:id="rId11"/>
    <sheet name="Bozio et al. (2020)" sheetId="28" r:id="rId12"/>
    <sheet name="Piketty, Saez, Zucman (2018)" sheetId="22" r:id="rId13"/>
    <sheet name="Balkir et al. (2025)" sheetId="10" r:id="rId14"/>
    <sheet name="Bruil et al. (2025)" sheetId="4" r:id="rId15"/>
    <sheet name="Palomo et al. (2025)" sheetId="12" r:id="rId16"/>
    <sheet name="Guzzardi et al. (2024)" sheetId="16" r:id="rId17"/>
    <sheet name="WID" sheetId="21" r:id="rId18"/>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F15" i="6" l="1"/>
  <c r="W13" i="6"/>
  <c r="B72" i="29"/>
  <c r="T48" i="6" s="1"/>
  <c r="C72" i="29"/>
  <c r="D72" i="29"/>
  <c r="E72" i="29"/>
  <c r="F72" i="29"/>
  <c r="G72" i="29"/>
  <c r="H72" i="29"/>
  <c r="I72" i="29"/>
  <c r="J72" i="29"/>
  <c r="K72" i="29"/>
  <c r="L72" i="29"/>
  <c r="M72" i="29"/>
  <c r="N72" i="29"/>
  <c r="O72" i="29"/>
  <c r="P72" i="29"/>
  <c r="Q72" i="29"/>
  <c r="R72" i="29"/>
  <c r="S72" i="29"/>
  <c r="T72" i="29"/>
  <c r="U72" i="29"/>
  <c r="V72" i="29"/>
  <c r="F5" i="7"/>
  <c r="V4" i="6"/>
  <c r="W4" i="6"/>
  <c r="C101" i="29"/>
  <c r="Q101" i="29"/>
  <c r="R101" i="29"/>
  <c r="D102" i="29"/>
  <c r="E102" i="29"/>
  <c r="F102" i="29"/>
  <c r="G102" i="29"/>
  <c r="I102" i="29"/>
  <c r="L102" i="29"/>
  <c r="M102" i="29"/>
  <c r="N102" i="29"/>
  <c r="O102" i="29"/>
  <c r="P102" i="29"/>
  <c r="Q102" i="29"/>
  <c r="R102" i="29"/>
  <c r="S102" i="29"/>
  <c r="V102" i="29"/>
  <c r="D103" i="29"/>
  <c r="E103" i="29"/>
  <c r="F103" i="29"/>
  <c r="G103" i="29"/>
  <c r="I103" i="29"/>
  <c r="J103" i="29"/>
  <c r="K103" i="29"/>
  <c r="L103" i="29"/>
  <c r="M103" i="29"/>
  <c r="N103" i="29"/>
  <c r="O103" i="29"/>
  <c r="P103" i="29"/>
  <c r="Q103" i="29"/>
  <c r="V103" i="29"/>
  <c r="D104" i="29"/>
  <c r="E104" i="29"/>
  <c r="F104" i="29"/>
  <c r="G104" i="29"/>
  <c r="H104" i="29"/>
  <c r="I104" i="29"/>
  <c r="J104" i="29"/>
  <c r="K104" i="29"/>
  <c r="L104" i="29"/>
  <c r="M104" i="29"/>
  <c r="N104" i="29"/>
  <c r="O104" i="29"/>
  <c r="V104" i="29"/>
  <c r="D105" i="29"/>
  <c r="E105" i="29"/>
  <c r="F105" i="29"/>
  <c r="G105" i="29"/>
  <c r="H105" i="29"/>
  <c r="I105" i="29"/>
  <c r="J105" i="29"/>
  <c r="K105" i="29"/>
  <c r="L105" i="29"/>
  <c r="M105" i="29"/>
  <c r="V105" i="29"/>
  <c r="D106" i="29"/>
  <c r="E106" i="29"/>
  <c r="F106" i="29"/>
  <c r="G106" i="29"/>
  <c r="H106" i="29"/>
  <c r="I106" i="29"/>
  <c r="J106" i="29"/>
  <c r="K106" i="29"/>
  <c r="V106" i="29"/>
  <c r="D107" i="29"/>
  <c r="E107" i="29"/>
  <c r="F107" i="29"/>
  <c r="G107" i="29"/>
  <c r="H107" i="29"/>
  <c r="I107" i="29"/>
  <c r="V107" i="29"/>
  <c r="C108" i="29"/>
  <c r="D108" i="29"/>
  <c r="E108" i="29"/>
  <c r="F108" i="29"/>
  <c r="G108" i="29"/>
  <c r="V108" i="29"/>
  <c r="D109" i="29"/>
  <c r="E109" i="29"/>
  <c r="S109" i="29"/>
  <c r="T109" i="29"/>
  <c r="U109" i="29"/>
  <c r="V109" i="29"/>
  <c r="B107" i="29"/>
  <c r="B103" i="29"/>
  <c r="B104" i="29"/>
  <c r="B105" i="29"/>
  <c r="B106" i="29"/>
  <c r="B102" i="29"/>
  <c r="B101" i="29"/>
  <c r="F100" i="29"/>
  <c r="G100" i="29"/>
  <c r="H100" i="29"/>
  <c r="I100" i="29"/>
  <c r="J100" i="29"/>
  <c r="K100" i="29"/>
  <c r="B70" i="29"/>
  <c r="L100" i="29" s="1"/>
  <c r="D83" i="29"/>
  <c r="E83" i="29"/>
  <c r="F83" i="29"/>
  <c r="E91" i="29" s="1"/>
  <c r="G83" i="29"/>
  <c r="H83" i="29"/>
  <c r="V83" i="29"/>
  <c r="B83" i="29"/>
  <c r="B91" i="29" s="1"/>
  <c r="C82" i="29"/>
  <c r="D82" i="29"/>
  <c r="E82" i="29"/>
  <c r="V82" i="29"/>
  <c r="B82" i="29"/>
  <c r="B90" i="29" s="1"/>
  <c r="B65" i="29"/>
  <c r="B77" i="29" s="1"/>
  <c r="B85" i="29" s="1"/>
  <c r="C80" i="29"/>
  <c r="D80" i="29"/>
  <c r="E80" i="29"/>
  <c r="F80" i="29"/>
  <c r="G80" i="29"/>
  <c r="Q80" i="29"/>
  <c r="T80" i="29"/>
  <c r="U80" i="29"/>
  <c r="U88" i="29" s="1"/>
  <c r="V80" i="29"/>
  <c r="B80" i="29"/>
  <c r="B88" i="29" s="1"/>
  <c r="C79" i="29"/>
  <c r="D79" i="29"/>
  <c r="E79" i="29"/>
  <c r="F79" i="29"/>
  <c r="E87" i="29" s="1"/>
  <c r="L79" i="29"/>
  <c r="M79" i="29"/>
  <c r="N79" i="29"/>
  <c r="O79" i="29"/>
  <c r="P79" i="29"/>
  <c r="O87" i="29" s="1"/>
  <c r="Q79" i="29"/>
  <c r="R79" i="29"/>
  <c r="S79" i="29"/>
  <c r="S87" i="29" s="1"/>
  <c r="T79" i="29"/>
  <c r="U79" i="29"/>
  <c r="V79" i="29"/>
  <c r="B79" i="29"/>
  <c r="B87" i="29" s="1"/>
  <c r="C81" i="29"/>
  <c r="Q81" i="29"/>
  <c r="R81" i="29"/>
  <c r="Q89" i="29" s="1"/>
  <c r="S81" i="29"/>
  <c r="T81" i="29"/>
  <c r="U81" i="29"/>
  <c r="I78" i="29"/>
  <c r="J78" i="29"/>
  <c r="K78" i="29"/>
  <c r="L78" i="29"/>
  <c r="M78" i="29"/>
  <c r="B78" i="29"/>
  <c r="J77" i="29"/>
  <c r="R77" i="29"/>
  <c r="B86" i="29"/>
  <c r="C88" i="29"/>
  <c r="U87" i="29"/>
  <c r="K87" i="29"/>
  <c r="M86" i="29"/>
  <c r="C71" i="29"/>
  <c r="D71" i="29"/>
  <c r="E71" i="29"/>
  <c r="F71" i="29"/>
  <c r="G71" i="29"/>
  <c r="H71" i="29"/>
  <c r="I71" i="29"/>
  <c r="J71" i="29"/>
  <c r="K71" i="29"/>
  <c r="L71" i="29"/>
  <c r="M71" i="29"/>
  <c r="N71" i="29"/>
  <c r="O71" i="29"/>
  <c r="P71" i="29"/>
  <c r="Q71" i="29"/>
  <c r="R71" i="29"/>
  <c r="S71" i="29"/>
  <c r="T71" i="29"/>
  <c r="U71" i="29"/>
  <c r="V71" i="29"/>
  <c r="B71" i="29"/>
  <c r="C70" i="29"/>
  <c r="D70" i="29"/>
  <c r="E70" i="29"/>
  <c r="F70" i="29"/>
  <c r="G70" i="29"/>
  <c r="H70" i="29"/>
  <c r="I70" i="29"/>
  <c r="J70" i="29"/>
  <c r="K70" i="29"/>
  <c r="L70" i="29"/>
  <c r="M70" i="29"/>
  <c r="N70" i="29"/>
  <c r="O70" i="29"/>
  <c r="P70" i="29"/>
  <c r="Q70" i="29"/>
  <c r="R70" i="29"/>
  <c r="S70" i="29"/>
  <c r="T70" i="29"/>
  <c r="U70" i="29"/>
  <c r="V70" i="29"/>
  <c r="C69" i="29"/>
  <c r="D69" i="29"/>
  <c r="D101" i="29" s="1"/>
  <c r="E69" i="29"/>
  <c r="E101" i="29" s="1"/>
  <c r="F69" i="29"/>
  <c r="F109" i="29" s="1"/>
  <c r="G69" i="29"/>
  <c r="G81" i="29" s="1"/>
  <c r="H69" i="29"/>
  <c r="H108" i="29" s="1"/>
  <c r="I69" i="29"/>
  <c r="I109" i="29" s="1"/>
  <c r="J69" i="29"/>
  <c r="J107" i="29" s="1"/>
  <c r="K69" i="29"/>
  <c r="K108" i="29" s="1"/>
  <c r="L69" i="29"/>
  <c r="L106" i="29" s="1"/>
  <c r="M69" i="29"/>
  <c r="M107" i="29" s="1"/>
  <c r="N69" i="29"/>
  <c r="N105" i="29" s="1"/>
  <c r="O69" i="29"/>
  <c r="O106" i="29" s="1"/>
  <c r="P69" i="29"/>
  <c r="Q69" i="29"/>
  <c r="R69" i="29"/>
  <c r="S69" i="29"/>
  <c r="S82" i="29" s="1"/>
  <c r="T69" i="29"/>
  <c r="U69" i="29"/>
  <c r="V69" i="29"/>
  <c r="V101" i="29" s="1"/>
  <c r="B69" i="29"/>
  <c r="B108" i="29" s="1"/>
  <c r="B66" i="29"/>
  <c r="C67" i="29"/>
  <c r="D67" i="29"/>
  <c r="E67" i="29"/>
  <c r="F67" i="29"/>
  <c r="G67" i="29"/>
  <c r="H67" i="29"/>
  <c r="I67" i="29"/>
  <c r="J67" i="29"/>
  <c r="K67" i="29"/>
  <c r="L67" i="29"/>
  <c r="M67" i="29"/>
  <c r="N67" i="29"/>
  <c r="O67" i="29"/>
  <c r="P67" i="29"/>
  <c r="Q67" i="29"/>
  <c r="R67" i="29"/>
  <c r="S67" i="29"/>
  <c r="T67" i="29"/>
  <c r="U67" i="29"/>
  <c r="V67" i="29"/>
  <c r="C68" i="29"/>
  <c r="D68" i="29"/>
  <c r="E68" i="29"/>
  <c r="F68" i="29"/>
  <c r="G68" i="29"/>
  <c r="H68" i="29"/>
  <c r="I68" i="29"/>
  <c r="J68" i="29"/>
  <c r="K68" i="29"/>
  <c r="L68" i="29"/>
  <c r="M68" i="29"/>
  <c r="N68" i="29"/>
  <c r="O68" i="29"/>
  <c r="P68" i="29"/>
  <c r="Q68" i="29"/>
  <c r="R68" i="29"/>
  <c r="S68" i="29"/>
  <c r="T68" i="29"/>
  <c r="U68" i="29"/>
  <c r="V68" i="29"/>
  <c r="B68" i="29"/>
  <c r="B67" i="29"/>
  <c r="J80" i="29" s="1"/>
  <c r="C66" i="29"/>
  <c r="C78" i="29" s="1"/>
  <c r="C86" i="29" s="1"/>
  <c r="D66" i="29"/>
  <c r="D78" i="29" s="1"/>
  <c r="E66" i="29"/>
  <c r="E78" i="29" s="1"/>
  <c r="E86" i="29" s="1"/>
  <c r="F66" i="29"/>
  <c r="F78" i="29" s="1"/>
  <c r="G66" i="29"/>
  <c r="H66" i="29"/>
  <c r="I66" i="29"/>
  <c r="I79" i="29" s="1"/>
  <c r="J66" i="29"/>
  <c r="J79" i="29" s="1"/>
  <c r="K66" i="29"/>
  <c r="K79" i="29" s="1"/>
  <c r="L66" i="29"/>
  <c r="M66" i="29"/>
  <c r="N66" i="29"/>
  <c r="N78" i="29" s="1"/>
  <c r="O66" i="29"/>
  <c r="O78" i="29" s="1"/>
  <c r="P66" i="29"/>
  <c r="P78" i="29" s="1"/>
  <c r="Q66" i="29"/>
  <c r="Q78" i="29" s="1"/>
  <c r="R66" i="29"/>
  <c r="R78" i="29" s="1"/>
  <c r="S66" i="29"/>
  <c r="S78" i="29" s="1"/>
  <c r="T66" i="29"/>
  <c r="T78" i="29" s="1"/>
  <c r="U66" i="29"/>
  <c r="U78" i="29" s="1"/>
  <c r="U86" i="29" s="1"/>
  <c r="V66" i="29"/>
  <c r="V78" i="29" s="1"/>
  <c r="C65" i="29"/>
  <c r="C77" i="29" s="1"/>
  <c r="C85" i="29" s="1"/>
  <c r="D65" i="29"/>
  <c r="D77" i="29" s="1"/>
  <c r="E65" i="29"/>
  <c r="E77" i="29" s="1"/>
  <c r="F65" i="29"/>
  <c r="F77" i="29" s="1"/>
  <c r="G65" i="29"/>
  <c r="G77" i="29" s="1"/>
  <c r="H65" i="29"/>
  <c r="H77" i="29" s="1"/>
  <c r="I65" i="29"/>
  <c r="I77" i="29" s="1"/>
  <c r="I85" i="29" s="1"/>
  <c r="J65" i="29"/>
  <c r="K65" i="29"/>
  <c r="K77" i="29" s="1"/>
  <c r="L65" i="29"/>
  <c r="L77" i="29" s="1"/>
  <c r="K85" i="29" s="1"/>
  <c r="M65" i="29"/>
  <c r="M77" i="29" s="1"/>
  <c r="N65" i="29"/>
  <c r="N77" i="29" s="1"/>
  <c r="O65" i="29"/>
  <c r="O77" i="29" s="1"/>
  <c r="P65" i="29"/>
  <c r="P77" i="29" s="1"/>
  <c r="Q65" i="29"/>
  <c r="Q77" i="29" s="1"/>
  <c r="Q85" i="29" s="1"/>
  <c r="R65" i="29"/>
  <c r="S65" i="29"/>
  <c r="S77" i="29" s="1"/>
  <c r="T65" i="29"/>
  <c r="T77" i="29" s="1"/>
  <c r="U65" i="29"/>
  <c r="U77" i="29" s="1"/>
  <c r="U85" i="29" s="1"/>
  <c r="V65" i="29"/>
  <c r="V77" i="29" s="1"/>
  <c r="N9" i="12"/>
  <c r="L10" i="12"/>
  <c r="L9" i="12"/>
  <c r="F7" i="11"/>
  <c r="F6" i="11"/>
  <c r="F4" i="11"/>
  <c r="F5" i="11"/>
  <c r="T6" i="6" l="1"/>
  <c r="T5" i="6"/>
  <c r="T31" i="6"/>
  <c r="T38" i="6"/>
  <c r="T19" i="6"/>
  <c r="T20" i="6"/>
  <c r="T21" i="6"/>
  <c r="T7" i="6"/>
  <c r="T32" i="6"/>
  <c r="T33" i="6"/>
  <c r="T41" i="6"/>
  <c r="T44" i="6"/>
  <c r="T8" i="6"/>
  <c r="T12" i="6"/>
  <c r="T34" i="6"/>
  <c r="T13" i="6"/>
  <c r="T35" i="6"/>
  <c r="T14" i="6"/>
  <c r="T36" i="6"/>
  <c r="T15" i="6"/>
  <c r="T37" i="6"/>
  <c r="T43" i="6"/>
  <c r="T16" i="6"/>
  <c r="T17" i="6"/>
  <c r="T39" i="6"/>
  <c r="T18" i="6"/>
  <c r="T40" i="6"/>
  <c r="T22" i="6"/>
  <c r="T26" i="6"/>
  <c r="T23" i="6"/>
  <c r="T25" i="6"/>
  <c r="T30" i="6"/>
  <c r="G85" i="29"/>
  <c r="G88" i="29"/>
  <c r="I86" i="29"/>
  <c r="G91" i="29"/>
  <c r="F6" i="7" s="1"/>
  <c r="U103" i="29"/>
  <c r="U104" i="29"/>
  <c r="U105" i="29"/>
  <c r="U107" i="29"/>
  <c r="U102" i="29"/>
  <c r="U83" i="29"/>
  <c r="U91" i="29" s="1"/>
  <c r="U106" i="29"/>
  <c r="AE7" i="6" s="1"/>
  <c r="C103" i="29"/>
  <c r="C104" i="29"/>
  <c r="C107" i="29"/>
  <c r="C102" i="29"/>
  <c r="C105" i="29"/>
  <c r="C83" i="29"/>
  <c r="C91" i="29" s="1"/>
  <c r="F4" i="7" s="1"/>
  <c r="C106" i="29"/>
  <c r="C109" i="29"/>
  <c r="K86" i="29"/>
  <c r="AF7" i="6"/>
  <c r="S85" i="29"/>
  <c r="S86" i="29"/>
  <c r="O85" i="29"/>
  <c r="S89" i="29"/>
  <c r="U108" i="29"/>
  <c r="E88" i="29"/>
  <c r="U82" i="29"/>
  <c r="U90" i="29" s="1"/>
  <c r="Q86" i="29"/>
  <c r="M85" i="29"/>
  <c r="C87" i="29"/>
  <c r="U101" i="29"/>
  <c r="AE15" i="6" s="1"/>
  <c r="C90" i="29"/>
  <c r="O86" i="29"/>
  <c r="T102" i="29"/>
  <c r="T103" i="29"/>
  <c r="T104" i="29"/>
  <c r="T107" i="29"/>
  <c r="T108" i="29"/>
  <c r="T105" i="29"/>
  <c r="T106" i="29"/>
  <c r="I87" i="29"/>
  <c r="H79" i="29"/>
  <c r="H78" i="29"/>
  <c r="R103" i="29"/>
  <c r="R109" i="29"/>
  <c r="R104" i="29"/>
  <c r="R82" i="29"/>
  <c r="R105" i="29"/>
  <c r="R108" i="29"/>
  <c r="R106" i="29"/>
  <c r="R107" i="29"/>
  <c r="E85" i="29"/>
  <c r="Q109" i="29"/>
  <c r="Q82" i="29"/>
  <c r="Q90" i="29" s="1"/>
  <c r="Q104" i="29"/>
  <c r="Q107" i="29"/>
  <c r="Q105" i="29"/>
  <c r="Q106" i="29"/>
  <c r="Q108" i="29"/>
  <c r="T82" i="29"/>
  <c r="S90" i="29" s="1"/>
  <c r="P104" i="29"/>
  <c r="P106" i="29"/>
  <c r="P105" i="29"/>
  <c r="P109" i="29"/>
  <c r="P82" i="29"/>
  <c r="P81" i="29"/>
  <c r="P101" i="29"/>
  <c r="P107" i="29"/>
  <c r="P108" i="29"/>
  <c r="I80" i="29"/>
  <c r="I88" i="29" s="1"/>
  <c r="T101" i="29"/>
  <c r="G89" i="29"/>
  <c r="S104" i="29"/>
  <c r="S105" i="29"/>
  <c r="S108" i="29"/>
  <c r="S103" i="29"/>
  <c r="S106" i="29"/>
  <c r="S107" i="29"/>
  <c r="G79" i="29"/>
  <c r="G87" i="29" s="1"/>
  <c r="G78" i="29"/>
  <c r="G86" i="29" s="1"/>
  <c r="H80" i="29"/>
  <c r="S101" i="29"/>
  <c r="S80" i="29"/>
  <c r="S88" i="29" s="1"/>
  <c r="O82" i="29"/>
  <c r="O90" i="29" s="1"/>
  <c r="R83" i="29"/>
  <c r="U100" i="29"/>
  <c r="AE11" i="6" s="1"/>
  <c r="C100" i="29"/>
  <c r="O109" i="29"/>
  <c r="K102" i="29"/>
  <c r="M101" i="29"/>
  <c r="L81" i="29"/>
  <c r="R80" i="29"/>
  <c r="N82" i="29"/>
  <c r="Q83" i="29"/>
  <c r="T100" i="29"/>
  <c r="B100" i="29"/>
  <c r="N109" i="29"/>
  <c r="H103" i="29"/>
  <c r="J102" i="29"/>
  <c r="L101" i="29"/>
  <c r="S83" i="29"/>
  <c r="J81" i="29"/>
  <c r="M87" i="29"/>
  <c r="P80" i="29"/>
  <c r="L82" i="29"/>
  <c r="O83" i="29"/>
  <c r="O91" i="29" s="1"/>
  <c r="F10" i="7" s="1"/>
  <c r="R100" i="29"/>
  <c r="L109" i="29"/>
  <c r="N108" i="29"/>
  <c r="H102" i="29"/>
  <c r="J101" i="29"/>
  <c r="V100" i="29"/>
  <c r="AF11" i="6" s="1"/>
  <c r="N101" i="29"/>
  <c r="K101" i="29"/>
  <c r="J109" i="29"/>
  <c r="H101" i="29"/>
  <c r="M109" i="29"/>
  <c r="O81" i="29"/>
  <c r="O101" i="29"/>
  <c r="Q88" i="29"/>
  <c r="Q87" i="29"/>
  <c r="M81" i="29"/>
  <c r="M89" i="29" s="1"/>
  <c r="K81" i="29"/>
  <c r="M82" i="29"/>
  <c r="M90" i="29" s="1"/>
  <c r="O108" i="29"/>
  <c r="Q100" i="29"/>
  <c r="O107" i="29"/>
  <c r="I101" i="29"/>
  <c r="H81" i="29"/>
  <c r="N80" i="29"/>
  <c r="M83" i="29"/>
  <c r="M91" i="29" s="1"/>
  <c r="F9" i="7" s="1"/>
  <c r="N107" i="29"/>
  <c r="G101" i="29"/>
  <c r="L80" i="29"/>
  <c r="H82" i="29"/>
  <c r="G90" i="29" s="1"/>
  <c r="K83" i="29"/>
  <c r="K91" i="29" s="1"/>
  <c r="F8" i="7" s="1"/>
  <c r="N100" i="29"/>
  <c r="H109" i="29"/>
  <c r="J108" i="29"/>
  <c r="L107" i="29"/>
  <c r="N106" i="29"/>
  <c r="F101" i="29"/>
  <c r="E81" i="29"/>
  <c r="E89" i="29" s="1"/>
  <c r="K80" i="29"/>
  <c r="G82" i="29"/>
  <c r="J83" i="29"/>
  <c r="M100" i="29"/>
  <c r="B109" i="29"/>
  <c r="G109" i="29"/>
  <c r="I108" i="29"/>
  <c r="K107" i="29"/>
  <c r="M106" i="29"/>
  <c r="O105" i="29"/>
  <c r="T83" i="29"/>
  <c r="E100" i="29"/>
  <c r="N81" i="29"/>
  <c r="D100" i="29"/>
  <c r="P83" i="29"/>
  <c r="S100" i="29"/>
  <c r="I81" i="29"/>
  <c r="I89" i="29" s="1"/>
  <c r="O80" i="29"/>
  <c r="O88" i="29" s="1"/>
  <c r="K82" i="29"/>
  <c r="N83" i="29"/>
  <c r="K109" i="29"/>
  <c r="M108" i="29"/>
  <c r="J82" i="29"/>
  <c r="P100" i="29"/>
  <c r="L108" i="29"/>
  <c r="M80" i="29"/>
  <c r="M88" i="29" s="1"/>
  <c r="I82" i="29"/>
  <c r="I90" i="29" s="1"/>
  <c r="L83" i="29"/>
  <c r="O100" i="29"/>
  <c r="F81" i="29"/>
  <c r="V81" i="29"/>
  <c r="U89" i="29" s="1"/>
  <c r="D81" i="29"/>
  <c r="C89" i="29" s="1"/>
  <c r="B81" i="29"/>
  <c r="B89" i="29" s="1"/>
  <c r="F82" i="29"/>
  <c r="E90" i="29" s="1"/>
  <c r="I83" i="29"/>
  <c r="I91" i="29" s="1"/>
  <c r="F7" i="7" s="1"/>
  <c r="T29" i="6"/>
  <c r="T11" i="6"/>
  <c r="T4" i="6"/>
  <c r="T28" i="6"/>
  <c r="T10" i="6"/>
  <c r="T45" i="6"/>
  <c r="T27" i="6"/>
  <c r="T9" i="6"/>
  <c r="T42" i="6"/>
  <c r="T24" i="6"/>
  <c r="S91" i="29" l="1"/>
  <c r="F12" i="7" s="1"/>
  <c r="O89" i="29"/>
  <c r="K89" i="29"/>
  <c r="Q91" i="29"/>
  <c r="F11" i="7" s="1"/>
  <c r="K90" i="29"/>
  <c r="K88" i="29"/>
  <c r="F17" i="11"/>
  <c r="F16" i="11"/>
  <c r="F15" i="11"/>
  <c r="F14" i="11"/>
  <c r="F8" i="11"/>
  <c r="F13" i="11"/>
  <c r="F12" i="11"/>
  <c r="F11" i="11"/>
  <c r="F10" i="11"/>
  <c r="F9" i="11"/>
  <c r="J18" i="11"/>
  <c r="J15" i="11"/>
  <c r="J16" i="11"/>
  <c r="J17" i="11"/>
  <c r="J14" i="11"/>
  <c r="I14" i="11"/>
  <c r="O42" i="21"/>
  <c r="O43" i="21"/>
  <c r="O44" i="21"/>
  <c r="O41" i="21"/>
  <c r="O67" i="21"/>
  <c r="O66" i="21"/>
  <c r="AA32" i="20" l="1"/>
  <c r="AA23" i="20"/>
  <c r="AA14" i="20"/>
  <c r="AA5" i="20"/>
  <c r="V32" i="20"/>
  <c r="G17" i="11"/>
  <c r="W10" i="6"/>
  <c r="W11" i="6"/>
  <c r="W12" i="6"/>
  <c r="W14" i="6"/>
  <c r="W15" i="6"/>
  <c r="W16" i="6"/>
  <c r="W17" i="6"/>
  <c r="W18" i="6"/>
  <c r="W19" i="6"/>
  <c r="W20" i="6"/>
  <c r="W21" i="6"/>
  <c r="W22" i="6"/>
  <c r="W23" i="6"/>
  <c r="W24" i="6"/>
  <c r="W25" i="6"/>
  <c r="W26" i="6"/>
  <c r="W27" i="6"/>
  <c r="W28" i="6"/>
  <c r="W29" i="6"/>
  <c r="W30" i="6"/>
  <c r="W31" i="6"/>
  <c r="W32" i="6"/>
  <c r="W33" i="6"/>
  <c r="W34" i="6"/>
  <c r="W35" i="6"/>
  <c r="W36" i="6"/>
  <c r="W37" i="6"/>
  <c r="W38" i="6"/>
  <c r="W39" i="6"/>
  <c r="W40" i="6"/>
  <c r="W41" i="6"/>
  <c r="W42" i="6"/>
  <c r="W43" i="6"/>
  <c r="W44" i="6"/>
  <c r="W45" i="6"/>
  <c r="W9" i="6"/>
  <c r="W5" i="6"/>
  <c r="W6" i="6"/>
  <c r="W7" i="6"/>
  <c r="W8" i="6"/>
  <c r="Y31" i="6"/>
  <c r="Y32" i="6"/>
  <c r="Y33" i="6"/>
  <c r="Y34" i="6"/>
  <c r="Y35" i="6"/>
  <c r="Y36" i="6"/>
  <c r="Y37" i="6"/>
  <c r="Y38" i="6"/>
  <c r="Y39" i="6"/>
  <c r="Y40" i="6"/>
  <c r="Y41" i="6"/>
  <c r="Y42" i="6"/>
  <c r="Y43" i="6"/>
  <c r="Y44" i="6"/>
  <c r="Y45" i="6"/>
  <c r="V32" i="6"/>
  <c r="V33" i="6"/>
  <c r="V34" i="6"/>
  <c r="V35" i="6"/>
  <c r="V36" i="6"/>
  <c r="V37" i="6"/>
  <c r="V38" i="6"/>
  <c r="V39" i="6"/>
  <c r="V40" i="6"/>
  <c r="V41" i="6"/>
  <c r="V42" i="6"/>
  <c r="V43" i="6"/>
  <c r="V44" i="6"/>
  <c r="V45" i="6"/>
  <c r="V31" i="6"/>
  <c r="L11" i="28"/>
  <c r="K11" i="28"/>
  <c r="L5" i="28"/>
  <c r="K5" i="28"/>
  <c r="AI17" i="6"/>
  <c r="AH17" i="6"/>
  <c r="X31" i="6" s="1"/>
  <c r="AG17" i="6"/>
  <c r="AF17" i="6"/>
  <c r="AE17" i="6"/>
  <c r="K8" i="28"/>
  <c r="K6" i="28"/>
  <c r="K9" i="28"/>
  <c r="L9" i="28"/>
  <c r="L8" i="28"/>
  <c r="L7" i="28"/>
  <c r="K7" i="28"/>
  <c r="L6" i="28"/>
  <c r="AA31" i="6" l="1"/>
  <c r="X23" i="6" l="1"/>
  <c r="X24" i="6"/>
  <c r="X25" i="6"/>
  <c r="X26" i="6"/>
  <c r="X27" i="6"/>
  <c r="X28" i="6"/>
  <c r="X29" i="6"/>
  <c r="X30" i="6"/>
  <c r="X32" i="6"/>
  <c r="AA32" i="6" s="1"/>
  <c r="X33" i="6"/>
  <c r="AA33" i="6" s="1"/>
  <c r="X34" i="6"/>
  <c r="AA34" i="6" s="1"/>
  <c r="X35" i="6"/>
  <c r="AA35" i="6" s="1"/>
  <c r="X36" i="6"/>
  <c r="AA36" i="6" s="1"/>
  <c r="X37" i="6"/>
  <c r="AA37" i="6" s="1"/>
  <c r="X38" i="6"/>
  <c r="AA38" i="6" s="1"/>
  <c r="X39" i="6"/>
  <c r="AA39" i="6" s="1"/>
  <c r="X40" i="6"/>
  <c r="AA40" i="6" s="1"/>
  <c r="X41" i="6"/>
  <c r="AA41" i="6" s="1"/>
  <c r="X42" i="6"/>
  <c r="AA42" i="6" s="1"/>
  <c r="X43" i="6"/>
  <c r="AA43" i="6" s="1"/>
  <c r="X44" i="6"/>
  <c r="AA44" i="6" s="1"/>
  <c r="X45" i="6"/>
  <c r="AA45" i="6" s="1"/>
  <c r="X22" i="6"/>
  <c r="X14" i="6"/>
  <c r="X15" i="6"/>
  <c r="X16" i="6"/>
  <c r="X17" i="6"/>
  <c r="X18" i="6"/>
  <c r="X19" i="6"/>
  <c r="X20" i="6"/>
  <c r="X21" i="6"/>
  <c r="X13" i="6"/>
  <c r="G14" i="7" s="1"/>
  <c r="X10" i="6"/>
  <c r="X11" i="6"/>
  <c r="X12" i="6"/>
  <c r="X9" i="6"/>
  <c r="X5" i="6"/>
  <c r="X6" i="6"/>
  <c r="X7" i="6"/>
  <c r="X8" i="6"/>
  <c r="X4" i="6"/>
  <c r="V23" i="6"/>
  <c r="V24" i="6"/>
  <c r="V25" i="6"/>
  <c r="V26" i="6"/>
  <c r="V27" i="6"/>
  <c r="V28" i="6"/>
  <c r="V29" i="6"/>
  <c r="V30" i="6"/>
  <c r="AA30" i="6" s="1"/>
  <c r="V22" i="6"/>
  <c r="V5" i="6"/>
  <c r="V6" i="6"/>
  <c r="V7" i="6"/>
  <c r="V8" i="6"/>
  <c r="V9" i="6"/>
  <c r="V14" i="6"/>
  <c r="Y23" i="6"/>
  <c r="Y24" i="6"/>
  <c r="Y25" i="6"/>
  <c r="Y26" i="6"/>
  <c r="Y27" i="6"/>
  <c r="Y28" i="6"/>
  <c r="Y29" i="6"/>
  <c r="Y30" i="6"/>
  <c r="Y22" i="6"/>
  <c r="Y4" i="6"/>
  <c r="V15" i="6"/>
  <c r="V16" i="6"/>
  <c r="V17" i="6"/>
  <c r="V18" i="6"/>
  <c r="V19" i="6"/>
  <c r="V20" i="6"/>
  <c r="V21" i="6"/>
  <c r="V13" i="6"/>
  <c r="V10" i="6"/>
  <c r="V11" i="6"/>
  <c r="V12" i="6"/>
  <c r="Y21" i="6"/>
  <c r="AA28" i="6" l="1"/>
  <c r="AF10" i="6"/>
  <c r="AA29" i="6"/>
  <c r="AA27" i="6"/>
  <c r="AA25" i="6"/>
  <c r="AA4" i="6"/>
  <c r="AA24" i="6"/>
  <c r="AA22" i="6"/>
  <c r="AA26" i="6"/>
  <c r="AA23" i="6"/>
  <c r="AA21" i="6"/>
  <c r="G18" i="7"/>
  <c r="AF14" i="6"/>
  <c r="G16" i="7"/>
  <c r="G15" i="7"/>
  <c r="G17" i="7"/>
  <c r="AE14" i="6"/>
  <c r="AE10" i="6"/>
  <c r="Y13" i="6"/>
  <c r="AA13" i="6" s="1"/>
  <c r="Y20" i="6"/>
  <c r="AA20" i="6" s="1"/>
  <c r="Y19" i="6"/>
  <c r="AA19" i="6" s="1"/>
  <c r="Y18" i="6"/>
  <c r="AA18" i="6" s="1"/>
  <c r="Y17" i="6"/>
  <c r="AA17" i="6" s="1"/>
  <c r="Y16" i="6"/>
  <c r="AA16" i="6" s="1"/>
  <c r="Y15" i="6"/>
  <c r="AA15" i="6" s="1"/>
  <c r="Y14" i="6"/>
  <c r="AA14" i="6" s="1"/>
  <c r="D14" i="7" l="1"/>
  <c r="L18" i="7"/>
  <c r="L17" i="7"/>
  <c r="L16" i="7"/>
  <c r="L15" i="7"/>
  <c r="L14" i="7"/>
  <c r="F5" i="17"/>
  <c r="T5" i="17" s="1"/>
  <c r="U5" i="17" s="1"/>
  <c r="H8" i="20"/>
  <c r="H9" i="20"/>
  <c r="H7" i="20"/>
  <c r="I9" i="20"/>
  <c r="I7" i="20"/>
  <c r="I8" i="20"/>
  <c r="G18" i="13"/>
  <c r="O14" i="17"/>
  <c r="N15" i="17"/>
  <c r="N16" i="17"/>
  <c r="N17" i="17"/>
  <c r="N18" i="17"/>
  <c r="N14" i="17"/>
  <c r="M15" i="17"/>
  <c r="M16" i="17"/>
  <c r="M17" i="17"/>
  <c r="M18" i="17"/>
  <c r="M14" i="17"/>
  <c r="O18" i="17"/>
  <c r="P18" i="17"/>
  <c r="L18" i="17"/>
  <c r="T17" i="17"/>
  <c r="O17" i="17"/>
  <c r="L17" i="17"/>
  <c r="T16" i="17"/>
  <c r="O16" i="17"/>
  <c r="P16" i="17"/>
  <c r="L16" i="17"/>
  <c r="T15" i="17"/>
  <c r="O15" i="17"/>
  <c r="P15" i="17"/>
  <c r="Q15" i="17" s="1"/>
  <c r="L15" i="17"/>
  <c r="T14" i="17"/>
  <c r="L14" i="17"/>
  <c r="U13" i="17"/>
  <c r="T13" i="17"/>
  <c r="T12" i="17"/>
  <c r="U12" i="17" s="1"/>
  <c r="T11" i="17"/>
  <c r="U11" i="17" s="1"/>
  <c r="T10" i="17"/>
  <c r="U10" i="17" s="1"/>
  <c r="T9" i="17"/>
  <c r="U9" i="17" s="1"/>
  <c r="T8" i="17"/>
  <c r="U8" i="17" s="1"/>
  <c r="T7" i="17"/>
  <c r="U7" i="17" s="1"/>
  <c r="T6" i="17"/>
  <c r="U6" i="17" s="1"/>
  <c r="K15" i="17"/>
  <c r="K16" i="17"/>
  <c r="K17" i="17"/>
  <c r="K18" i="17"/>
  <c r="K14" i="17"/>
  <c r="J18" i="17"/>
  <c r="J15" i="17"/>
  <c r="J16" i="17"/>
  <c r="J17" i="17"/>
  <c r="J14" i="17"/>
  <c r="I18" i="17"/>
  <c r="I15" i="17"/>
  <c r="I16" i="17"/>
  <c r="I17" i="17"/>
  <c r="I14" i="17"/>
  <c r="N18" i="3"/>
  <c r="O18" i="3" s="1"/>
  <c r="M18" i="3"/>
  <c r="P18" i="3" s="1"/>
  <c r="L18" i="3"/>
  <c r="T17" i="3"/>
  <c r="N17" i="3"/>
  <c r="P17" i="3" s="1"/>
  <c r="Q17" i="3" s="1"/>
  <c r="M17" i="3"/>
  <c r="L17" i="3"/>
  <c r="T16" i="3"/>
  <c r="N16" i="3"/>
  <c r="O16" i="3" s="1"/>
  <c r="M16" i="3"/>
  <c r="P16" i="3" s="1"/>
  <c r="Q16" i="3" s="1"/>
  <c r="L16" i="3"/>
  <c r="T15" i="3"/>
  <c r="N15" i="3"/>
  <c r="O15" i="3" s="1"/>
  <c r="M15" i="3"/>
  <c r="P15" i="3" s="1"/>
  <c r="Q15" i="3" s="1"/>
  <c r="L15" i="3"/>
  <c r="T14" i="3"/>
  <c r="N14" i="3"/>
  <c r="O14" i="3" s="1"/>
  <c r="M14" i="3"/>
  <c r="P14" i="3" s="1"/>
  <c r="Q14" i="3" s="1"/>
  <c r="L14" i="3"/>
  <c r="T12" i="3"/>
  <c r="U12" i="3" s="1"/>
  <c r="T11" i="3"/>
  <c r="U11" i="3" s="1"/>
  <c r="T10" i="3"/>
  <c r="U10" i="3" s="1"/>
  <c r="T9" i="3"/>
  <c r="U9" i="3" s="1"/>
  <c r="T8" i="3"/>
  <c r="U8" i="3" s="1"/>
  <c r="T7" i="3"/>
  <c r="U7" i="3" s="1"/>
  <c r="T6" i="3"/>
  <c r="U6" i="3" s="1"/>
  <c r="T5" i="3"/>
  <c r="U5" i="3" s="1"/>
  <c r="K18" i="3"/>
  <c r="K15" i="3"/>
  <c r="K16" i="3"/>
  <c r="K17" i="3"/>
  <c r="K14" i="3"/>
  <c r="J18" i="3"/>
  <c r="J15" i="3"/>
  <c r="J16" i="3"/>
  <c r="J17" i="3"/>
  <c r="J14" i="3"/>
  <c r="I18" i="3"/>
  <c r="I15" i="3"/>
  <c r="I16" i="3"/>
  <c r="I17" i="3"/>
  <c r="I14" i="3"/>
  <c r="Q17" i="13"/>
  <c r="Q16" i="13"/>
  <c r="Q15" i="13"/>
  <c r="Q14" i="13"/>
  <c r="P14" i="13"/>
  <c r="O14" i="13"/>
  <c r="N15" i="13"/>
  <c r="N16" i="13"/>
  <c r="P16" i="13" s="1"/>
  <c r="N17" i="13"/>
  <c r="N18" i="13"/>
  <c r="N14" i="13"/>
  <c r="M15" i="13"/>
  <c r="M16" i="13"/>
  <c r="M17" i="13"/>
  <c r="M18" i="13"/>
  <c r="M14" i="13"/>
  <c r="O18" i="13"/>
  <c r="S18" i="13" s="1"/>
  <c r="P18" i="13"/>
  <c r="L18" i="13"/>
  <c r="P17" i="13"/>
  <c r="O16" i="13"/>
  <c r="S15" i="13" s="1"/>
  <c r="O15" i="13"/>
  <c r="R14" i="13" s="1"/>
  <c r="P15" i="13"/>
  <c r="I18" i="13"/>
  <c r="I15" i="13"/>
  <c r="I16" i="13"/>
  <c r="I17" i="13"/>
  <c r="I14" i="13"/>
  <c r="J18" i="13"/>
  <c r="J15" i="13"/>
  <c r="J16" i="13"/>
  <c r="J17" i="13"/>
  <c r="J14" i="13"/>
  <c r="K15" i="13"/>
  <c r="K16" i="13"/>
  <c r="K17" i="13"/>
  <c r="K18" i="13"/>
  <c r="K14" i="13"/>
  <c r="L17" i="11"/>
  <c r="K15" i="11"/>
  <c r="K16" i="11"/>
  <c r="K17" i="11"/>
  <c r="K18" i="11"/>
  <c r="K14" i="11"/>
  <c r="I18" i="11"/>
  <c r="I15" i="11"/>
  <c r="I16" i="11"/>
  <c r="I17" i="11"/>
  <c r="K15" i="7"/>
  <c r="K16" i="7"/>
  <c r="K17" i="7"/>
  <c r="K18" i="7"/>
  <c r="K14" i="7"/>
  <c r="O70" i="21"/>
  <c r="O69" i="21"/>
  <c r="O68" i="21"/>
  <c r="S14" i="13" l="1"/>
  <c r="F14" i="7"/>
  <c r="R18" i="13"/>
  <c r="U18" i="13" s="1"/>
  <c r="V18" i="13" s="1"/>
  <c r="Q16" i="17"/>
  <c r="P14" i="17"/>
  <c r="Q14" i="17" s="1"/>
  <c r="S14" i="17" s="1"/>
  <c r="R15" i="17"/>
  <c r="U15" i="17" s="1"/>
  <c r="V15" i="17" s="1"/>
  <c r="S15" i="17"/>
  <c r="S16" i="17"/>
  <c r="R16" i="17"/>
  <c r="U16" i="17" s="1"/>
  <c r="V16" i="17" s="1"/>
  <c r="R18" i="17"/>
  <c r="U18" i="17" s="1"/>
  <c r="V18" i="17" s="1"/>
  <c r="S18" i="17"/>
  <c r="P17" i="17"/>
  <c r="Q17" i="17" s="1"/>
  <c r="S14" i="3"/>
  <c r="R14" i="3"/>
  <c r="U14" i="3" s="1"/>
  <c r="V14" i="3" s="1"/>
  <c r="S15" i="3"/>
  <c r="R15" i="3"/>
  <c r="U15" i="3" s="1"/>
  <c r="V15" i="3" s="1"/>
  <c r="R18" i="3"/>
  <c r="U18" i="3" s="1"/>
  <c r="V18" i="3" s="1"/>
  <c r="S18" i="3"/>
  <c r="O17" i="3"/>
  <c r="S16" i="3" s="1"/>
  <c r="R15" i="13"/>
  <c r="O17" i="13"/>
  <c r="S16" i="13" s="1"/>
  <c r="J18" i="7"/>
  <c r="J15" i="7"/>
  <c r="J16" i="7"/>
  <c r="J17" i="7"/>
  <c r="J14" i="7"/>
  <c r="I18" i="7"/>
  <c r="I15" i="7"/>
  <c r="I16" i="7"/>
  <c r="I17" i="7"/>
  <c r="I14" i="7"/>
  <c r="O59" i="21"/>
  <c r="O58" i="21"/>
  <c r="O57" i="21"/>
  <c r="O56" i="21"/>
  <c r="O54" i="21"/>
  <c r="O53" i="21"/>
  <c r="O52" i="21"/>
  <c r="O51" i="21"/>
  <c r="O49" i="21"/>
  <c r="O48" i="21"/>
  <c r="O47" i="21"/>
  <c r="O46" i="21"/>
  <c r="O39" i="21"/>
  <c r="O38" i="21"/>
  <c r="O37" i="21"/>
  <c r="O36" i="21"/>
  <c r="O26" i="21"/>
  <c r="O27" i="21"/>
  <c r="O28" i="21"/>
  <c r="O25" i="21"/>
  <c r="O16" i="21"/>
  <c r="O17" i="21"/>
  <c r="O18" i="21"/>
  <c r="O15" i="21"/>
  <c r="O20" i="21"/>
  <c r="O21" i="21"/>
  <c r="O22" i="21"/>
  <c r="O23" i="21"/>
  <c r="O10" i="21"/>
  <c r="O6" i="21"/>
  <c r="O7" i="21"/>
  <c r="O8" i="21"/>
  <c r="O5" i="21"/>
  <c r="O11" i="21"/>
  <c r="O12" i="21"/>
  <c r="O13" i="21"/>
  <c r="R16" i="13" l="1"/>
  <c r="R17" i="13"/>
  <c r="S17" i="13"/>
  <c r="Y8" i="6"/>
  <c r="AA8" i="6" s="1"/>
  <c r="Y9" i="6"/>
  <c r="AA9" i="6" s="1"/>
  <c r="Y11" i="6"/>
  <c r="AA11" i="6" s="1"/>
  <c r="Y12" i="6"/>
  <c r="AA12" i="6" s="1"/>
  <c r="Y10" i="6"/>
  <c r="AA10" i="6" s="1"/>
  <c r="Y5" i="6"/>
  <c r="AA5" i="6" s="1"/>
  <c r="Y6" i="6"/>
  <c r="AA6" i="6" s="1"/>
  <c r="Y7" i="6"/>
  <c r="AA7" i="6" s="1"/>
  <c r="F17" i="7"/>
  <c r="F18" i="7"/>
  <c r="F16" i="7"/>
  <c r="F15" i="7"/>
  <c r="R14" i="17"/>
  <c r="U14" i="17" s="1"/>
  <c r="V14" i="17" s="1"/>
  <c r="S17" i="17"/>
  <c r="R17" i="17"/>
  <c r="U17" i="17" s="1"/>
  <c r="V17" i="17" s="1"/>
  <c r="R17" i="3"/>
  <c r="U17" i="3" s="1"/>
  <c r="V17" i="3" s="1"/>
  <c r="S17" i="3"/>
  <c r="R16" i="3"/>
  <c r="U16" i="3" s="1"/>
  <c r="V16" i="3" s="1"/>
  <c r="G30" i="16"/>
  <c r="D14" i="17"/>
  <c r="E14" i="17"/>
  <c r="C14" i="17"/>
  <c r="C13" i="17"/>
  <c r="C12" i="17"/>
  <c r="C10" i="17"/>
  <c r="C11" i="17"/>
  <c r="C9" i="17"/>
  <c r="C8" i="17"/>
  <c r="C7" i="17"/>
  <c r="C6" i="17"/>
  <c r="C5" i="17"/>
  <c r="C4" i="17"/>
  <c r="B18" i="17"/>
  <c r="B17" i="17"/>
  <c r="B16" i="17"/>
  <c r="B15" i="17"/>
  <c r="B14" i="17"/>
  <c r="B13" i="17"/>
  <c r="B12" i="17"/>
  <c r="B11" i="17"/>
  <c r="B10" i="17"/>
  <c r="B9" i="17"/>
  <c r="B8" i="17"/>
  <c r="B7" i="17"/>
  <c r="B6" i="17"/>
  <c r="B5" i="17"/>
  <c r="B4" i="17"/>
  <c r="F13" i="7" l="1"/>
  <c r="AF6" i="6"/>
  <c r="AE6" i="6"/>
  <c r="D18" i="17"/>
  <c r="E18" i="17" s="1"/>
  <c r="D17" i="17" l="1"/>
  <c r="C18" i="17"/>
  <c r="J9" i="20"/>
  <c r="G5" i="20"/>
  <c r="F6" i="20"/>
  <c r="F7" i="20"/>
  <c r="F8" i="20"/>
  <c r="F9" i="20"/>
  <c r="F5" i="20"/>
  <c r="AF5" i="20"/>
  <c r="V23" i="20"/>
  <c r="V14" i="20"/>
  <c r="V5" i="20"/>
  <c r="AF32" i="20"/>
  <c r="AF23" i="20"/>
  <c r="F13" i="24"/>
  <c r="E13" i="24"/>
  <c r="D13" i="24"/>
  <c r="C13" i="24"/>
  <c r="F11" i="24"/>
  <c r="E11" i="24"/>
  <c r="D11" i="24"/>
  <c r="C11" i="24"/>
  <c r="F9" i="24"/>
  <c r="E9" i="24"/>
  <c r="D9" i="24"/>
  <c r="C9" i="24"/>
  <c r="F7" i="24"/>
  <c r="E7" i="24"/>
  <c r="D7" i="24"/>
  <c r="C7" i="24"/>
  <c r="F5" i="24"/>
  <c r="E5" i="24"/>
  <c r="D5" i="24"/>
  <c r="C5" i="24"/>
  <c r="T17" i="11"/>
  <c r="T16" i="11"/>
  <c r="G16" i="11"/>
  <c r="L16" i="11" s="1"/>
  <c r="D16" i="11"/>
  <c r="M16" i="11" s="1"/>
  <c r="D17" i="11"/>
  <c r="M17" i="11" s="1"/>
  <c r="E17" i="17" l="1"/>
  <c r="C17" i="17"/>
  <c r="D16" i="17"/>
  <c r="T15" i="7"/>
  <c r="E16" i="17" l="1"/>
  <c r="C16" i="17"/>
  <c r="D15" i="17"/>
  <c r="F17" i="17"/>
  <c r="F16" i="17"/>
  <c r="G16" i="17" s="1"/>
  <c r="F12" i="17"/>
  <c r="F10" i="17"/>
  <c r="F11" i="17"/>
  <c r="F9" i="17"/>
  <c r="F8" i="17"/>
  <c r="F7" i="17"/>
  <c r="B4" i="3"/>
  <c r="G17" i="3"/>
  <c r="Q5" i="12"/>
  <c r="Q6" i="12" s="1"/>
  <c r="Q7" i="12" s="1"/>
  <c r="Q8" i="12" s="1"/>
  <c r="Q9" i="12" s="1"/>
  <c r="Q10" i="12" s="1"/>
  <c r="Q11" i="12" s="1"/>
  <c r="B17" i="3"/>
  <c r="B16" i="3"/>
  <c r="B10" i="3"/>
  <c r="B11" i="3"/>
  <c r="B12" i="3"/>
  <c r="B13" i="3"/>
  <c r="F17" i="3"/>
  <c r="F10" i="3"/>
  <c r="F11" i="3"/>
  <c r="F12" i="3"/>
  <c r="F9" i="3"/>
  <c r="F8" i="3"/>
  <c r="F7" i="3"/>
  <c r="F6" i="3"/>
  <c r="F5" i="3"/>
  <c r="N7" i="12"/>
  <c r="P7" i="12" s="1"/>
  <c r="P8" i="12"/>
  <c r="B9" i="3"/>
  <c r="L5" i="12"/>
  <c r="L6" i="12"/>
  <c r="B5" i="3" s="1"/>
  <c r="L7" i="12"/>
  <c r="B8" i="3" s="1"/>
  <c r="B6" i="13"/>
  <c r="B5" i="13"/>
  <c r="B4" i="13"/>
  <c r="B7" i="13"/>
  <c r="B8" i="13"/>
  <c r="B9" i="13"/>
  <c r="B10" i="13"/>
  <c r="B11" i="13"/>
  <c r="B12" i="13"/>
  <c r="B13" i="13"/>
  <c r="C14" i="13"/>
  <c r="C15" i="13"/>
  <c r="C16" i="13"/>
  <c r="C17" i="13"/>
  <c r="C13" i="13"/>
  <c r="C4" i="13"/>
  <c r="C5" i="13"/>
  <c r="C6" i="13"/>
  <c r="C7" i="13"/>
  <c r="C8" i="13"/>
  <c r="C9" i="13"/>
  <c r="C10" i="13"/>
  <c r="C11" i="13"/>
  <c r="C12" i="13"/>
  <c r="C18" i="13"/>
  <c r="G17" i="13"/>
  <c r="G16" i="13"/>
  <c r="B17" i="13"/>
  <c r="B16" i="13"/>
  <c r="D17" i="13"/>
  <c r="D16" i="13"/>
  <c r="F17" i="13"/>
  <c r="T17" i="13" s="1"/>
  <c r="F16" i="13"/>
  <c r="T16" i="13" s="1"/>
  <c r="E17" i="13"/>
  <c r="F10" i="13"/>
  <c r="T10" i="13" s="1"/>
  <c r="U10" i="13" s="1"/>
  <c r="F11" i="13"/>
  <c r="T11" i="13" s="1"/>
  <c r="U11" i="13" s="1"/>
  <c r="F12" i="13"/>
  <c r="T12" i="13" s="1"/>
  <c r="U12" i="13" s="1"/>
  <c r="F9" i="13"/>
  <c r="T9" i="13" s="1"/>
  <c r="U9" i="13" s="1"/>
  <c r="F8" i="13"/>
  <c r="T8" i="13" s="1"/>
  <c r="U8" i="13" s="1"/>
  <c r="F6" i="13"/>
  <c r="T6" i="13" s="1"/>
  <c r="U6" i="13" s="1"/>
  <c r="F7" i="13"/>
  <c r="T7" i="13" s="1"/>
  <c r="U7" i="13" s="1"/>
  <c r="F5" i="13"/>
  <c r="T5" i="13" s="1"/>
  <c r="U5" i="13" s="1"/>
  <c r="AF14" i="20"/>
  <c r="E7" i="20"/>
  <c r="E8" i="20"/>
  <c r="G8" i="20" s="1"/>
  <c r="E9" i="20"/>
  <c r="G9" i="20" s="1"/>
  <c r="E6" i="20"/>
  <c r="G6" i="20" s="1"/>
  <c r="B18" i="11"/>
  <c r="H6" i="20" s="1"/>
  <c r="B17" i="11"/>
  <c r="D14" i="11"/>
  <c r="M14" i="11" s="1"/>
  <c r="E17" i="11"/>
  <c r="N17" i="11" s="1"/>
  <c r="E16" i="11"/>
  <c r="N16" i="11" s="1"/>
  <c r="E15" i="11"/>
  <c r="E14" i="11"/>
  <c r="D15" i="11"/>
  <c r="M15" i="11" s="1"/>
  <c r="B4" i="11"/>
  <c r="B5" i="11"/>
  <c r="B6" i="11"/>
  <c r="B7" i="11"/>
  <c r="B8" i="11"/>
  <c r="B9" i="11"/>
  <c r="B10" i="11"/>
  <c r="B11" i="11"/>
  <c r="B12" i="11"/>
  <c r="B13" i="11"/>
  <c r="B14" i="11"/>
  <c r="B15" i="11"/>
  <c r="B16" i="11"/>
  <c r="C17" i="11"/>
  <c r="C16" i="11"/>
  <c r="C15" i="11"/>
  <c r="C14" i="11"/>
  <c r="C12" i="11"/>
  <c r="C13" i="11"/>
  <c r="C11" i="11"/>
  <c r="C10" i="11"/>
  <c r="C9" i="11"/>
  <c r="C8" i="11"/>
  <c r="C7" i="11"/>
  <c r="C6" i="11"/>
  <c r="B13" i="7"/>
  <c r="B5" i="7"/>
  <c r="B6" i="7"/>
  <c r="B7" i="7"/>
  <c r="B8" i="7"/>
  <c r="B9" i="7"/>
  <c r="B10" i="7"/>
  <c r="B11" i="7"/>
  <c r="B12" i="7"/>
  <c r="B4" i="7"/>
  <c r="C18" i="7"/>
  <c r="C15" i="7"/>
  <c r="C16" i="7"/>
  <c r="C17" i="7"/>
  <c r="C14" i="7"/>
  <c r="C13" i="7"/>
  <c r="C5" i="7"/>
  <c r="C6" i="7"/>
  <c r="C7" i="7"/>
  <c r="C8" i="7"/>
  <c r="C9" i="7"/>
  <c r="C10" i="7"/>
  <c r="C11" i="7"/>
  <c r="C12" i="7"/>
  <c r="C4" i="7"/>
  <c r="C5" i="11"/>
  <c r="C4" i="11"/>
  <c r="F16" i="10"/>
  <c r="D10" i="10" s="1"/>
  <c r="J10" i="10" s="1"/>
  <c r="G14" i="11"/>
  <c r="L14" i="11" s="1"/>
  <c r="G15" i="11"/>
  <c r="L15" i="11" s="1"/>
  <c r="T15" i="11"/>
  <c r="T14" i="11"/>
  <c r="T13" i="11"/>
  <c r="U13" i="11" s="1"/>
  <c r="T12" i="11"/>
  <c r="U12" i="11" s="1"/>
  <c r="T11" i="11"/>
  <c r="U11" i="11" s="1"/>
  <c r="T10" i="11"/>
  <c r="U10" i="11" s="1"/>
  <c r="T9" i="11"/>
  <c r="U9" i="11" s="1"/>
  <c r="T8" i="11"/>
  <c r="U8" i="11" s="1"/>
  <c r="T7" i="11"/>
  <c r="U7" i="11" s="1"/>
  <c r="T6" i="11"/>
  <c r="U6" i="11" s="1"/>
  <c r="T5" i="11"/>
  <c r="U5" i="11" s="1"/>
  <c r="N14" i="11" l="1"/>
  <c r="O14" i="11" s="1"/>
  <c r="N15" i="11"/>
  <c r="O15" i="11" s="1"/>
  <c r="P14" i="11"/>
  <c r="Q14" i="11" s="1"/>
  <c r="O16" i="11"/>
  <c r="P16" i="11"/>
  <c r="Q16" i="11" s="1"/>
  <c r="O17" i="11"/>
  <c r="P17" i="11"/>
  <c r="P15" i="11"/>
  <c r="Q15" i="11" s="1"/>
  <c r="L16" i="13"/>
  <c r="U16" i="13"/>
  <c r="V16" i="13" s="1"/>
  <c r="L17" i="13"/>
  <c r="U17" i="13"/>
  <c r="V17" i="13" s="1"/>
  <c r="E10" i="10"/>
  <c r="D18" i="11"/>
  <c r="M18" i="11" s="1"/>
  <c r="F10" i="10"/>
  <c r="F18" i="11" s="1"/>
  <c r="I10" i="10"/>
  <c r="G10" i="10"/>
  <c r="G18" i="11" s="1"/>
  <c r="L18" i="11" s="1"/>
  <c r="H10" i="10"/>
  <c r="I6" i="20"/>
  <c r="E15" i="17"/>
  <c r="C15" i="17"/>
  <c r="G17" i="17"/>
  <c r="G7" i="20"/>
  <c r="C6" i="3"/>
  <c r="C11" i="3"/>
  <c r="C5" i="3"/>
  <c r="C7" i="3"/>
  <c r="Q12" i="12"/>
  <c r="C12" i="3" s="1"/>
  <c r="C8" i="3"/>
  <c r="C9" i="3"/>
  <c r="C10" i="3"/>
  <c r="C4" i="3"/>
  <c r="N6" i="12"/>
  <c r="B7" i="3"/>
  <c r="B6" i="3"/>
  <c r="C18" i="11"/>
  <c r="S14" i="11" l="1"/>
  <c r="R15" i="11"/>
  <c r="U15" i="11" s="1"/>
  <c r="V15" i="11" s="1"/>
  <c r="S15" i="11"/>
  <c r="S16" i="11"/>
  <c r="R16" i="11"/>
  <c r="U16" i="11" s="1"/>
  <c r="V16" i="11" s="1"/>
  <c r="R14" i="11"/>
  <c r="U14" i="11" s="1"/>
  <c r="V14" i="11" s="1"/>
  <c r="Q13" i="12"/>
  <c r="Q14" i="12" s="1"/>
  <c r="P9" i="12"/>
  <c r="N10" i="12"/>
  <c r="P10" i="12" s="1"/>
  <c r="P6" i="12"/>
  <c r="N5" i="12"/>
  <c r="P5" i="12" s="1"/>
  <c r="T17" i="7"/>
  <c r="B17" i="7"/>
  <c r="D17" i="7"/>
  <c r="M17" i="7" s="1"/>
  <c r="E17" i="7"/>
  <c r="N17" i="7" s="1"/>
  <c r="O17" i="7" s="1"/>
  <c r="D16" i="7"/>
  <c r="M16" i="7" s="1"/>
  <c r="B16" i="7"/>
  <c r="T10" i="7"/>
  <c r="U10" i="7" s="1"/>
  <c r="T11" i="7"/>
  <c r="U11" i="7" s="1"/>
  <c r="T12" i="7"/>
  <c r="U12" i="7" s="1"/>
  <c r="T6" i="7"/>
  <c r="U6" i="7" s="1"/>
  <c r="T7" i="7"/>
  <c r="U7" i="7" s="1"/>
  <c r="T8" i="7"/>
  <c r="U8" i="7" s="1"/>
  <c r="T9" i="7"/>
  <c r="T5" i="7"/>
  <c r="U5" i="7" s="1"/>
  <c r="E18" i="11"/>
  <c r="N18" i="11" s="1"/>
  <c r="B14" i="7"/>
  <c r="O11" i="12"/>
  <c r="P11" i="12"/>
  <c r="O12" i="12"/>
  <c r="P12" i="12"/>
  <c r="O13" i="12"/>
  <c r="P13" i="12"/>
  <c r="O14" i="12"/>
  <c r="E14" i="3" s="1"/>
  <c r="P14" i="12"/>
  <c r="O15" i="12"/>
  <c r="E15" i="3" s="1"/>
  <c r="P15" i="12"/>
  <c r="O16" i="12"/>
  <c r="E16" i="3" s="1"/>
  <c r="P16" i="12"/>
  <c r="D16" i="3" s="1"/>
  <c r="O17" i="12"/>
  <c r="E17" i="3" s="1"/>
  <c r="P17" i="12"/>
  <c r="D17" i="3" s="1"/>
  <c r="O18" i="12"/>
  <c r="E18" i="3" s="1"/>
  <c r="P18" i="12"/>
  <c r="D18" i="3" s="1"/>
  <c r="O8" i="12"/>
  <c r="B18" i="3"/>
  <c r="P17" i="7" l="1"/>
  <c r="J6" i="20"/>
  <c r="K6" i="20" s="1"/>
  <c r="L6" i="20" s="1"/>
  <c r="J8" i="20"/>
  <c r="F13" i="3"/>
  <c r="T13" i="3" s="1"/>
  <c r="U13" i="3" s="1"/>
  <c r="Q15" i="12"/>
  <c r="C14" i="3" s="1"/>
  <c r="C13" i="3"/>
  <c r="D15" i="3"/>
  <c r="D14" i="3"/>
  <c r="G14" i="17"/>
  <c r="G14" i="3"/>
  <c r="O18" i="11" l="1"/>
  <c r="S18" i="11" s="1"/>
  <c r="Q17" i="11"/>
  <c r="S17" i="11" s="1"/>
  <c r="P18" i="11"/>
  <c r="K8" i="20"/>
  <c r="L8" i="20" s="1"/>
  <c r="Q16" i="12"/>
  <c r="C15" i="3" s="1"/>
  <c r="B15" i="3"/>
  <c r="B14" i="3"/>
  <c r="G14" i="13"/>
  <c r="E18" i="13"/>
  <c r="E15" i="13"/>
  <c r="E16" i="13"/>
  <c r="E14" i="13"/>
  <c r="D18" i="13"/>
  <c r="D15" i="13"/>
  <c r="D14" i="13"/>
  <c r="B18" i="13"/>
  <c r="B15" i="13"/>
  <c r="B14" i="13"/>
  <c r="M14" i="7"/>
  <c r="D15" i="7"/>
  <c r="M15" i="7" s="1"/>
  <c r="D18" i="7"/>
  <c r="M18" i="7" s="1"/>
  <c r="T14" i="7"/>
  <c r="E14" i="7"/>
  <c r="N14" i="7" s="1"/>
  <c r="O14" i="7" s="1"/>
  <c r="E15" i="7"/>
  <c r="N15" i="7" s="1"/>
  <c r="O15" i="7" s="1"/>
  <c r="B15" i="7"/>
  <c r="B18" i="7"/>
  <c r="H5" i="20" s="1"/>
  <c r="E16" i="7"/>
  <c r="N16" i="7" s="1"/>
  <c r="E18" i="7"/>
  <c r="N18" i="7" s="1"/>
  <c r="I5" i="20" l="1"/>
  <c r="P18" i="7"/>
  <c r="L14" i="13"/>
  <c r="R17" i="11"/>
  <c r="U17" i="11" s="1"/>
  <c r="V17" i="11" s="1"/>
  <c r="R18" i="11"/>
  <c r="U18" i="11" s="1"/>
  <c r="V18" i="11" s="1"/>
  <c r="O16" i="7"/>
  <c r="P16" i="7"/>
  <c r="Q16" i="7" s="1"/>
  <c r="O18" i="7"/>
  <c r="Q17" i="7"/>
  <c r="S17" i="7" s="1"/>
  <c r="P15" i="7"/>
  <c r="Q15" i="7" s="1"/>
  <c r="P14" i="7"/>
  <c r="Q14" i="7" s="1"/>
  <c r="S14" i="7" s="1"/>
  <c r="J7" i="20"/>
  <c r="J5" i="20"/>
  <c r="Q17" i="12"/>
  <c r="C16" i="3" s="1"/>
  <c r="K9" i="20"/>
  <c r="L9" i="20" s="1"/>
  <c r="S19" i="3"/>
  <c r="S15" i="7" l="1"/>
  <c r="S18" i="7"/>
  <c r="R18" i="7"/>
  <c r="V19" i="11"/>
  <c r="T22" i="11" s="1"/>
  <c r="S19" i="11"/>
  <c r="R14" i="7"/>
  <c r="U14" i="7" s="1"/>
  <c r="V14" i="7" s="1"/>
  <c r="R16" i="7"/>
  <c r="U16" i="7" s="1"/>
  <c r="S16" i="7"/>
  <c r="K7" i="20"/>
  <c r="L7" i="20" s="1"/>
  <c r="K5" i="20"/>
  <c r="L5" i="20" s="1"/>
  <c r="S19" i="13"/>
  <c r="Q18" i="12"/>
  <c r="C18" i="3" s="1"/>
  <c r="R15" i="7"/>
  <c r="U15" i="7" s="1"/>
  <c r="V15" i="7" s="1"/>
  <c r="R17" i="7"/>
  <c r="U17" i="7" s="1"/>
  <c r="V17" i="7" s="1"/>
  <c r="G15" i="17"/>
  <c r="F18" i="17"/>
  <c r="F14" i="17"/>
  <c r="F15" i="17"/>
  <c r="F13" i="17"/>
  <c r="F6" i="17"/>
  <c r="G18" i="17" l="1"/>
  <c r="C17" i="3"/>
  <c r="S19" i="7"/>
  <c r="G15" i="3"/>
  <c r="G15" i="13"/>
  <c r="G18" i="3"/>
  <c r="G16" i="3"/>
  <c r="F18" i="3"/>
  <c r="F16" i="3"/>
  <c r="F15" i="3"/>
  <c r="F14" i="3"/>
  <c r="F18" i="13"/>
  <c r="F13" i="13"/>
  <c r="T13" i="13" s="1"/>
  <c r="U13" i="13" s="1"/>
  <c r="F15" i="13"/>
  <c r="T15" i="13" s="1"/>
  <c r="F14" i="13"/>
  <c r="T14" i="13" l="1"/>
  <c r="U14" i="13"/>
  <c r="V14" i="13" s="1"/>
  <c r="L15" i="13"/>
  <c r="U15" i="13"/>
  <c r="V15" i="13" s="1"/>
  <c r="U18" i="7"/>
  <c r="V18" i="7" s="1"/>
  <c r="S19" i="17"/>
  <c r="T16" i="7"/>
  <c r="V16" i="7" s="1"/>
  <c r="T13" i="7"/>
  <c r="U13" i="7" s="1"/>
  <c r="U9" i="7"/>
  <c r="V19" i="3" l="1"/>
  <c r="T22" i="3" s="1"/>
  <c r="V19" i="13"/>
  <c r="T22" i="13" s="1"/>
  <c r="V19" i="17"/>
  <c r="T22" i="17" s="1"/>
  <c r="V19" i="7" l="1"/>
  <c r="T22" i="7" s="1"/>
</calcChain>
</file>

<file path=xl/sharedStrings.xml><?xml version="1.0" encoding="utf-8"?>
<sst xmlns="http://schemas.openxmlformats.org/spreadsheetml/2006/main" count="935" uniqueCount="497">
  <si>
    <t>P50-60</t>
  </si>
  <si>
    <t>P60-70</t>
  </si>
  <si>
    <t>P70-80</t>
  </si>
  <si>
    <t>P80-90</t>
  </si>
  <si>
    <t>P99-99.9</t>
  </si>
  <si>
    <t>p</t>
  </si>
  <si>
    <t>Total tax rates by pre-tax income groups (% of pre-tax income)</t>
  </si>
  <si>
    <t>Group</t>
  </si>
  <si>
    <t>P99.99-P99.999</t>
  </si>
  <si>
    <t>P99.999-P99.9999</t>
  </si>
  <si>
    <t>Percentile</t>
  </si>
  <si>
    <t>Payroll Taxes</t>
  </si>
  <si>
    <t>Consumption Taxes</t>
  </si>
  <si>
    <t>Corporate Income Tax</t>
  </si>
  <si>
    <t>Total Tax Rate</t>
  </si>
  <si>
    <t>Taxes on Personal Income &amp; Wealth</t>
  </si>
  <si>
    <t>Income threshold</t>
  </si>
  <si>
    <t>Average income</t>
  </si>
  <si>
    <t>P0-P10</t>
  </si>
  <si>
    <t>P10-P20</t>
  </si>
  <si>
    <t>P20-P30</t>
  </si>
  <si>
    <t>P30-P40</t>
  </si>
  <si>
    <t>P40-P50</t>
  </si>
  <si>
    <t>P50-P60</t>
  </si>
  <si>
    <t>P60-P70</t>
  </si>
  <si>
    <t>P70-P80</t>
  </si>
  <si>
    <t>P80-P90</t>
  </si>
  <si>
    <t>P90-P99</t>
  </si>
  <si>
    <t>P99-P99.9</t>
  </si>
  <si>
    <t>P99.9-P99.99</t>
  </si>
  <si>
    <t>P99.9999-P100</t>
  </si>
  <si>
    <t>Number of adults</t>
  </si>
  <si>
    <t>Income share (%)</t>
  </si>
  <si>
    <t>Full population</t>
  </si>
  <si>
    <t>Bottom 50%</t>
  </si>
  <si>
    <t>Middle 40%</t>
  </si>
  <si>
    <t>Top 10%</t>
  </si>
  <si>
    <t>Top 1%</t>
  </si>
  <si>
    <t>Top 0.1%</t>
  </si>
  <si>
    <t>Top 0.01%</t>
  </si>
  <si>
    <t>Top 0.001%</t>
  </si>
  <si>
    <t>Top 0.0001%</t>
  </si>
  <si>
    <t>Distribution of pre-tax national income</t>
  </si>
  <si>
    <t>Tax rates by pre-tax income groups (% of pre-tax income)</t>
  </si>
  <si>
    <t>Personal Income Tax</t>
  </si>
  <si>
    <t>Wealth Tax</t>
  </si>
  <si>
    <t>Flat-rate withholding tax</t>
  </si>
  <si>
    <t>CIT</t>
  </si>
  <si>
    <t>CIT (foreing)</t>
  </si>
  <si>
    <t>CIT (domestic)</t>
  </si>
  <si>
    <t>Total</t>
  </si>
  <si>
    <t>Indirect taxes</t>
  </si>
  <si>
    <t>Personal Income Taxes</t>
  </si>
  <si>
    <t>P99</t>
  </si>
  <si>
    <t>Total tax rate</t>
  </si>
  <si>
    <t>Individual tax rate</t>
  </si>
  <si>
    <t>N</t>
  </si>
  <si>
    <t>Threshold</t>
  </si>
  <si>
    <t>Rate</t>
  </si>
  <si>
    <t>Income / Wealth Ratio</t>
  </si>
  <si>
    <t>Reform Parameters</t>
  </si>
  <si>
    <t>Estate tax</t>
  </si>
  <si>
    <t>Top 0,0002% (top 400)</t>
  </si>
  <si>
    <t xml:space="preserve">Number of tax units </t>
  </si>
  <si>
    <t>Average Income</t>
  </si>
  <si>
    <t>Individual income and payroll taxes</t>
  </si>
  <si>
    <t>Corporate income taxes</t>
  </si>
  <si>
    <t>Other taxes (property, sales</t>
  </si>
  <si>
    <t>P10-P30</t>
  </si>
  <si>
    <t>P90-P95</t>
  </si>
  <si>
    <t>P95-P99</t>
  </si>
  <si>
    <t>SSC</t>
  </si>
  <si>
    <t>Business Income Taxes</t>
  </si>
  <si>
    <t>Property Taxes</t>
  </si>
  <si>
    <t>Other</t>
  </si>
  <si>
    <t>DATA SOURCES</t>
  </si>
  <si>
    <t>P0</t>
  </si>
  <si>
    <t>P10</t>
  </si>
  <si>
    <t>P20</t>
  </si>
  <si>
    <t>P30</t>
  </si>
  <si>
    <t>P40</t>
  </si>
  <si>
    <t>P50</t>
  </si>
  <si>
    <t>P60</t>
  </si>
  <si>
    <t>P70</t>
  </si>
  <si>
    <t>P80</t>
  </si>
  <si>
    <t>P90</t>
  </si>
  <si>
    <t>P95</t>
  </si>
  <si>
    <t>P99.9</t>
  </si>
  <si>
    <t>P99.99</t>
  </si>
  <si>
    <t>P99.999</t>
  </si>
  <si>
    <t>P99.9998</t>
  </si>
  <si>
    <t>Number of households above</t>
  </si>
  <si>
    <t>Mean income above</t>
  </si>
  <si>
    <t>Income share</t>
  </si>
  <si>
    <t>Distribution of pre-tax income</t>
  </si>
  <si>
    <t>Fractile</t>
  </si>
  <si>
    <t>P99.9999</t>
  </si>
  <si>
    <t>Source: Palomo et al. (2025), Figure 10: Effective Tax Rate by Income Groups, All Taxes. The unit of analysis is the individual adult and income is split equally among the adult members of a household. Adults are ranked by their pre-tax national income. Estimates are for year 2019. Values were eyeballed.</t>
  </si>
  <si>
    <t>Source: Bach et al. (2025), Table 1: Income distribution. Data is for year 2016.</t>
  </si>
  <si>
    <t xml:space="preserve">Source: Palomo et al. (2025). See formulas. </t>
  </si>
  <si>
    <t xml:space="preserve">Source: Bruil et al (2025). See formulas. </t>
  </si>
  <si>
    <t xml:space="preserve">METHOD AND ASSUMPTIONS </t>
  </si>
  <si>
    <t xml:space="preserve">The simulations of tax rates and tax revenues rely on: </t>
  </si>
  <si>
    <t xml:space="preserve">See the country-specific sheets for details of the simulation method applied from these data and assumptions. The method is the same for all the countries. </t>
  </si>
  <si>
    <t xml:space="preserve">See Data sources. All the articles follow the same methodology and provide country-specific results in a standardized way. </t>
  </si>
  <si>
    <t>P99.9-100</t>
  </si>
  <si>
    <t>Laurent Bach, Antoine Bozio, Arthur Guillouzouic, Clément Malgouyres (2025). Do Billionaires Pay Taxes?</t>
  </si>
  <si>
    <t>Theo Palomo, Davi Bhering, Thiago Scot, Pierre Bachas, Luciana Barcarolo, Celso Campos, Javier Feinmann, Leonardo Moreira, Gabriel Zucman (2025). Tax Progressivity and Inequality in Brazil: Evidence from Integrated Administrative Data.</t>
  </si>
  <si>
    <t>Arjan Bruil, Céline van Essen, Wouter Leenders, Arjan Lejour, Jan Möhlmann, Simon Rabaté (2025). Inequality and Redistribution in the Netherlands</t>
  </si>
  <si>
    <t>Income group</t>
  </si>
  <si>
    <t>Population</t>
  </si>
  <si>
    <t>P 0–25</t>
  </si>
  <si>
    <t>P 25–50</t>
  </si>
  <si>
    <t>P 50–60</t>
  </si>
  <si>
    <t>P 60–70</t>
  </si>
  <si>
    <t>P 70–80</t>
  </si>
  <si>
    <t>P 80–90</t>
  </si>
  <si>
    <t>Top 5%</t>
  </si>
  <si>
    <t>Source: Guzzardi et al. (2024), Table 4, Pre-tax National Income thresholds, averages, and shares in 2015, 18 years or older.</t>
  </si>
  <si>
    <t>P25-50</t>
  </si>
  <si>
    <t>P90-99</t>
  </si>
  <si>
    <t>Personal taxes</t>
  </si>
  <si>
    <t>Total taxes</t>
  </si>
  <si>
    <t xml:space="preserve">Source: Guzzardi et al. (2024) Figure 11, Tax rate by income percentiles, 2015 and Figure 12, Tax rate by top income percentiles, 2015. Values were eyeballed. </t>
  </si>
  <si>
    <t>Berlusconi</t>
  </si>
  <si>
    <t>The estimate for Berlusconi's tax rate is for year 2020.</t>
  </si>
  <si>
    <t>Assumptions</t>
  </si>
  <si>
    <t>Tax rate under reform</t>
  </si>
  <si>
    <t>Current tax rate</t>
  </si>
  <si>
    <t xml:space="preserve">Source: Palomo et al. (2025), Table A1: Descriptive Statistics of Fiscal and Economic Income. Data is for year 2019. </t>
  </si>
  <si>
    <r>
      <t xml:space="preserve">Data </t>
    </r>
    <r>
      <rPr>
        <sz val="11"/>
        <color theme="1"/>
        <rFont val="Calibri"/>
        <family val="2"/>
        <scheme val="minor"/>
      </rPr>
      <t>(2019)</t>
    </r>
  </si>
  <si>
    <r>
      <t>Simulations</t>
    </r>
    <r>
      <rPr>
        <sz val="11"/>
        <color theme="1"/>
        <rFont val="Calibri"/>
        <family val="2"/>
        <scheme val="minor"/>
      </rPr>
      <t xml:space="preserve"> (2025)</t>
    </r>
  </si>
  <si>
    <r>
      <t xml:space="preserve">Simulations </t>
    </r>
    <r>
      <rPr>
        <sz val="11"/>
        <color theme="1"/>
        <rFont val="Calibri"/>
        <family val="2"/>
        <scheme val="minor"/>
      </rPr>
      <t>(2025)</t>
    </r>
  </si>
  <si>
    <r>
      <t xml:space="preserve">Data </t>
    </r>
    <r>
      <rPr>
        <sz val="11"/>
        <color theme="1"/>
        <rFont val="Calibri"/>
        <family val="2"/>
        <scheme val="minor"/>
      </rPr>
      <t>(2016)</t>
    </r>
  </si>
  <si>
    <r>
      <t>Data</t>
    </r>
    <r>
      <rPr>
        <sz val="11"/>
        <color theme="1"/>
        <rFont val="Calibri"/>
        <family val="2"/>
        <scheme val="minor"/>
      </rPr>
      <t xml:space="preserve"> (2016)</t>
    </r>
  </si>
  <si>
    <r>
      <t xml:space="preserve">Data </t>
    </r>
    <r>
      <rPr>
        <sz val="11"/>
        <color theme="1"/>
        <rFont val="Calibri"/>
        <family val="2"/>
        <scheme val="minor"/>
      </rPr>
      <t>(2015)</t>
    </r>
  </si>
  <si>
    <t>Notes: The tax rate estimate for billionaires comes from one single observation (Silvio Berlusconi in 2020)</t>
  </si>
  <si>
    <t>Share of wealth exposed</t>
  </si>
  <si>
    <t xml:space="preserve">See SaezZucman2020JEPData.xlsx, sheet DataF1(Forbes). </t>
  </si>
  <si>
    <t>Demetrio Guzzardi, Elisa Palagi, Andrea Roventini, Alessandro Santoro (2024). Reconstructing Income Inequality in Italy: New Evidence and Tax System Implications from Distributional National Accounts.</t>
  </si>
  <si>
    <t>This assumption allows a flexible choice of wealth threshold for the simulated wealth tax.</t>
  </si>
  <si>
    <t>Italy</t>
  </si>
  <si>
    <t>Brazil</t>
  </si>
  <si>
    <t>France</t>
  </si>
  <si>
    <t>Netherlands</t>
  </si>
  <si>
    <t>Country</t>
  </si>
  <si>
    <t>US</t>
  </si>
  <si>
    <t>Income to wealth ratio</t>
  </si>
  <si>
    <t>Income threshold (R$)</t>
  </si>
  <si>
    <t>Mean income above (R$)</t>
  </si>
  <si>
    <t>Gperc</t>
  </si>
  <si>
    <t xml:space="preserve">This assumption is necessary for computing the wealth tax liabilities from the income data. </t>
  </si>
  <si>
    <t xml:space="preserve">For the purpose of the simulations, we extrapolate these ratios to the other countries. </t>
  </si>
  <si>
    <r>
      <rPr>
        <b/>
        <sz val="11"/>
        <color theme="1"/>
        <rFont val="Calibri"/>
        <family val="2"/>
        <scheme val="minor"/>
      </rPr>
      <t>(a)</t>
    </r>
    <r>
      <rPr>
        <sz val="11"/>
        <color theme="1"/>
        <rFont val="Calibri"/>
        <family val="2"/>
        <scheme val="minor"/>
      </rPr>
      <t xml:space="preserve"> The income to wealth ratio within each group. </t>
    </r>
  </si>
  <si>
    <r>
      <rPr>
        <b/>
        <sz val="11"/>
        <color theme="1"/>
        <rFont val="Calibri"/>
        <family val="2"/>
        <scheme val="minor"/>
      </rPr>
      <t xml:space="preserve">(b) </t>
    </r>
    <r>
      <rPr>
        <sz val="11"/>
        <color theme="1"/>
        <rFont val="Calibri"/>
        <family val="2"/>
        <scheme val="minor"/>
      </rPr>
      <t>The distribution of wealth/income within each income group.</t>
    </r>
  </si>
  <si>
    <t xml:space="preserve">The only country for which there exist reliable estimates of income to wealth ratios at the very top of the income distribution is the US. </t>
  </si>
  <si>
    <t>ONLINE SIMULATIONS</t>
  </si>
  <si>
    <t xml:space="preserve">For each country and each income group, the 'Data' and 'Assumptions' values are provided as input to the simulations. </t>
  </si>
  <si>
    <t xml:space="preserve">The online simulator exactly replicates the simulation method implemented in this Excel file. </t>
  </si>
  <si>
    <t xml:space="preserve">The website then replicates the calculations implemented in the 'Simulations' columns, depending on the reform parameters chosen by the user. </t>
  </si>
  <si>
    <t>CONTACT INFORMATION</t>
  </si>
  <si>
    <t xml:space="preserve">The present Excel file implements simulations of the effect of a minimum wealth tax on the progressivity of the tax system and on fiscal revenues, for different countries. </t>
  </si>
  <si>
    <r>
      <rPr>
        <b/>
        <sz val="11"/>
        <color theme="1"/>
        <rFont val="Calibri"/>
        <family val="2"/>
        <scheme val="minor"/>
      </rPr>
      <t xml:space="preserve">(i) </t>
    </r>
    <r>
      <rPr>
        <sz val="11"/>
        <color theme="1"/>
        <rFont val="Calibri"/>
        <family val="2"/>
        <scheme val="minor"/>
      </rPr>
      <t>Some data tabulations describing the distribution of pre-tax income and tax rate by pre-tax income group.</t>
    </r>
  </si>
  <si>
    <r>
      <rPr>
        <b/>
        <sz val="11"/>
        <color theme="1"/>
        <rFont val="Calibri"/>
        <family val="2"/>
        <scheme val="minor"/>
      </rPr>
      <t xml:space="preserve">(ii) </t>
    </r>
    <r>
      <rPr>
        <sz val="11"/>
        <color theme="1"/>
        <rFont val="Calibri"/>
        <family val="2"/>
        <scheme val="minor"/>
      </rPr>
      <t>Some assumptions regarding the link between wealth distribution and income distribution. Specifically, we make assumptions about:</t>
    </r>
  </si>
  <si>
    <t>p99.999p100</t>
  </si>
  <si>
    <t>p99.99p99.999</t>
  </si>
  <si>
    <t>p99.9p99.99</t>
  </si>
  <si>
    <t>p99p99.9</t>
  </si>
  <si>
    <t xml:space="preserve"> France</t>
  </si>
  <si>
    <t>Average pre-tax income within percentile group</t>
  </si>
  <si>
    <t xml:space="preserve">This assumption is necessary for ageing the values of income by group from the year they are based on to 2025, in order to compute fiscal revenues for year 2025. </t>
  </si>
  <si>
    <t xml:space="preserve">See 'WID' sheet and wid.world. </t>
  </si>
  <si>
    <r>
      <rPr>
        <b/>
        <sz val="11"/>
        <color theme="1"/>
        <rFont val="Calibri"/>
        <family val="2"/>
        <scheme val="minor"/>
      </rPr>
      <t xml:space="preserve">(iii) </t>
    </r>
    <r>
      <rPr>
        <sz val="11"/>
        <color theme="1"/>
        <rFont val="Calibri"/>
        <family val="2"/>
        <scheme val="minor"/>
      </rPr>
      <t xml:space="preserve">Some assumptions on the nominal income growth rate by income group. </t>
    </r>
  </si>
  <si>
    <t>We use nominal income growth rates by income group and by country from the World Inequality Database.</t>
  </si>
  <si>
    <t>Number of units exposed</t>
  </si>
  <si>
    <t>Number of units</t>
  </si>
  <si>
    <t>Patero coefficient alpha</t>
  </si>
  <si>
    <t>Corrected  alpha</t>
  </si>
  <si>
    <t>Wealth threshold</t>
  </si>
  <si>
    <t>Extra fiscal revenues</t>
  </si>
  <si>
    <t>gperc</t>
  </si>
  <si>
    <t>nb</t>
  </si>
  <si>
    <t>thres</t>
  </si>
  <si>
    <t>sh</t>
  </si>
  <si>
    <t>avg</t>
  </si>
  <si>
    <t>tax</t>
  </si>
  <si>
    <t>effrate</t>
  </si>
  <si>
    <t>salestax</t>
  </si>
  <si>
    <t>proptax</t>
  </si>
  <si>
    <t>govcontrib</t>
  </si>
  <si>
    <t>ditax</t>
  </si>
  <si>
    <t>corptax</t>
  </si>
  <si>
    <t>estatetax</t>
  </si>
  <si>
    <t>P99.999-Billionaires</t>
  </si>
  <si>
    <t xml:space="preserve">Akcan S. Balkir, Emmanuel Saez, Danny Yagan, Gabriel Zucman (2025). How Much Tax Do US Billionaires Pay? Evidence From Administrative Data. </t>
  </si>
  <si>
    <t>Billionaires</t>
  </si>
  <si>
    <t>Top 0,00005% (top 100)</t>
  </si>
  <si>
    <t>Next 0,00015% (next 300)</t>
  </si>
  <si>
    <t>Including pure capital gains</t>
  </si>
  <si>
    <t>Total realized capital gains included in economic income of the top 0,0002%</t>
  </si>
  <si>
    <t>Excluding pure capital gains</t>
  </si>
  <si>
    <t xml:space="preserve">Note: Unit of observation is tax unit. Income variable is 'peinc' (no capital gain included). </t>
  </si>
  <si>
    <t xml:space="preserve">Data reported in the paper was completed with additional data provided by the authors (values in light grey). </t>
  </si>
  <si>
    <t>Notes: R$ values are converted to USD values using the end-of-year market exchange rate of USD 1 = R$ 4.03 for 2019</t>
  </si>
  <si>
    <t xml:space="preserve">Tax rate estimates for P99.99-P99.999 and for P99.999-Billionnaires are linearly interpolated. </t>
  </si>
  <si>
    <t xml:space="preserve">Individual tax rates for the top three income groups are calculated by extrapolating the individual tax rate to total tax rate ratio observed for P99.99-P100. </t>
  </si>
  <si>
    <t xml:space="preserve">Income shares are from WID.world (ptinc992j, 2016). They are included for more precise tax rates aggregation. </t>
  </si>
  <si>
    <t>Summary of revenu estimates</t>
  </si>
  <si>
    <t>2% rate</t>
  </si>
  <si>
    <t>3% rate</t>
  </si>
  <si>
    <t>Centi-millionaires</t>
  </si>
  <si>
    <t>United States</t>
  </si>
  <si>
    <t xml:space="preserve">Thomas Piketty, Emmanuel Saez, Gabriel Zucman (2018). Distributional National Accounts: Methods and Estimates for the United States. </t>
  </si>
  <si>
    <t xml:space="preserve">The file contains one sheet per data sources, containing the data which is used as input to the simulations. Specifically, we use the following studies on income distribution and tax prgressivity in different countries: </t>
  </si>
  <si>
    <t>Average wealth</t>
  </si>
  <si>
    <t>LIST OF DATA SOURCES</t>
  </si>
  <si>
    <t>P99.999-P100</t>
  </si>
  <si>
    <t>Billionaires List</t>
  </si>
  <si>
    <t>Total wealth (€B)</t>
  </si>
  <si>
    <t>Total wealth ($B)</t>
  </si>
  <si>
    <t>Pareto coefficient b</t>
  </si>
  <si>
    <t>Top income group</t>
  </si>
  <si>
    <t>Number of units (N)</t>
  </si>
  <si>
    <t>Average income of N top units</t>
  </si>
  <si>
    <t>Estimated ratio</t>
  </si>
  <si>
    <t>Average wealth ($B)</t>
  </si>
  <si>
    <r>
      <t>Average wealth (</t>
    </r>
    <r>
      <rPr>
        <sz val="11"/>
        <color rgb="FF000000"/>
        <rFont val="Calibri"/>
        <family val="2"/>
      </rPr>
      <t>€</t>
    </r>
    <r>
      <rPr>
        <sz val="11"/>
        <color rgb="FF000000"/>
        <rFont val="Calibri"/>
        <family val="2"/>
        <scheme val="minor"/>
      </rPr>
      <t>B)</t>
    </r>
  </si>
  <si>
    <t>p99p99.1</t>
  </si>
  <si>
    <t>p99.9p99.91</t>
  </si>
  <si>
    <t>p99.99p99.991</t>
  </si>
  <si>
    <t>Sources: Guzzardi et al. (2024). See formulas.</t>
  </si>
  <si>
    <t xml:space="preserve">For dissagregating income shares within the bottom 50%, we apply the incomes shares observed in France (Bach et al., 2025). </t>
  </si>
  <si>
    <t xml:space="preserve">For dissagregating income values within the top 0.1%, we assume a Pareto distribution. </t>
  </si>
  <si>
    <t>(Pareto coefficient used in the simulations for dissagregating the top 0,1%)</t>
  </si>
  <si>
    <t xml:space="preserve">Notes: Since the number of units differ between Forbes lists and the top income group from the studies, we cannot immediately divide average income by average income from both sides. </t>
  </si>
  <si>
    <t>Sources:  Real-Time Billionaire data from Forbes, retrieved on December 1, 2025. Billionnaire data for France comes from the 2024 ranking by Challenges.</t>
  </si>
  <si>
    <t xml:space="preserve">Income data comes from the country specific studies (see formulas). </t>
  </si>
  <si>
    <t xml:space="preserve">We therefore use a calibrated Pareto coefficient in order to correct the average income of the top group and to make it coincide with the average income of the top N units, </t>
  </si>
  <si>
    <t xml:space="preserve">where N is the number of units in the Forbes list. </t>
  </si>
  <si>
    <t>We assume that units in the Forbes list are equivalent to households, in the sense of either couples or single individuals. This is already the unit of observation used for France and the US.</t>
  </si>
  <si>
    <t>Household multiplier</t>
  </si>
  <si>
    <t xml:space="preserve">We apply a household multiplier to Netherlands, Brazil and Italy income data, so as to make the unit of observation somehow coincide with the Forbes list. </t>
  </si>
  <si>
    <t xml:space="preserve">This method closely reproduces the reference estimate of 4,9% for the US. </t>
  </si>
  <si>
    <t xml:space="preserve">Based on this table and on the initial benchmark of 4,9% (US estimate), we retain the following assumptions for the simulations : </t>
  </si>
  <si>
    <t xml:space="preserve">Income and wealth are assumed to follow a (bounded) Pareto-distribution within each income group, where the Pareto coefficient is estimated from income threshold and average income in the group. </t>
  </si>
  <si>
    <t>We choose not to directly use the income distribution from the WID because the income distribution provided in each country-specific study is more granular (up to the top 0,0001% income group)</t>
  </si>
  <si>
    <t>See 'Income to wealth ratios' sheet.</t>
  </si>
  <si>
    <t xml:space="preserve">Income to wealth ratio is assumed uniform over each income group. </t>
  </si>
  <si>
    <t xml:space="preserve">For billionaires, we use country specific assumptions based on the US benchmark (4,9%), that we adjust according to average wealth reported in Bilionnaires lists. </t>
  </si>
  <si>
    <t xml:space="preserve">Notes:  Amounts are €B for France, Netherlands, Italy, and $B for US and Brazil. </t>
  </si>
  <si>
    <t xml:space="preserve">Previous estimates use Real-Time Billionaire data from Forbes (retrieved on March 3, 2025). </t>
  </si>
  <si>
    <t>They assume a current effective tax rate of billionaires equal to 0.2% (0,6% for the US) of their wealth,</t>
  </si>
  <si>
    <t xml:space="preserve">Current estimates start from country specific estimates of income distribution and tax progressivity for year 2025. </t>
  </si>
  <si>
    <t xml:space="preserve">They apply decreasing income to wealth ratio at the top of the distribution. </t>
  </si>
  <si>
    <r>
      <t>Revenue estimates (</t>
    </r>
    <r>
      <rPr>
        <b/>
        <sz val="11"/>
        <color theme="1"/>
        <rFont val="Calibri"/>
        <family val="2"/>
        <scheme val="minor"/>
      </rPr>
      <t>above</t>
    </r>
    <r>
      <rPr>
        <sz val="11"/>
        <color theme="1"/>
        <rFont val="Calibri"/>
        <family val="2"/>
        <scheme val="minor"/>
      </rPr>
      <t>) for different wealth tax scenarios, and comparison with previous estimates (</t>
    </r>
    <r>
      <rPr>
        <i/>
        <sz val="11"/>
        <color theme="1"/>
        <rFont val="Calibri"/>
        <family val="2"/>
        <scheme val="minor"/>
      </rPr>
      <t>below</t>
    </r>
    <r>
      <rPr>
        <sz val="11"/>
        <color theme="1"/>
        <rFont val="Calibri"/>
        <family val="2"/>
        <scheme val="minor"/>
      </rPr>
      <t>)</t>
    </r>
  </si>
  <si>
    <t>Comments</t>
  </si>
  <si>
    <t xml:space="preserve"> USA</t>
  </si>
  <si>
    <t xml:space="preserve"> Netherlands</t>
  </si>
  <si>
    <t xml:space="preserve"> Italy</t>
  </si>
  <si>
    <t xml:space="preserve"> Brazil</t>
  </si>
  <si>
    <t xml:space="preserve">Percentile </t>
  </si>
  <si>
    <t xml:space="preserve">Country </t>
  </si>
  <si>
    <t xml:space="preserve">Source: Downloaded from wid.world on 05-02-2026 at 11:06:23. </t>
  </si>
  <si>
    <t>Annual nominal growth rate</t>
  </si>
  <si>
    <t>Source: Downloaded from wid.world on 05-02-2026 at 11:39:59</t>
  </si>
  <si>
    <t>Income thresholds for entering pre-tax income percentile groups</t>
  </si>
  <si>
    <t>Source: Downloaded from wid.world on 05-02-2026 at 12:05:44</t>
  </si>
  <si>
    <t>Notes: Variable tptinc_992_j. Amounts are expressed in current local currency. The population is comprised of individuals over age 20. The base unit is the individual and resources are split equally within couples.</t>
  </si>
  <si>
    <t>Notes: Variable aptinc_992_j. Amounts are expressed in current local currency. The population is comprised of individuals over age 20. The base unit is the individual and resources are split equally within couples.</t>
  </si>
  <si>
    <t xml:space="preserve">Notes: Variable npopul_992_i. The population is comprised of individuals over age 20. </t>
  </si>
  <si>
    <t>Adult population</t>
  </si>
  <si>
    <t>Population growth</t>
  </si>
  <si>
    <t>Nominal growth rate (average)</t>
  </si>
  <si>
    <t>Nominal growth rate (threshold)</t>
  </si>
  <si>
    <t>Current wealth tax rate</t>
  </si>
  <si>
    <t>than the WID data (which only goes up to the top 0,001% income group). We however apply distinct growth rates to the average income and to the income threshold of each group, based on the observed</t>
  </si>
  <si>
    <t xml:space="preserve">growth rates of these two variables in WID data, for each group and each country. This allows to account for changes in the income distribution that are captured by WID data. </t>
  </si>
  <si>
    <t xml:space="preserve">and use a simple multiplicative factors of 1.55 (for 2% rate) and 1.79 (for 3% rate) when moving from revenue for billionaires to revenue for centi-millionaires. </t>
  </si>
  <si>
    <t xml:space="preserve">When the chosen income to wealth ratio is closed to the Forbes calibrated one, billionnaires estimates are very close to previous estimates. </t>
  </si>
  <si>
    <t xml:space="preserve">When the chosen income to wealth ratio is larger (smaller) than the Forbes calibrated one, billionnaires estimates are lower (higher) than previous estimates. </t>
  </si>
  <si>
    <t xml:space="preserve">The 1,55 multiplication rule from previous estimates is contradicted by simulations based on country-specific income distributions. This explains the estimation discrepancies for centi-millionaires scenarios. </t>
  </si>
  <si>
    <t>There is therefore a trade-off between the confidence we can place in the Forbes data (timely and based on observed wealth, but uncertain coverage and limited granularity)</t>
  </si>
  <si>
    <t xml:space="preserve">and the information conveyed by income distributions (no direct wealth data, but broad coverage, well-defined granularity, and direct connection to tax rate estimates). </t>
  </si>
  <si>
    <t xml:space="preserve">Non-billionaires already face effective personal wealth tax rate larger than 2%, so they are only taxed in the 3% scenario and generate few revenues. </t>
  </si>
  <si>
    <t xml:space="preserve">Low billionaire wealth in Forbes compared to income concentration in income data. Reconcilied with lower income to wealth ratio assumption than Forbes calibration. </t>
  </si>
  <si>
    <t xml:space="preserve">High billionaire wealth in Forbes compared to income concentration in income data. Reconcilied with higher income to wealth ratio assumption than Forbes calibration. </t>
  </si>
  <si>
    <t xml:space="preserve">Current wealth tax rate (0,03% for the top income group) lower than the 0,2% hypothesis used in previous estimates. Significant centimilionnaires estimate discrepancy because current simulation capture numerous centimillionaires with low effective tax rates. </t>
  </si>
  <si>
    <t xml:space="preserve">Billionaires estimates coincide very well. </t>
  </si>
  <si>
    <t xml:space="preserve">Source: Balkir et al. (2025), Table A6. </t>
  </si>
  <si>
    <t xml:space="preserve">Source : Balkir et al. (2025), Tables 1 and 2. </t>
  </si>
  <si>
    <t xml:space="preserve">Notes:  Estimates are for years 2018-2020. Observations are tax units. </t>
  </si>
  <si>
    <t xml:space="preserve">Income concept in the paper includes "pure capital gains". We use the total amount of pure capital gains provided in the paper in order to remove them from income and to align with the income concept used for the other countries. </t>
  </si>
  <si>
    <t xml:space="preserve">Tax rates for groups P10-P20 and P20-P30 are taken equal to the tax rate estimate for P25-P50. </t>
  </si>
  <si>
    <t>Source: Bruil et al. (2025), Figure 6: The effective tax rate by tax type. The unit of analysis is the individual adult and income is split equally among the adult members of a household. Adults are ranked by their pre-tax national income. Estimates are for year 2016.</t>
  </si>
  <si>
    <t xml:space="preserve">Source: Bruil et al. (2025), Table 2: The distribution of pre and post-tax income in 2016. The unit of analysis is the adult (20+ years old) and income is split among all adult members of a household equally. Income groups are defined in terms of all adults in the population, with adults ranked according to pre-tax national income. </t>
  </si>
  <si>
    <t>Nature des revenus et transferts</t>
  </si>
  <si>
    <t>V1</t>
  </si>
  <si>
    <t>V2</t>
  </si>
  <si>
    <t>V3</t>
  </si>
  <si>
    <t>V4</t>
  </si>
  <si>
    <t>V5</t>
  </si>
  <si>
    <t>V6</t>
  </si>
  <si>
    <t>V7</t>
  </si>
  <si>
    <t>V8</t>
  </si>
  <si>
    <t>V9</t>
  </si>
  <si>
    <t>V10</t>
  </si>
  <si>
    <t>V11</t>
  </si>
  <si>
    <t>V12</t>
  </si>
  <si>
    <t>V13</t>
  </si>
  <si>
    <t>V14</t>
  </si>
  <si>
    <t>V15</t>
  </si>
  <si>
    <t>V16</t>
  </si>
  <si>
    <t>V17</t>
  </si>
  <si>
    <t>V18</t>
  </si>
  <si>
    <t>V19</t>
  </si>
  <si>
    <t>V20</t>
  </si>
  <si>
    <t>Nombre d'individus (en millions)</t>
  </si>
  <si>
    <t>Nombre d'unités de consommation (en millions)</t>
  </si>
  <si>
    <t>Alternative tax rate definitions</t>
  </si>
  <si>
    <t>D1</t>
  </si>
  <si>
    <t>D2</t>
  </si>
  <si>
    <t>D3</t>
  </si>
  <si>
    <t>D4</t>
  </si>
  <si>
    <t>D5</t>
  </si>
  <si>
    <t>D6</t>
  </si>
  <si>
    <t>D7</t>
  </si>
  <si>
    <t>D8</t>
  </si>
  <si>
    <t>D9</t>
  </si>
  <si>
    <t>D10</t>
  </si>
  <si>
    <t>All taxes / narrow pretax income</t>
  </si>
  <si>
    <t>All taxes / broad pretax income</t>
  </si>
  <si>
    <t>(All taxes  -  share of indirect taxes paid out of transfer income) / broad pretax income</t>
  </si>
  <si>
    <t xml:space="preserve">Notes: Indirect taxes paid out of transfer income are computed by multiplying total indirect taxes by the share of monetary transfers in disposable income within each group. </t>
  </si>
  <si>
    <t xml:space="preserve">Individuals are ranked by their "niveau de vie usuel", which is equal to usual disposable income by consumption unit within the household. In our simulations, and in standard tax progressivity analysis, individuals are ranked by their pretax income. </t>
  </si>
  <si>
    <t xml:space="preserve">We ignore this inconsistency and we take these tax rate estimate by disposable income group as an approximation of tax rates for the corresponding pretax income groups. </t>
  </si>
  <si>
    <t>Notes: We apply the WIL DINA guidelines to reconstitute the distribution of pretax income. See https://wid.world/document/distributional-national-accounts-guidelines-2020-concepts-and-methods-used-in-the-world-inequality-database/</t>
  </si>
  <si>
    <t>Non contributive SSCs</t>
  </si>
  <si>
    <t xml:space="preserve">Sources: INSEE (2024) and Bach et al. (2025). See formulas. </t>
  </si>
  <si>
    <t>Contributive SSCs</t>
  </si>
  <si>
    <t>Corrected Total</t>
  </si>
  <si>
    <t>Note: Tax rates from Bach et al. (2025) are corrected for incorporating indirect taxes and contributive SSCs.</t>
  </si>
  <si>
    <t xml:space="preserve">Note: For dissagregating income shares within the bottom 50% and the middle 40%, we use the shares observed in France. </t>
  </si>
  <si>
    <t>Note: For computing income threshold for the billionnaires group, we apply the Pareto coefficient b = 3,44 from Saez &amp; Zucman (2020).</t>
  </si>
  <si>
    <t>See 'Bach et al. (2025)' sheet.</t>
  </si>
  <si>
    <t xml:space="preserve">Bach et al. (2025) estimates exclude "contributive" SSCs, where all pension and unemployment insurance SSCs are considered as contributive. </t>
  </si>
  <si>
    <t>Correction parameters</t>
  </si>
  <si>
    <t>Insee (2024). Comptes nationaux distribués 2022, base 2020. CND.101 - Comptes nationaux distribués selon les vingtièmes de niveau de vie usuel</t>
  </si>
  <si>
    <t xml:space="preserve">Bach et al. (2025) estimates exclude taxes on production included in Insee (2024) under the cateogry "Taxes et subventions sur la production". </t>
  </si>
  <si>
    <t>Gift and inheritance taxes</t>
  </si>
  <si>
    <t>CSG</t>
  </si>
  <si>
    <t>Wealth tax</t>
  </si>
  <si>
    <t xml:space="preserve">Anchor variables </t>
  </si>
  <si>
    <t>Capital taxes</t>
  </si>
  <si>
    <t>incl.
Corporate taxes</t>
  </si>
  <si>
    <t>incl.
Others capital taxes</t>
  </si>
  <si>
    <t>incl.
Property taxes</t>
  </si>
  <si>
    <t>incl. Inheritance tax</t>
  </si>
  <si>
    <t>incl. Wealth taxes</t>
  </si>
  <si>
    <t>Top 10-1%</t>
  </si>
  <si>
    <t>Top 1-0.1%</t>
  </si>
  <si>
    <t>Top 0,1-0,01%</t>
  </si>
  <si>
    <t>Source: Bozio et al (2020), exportresults_tax.xlsx file, 'pretax_tax_det' sheet</t>
  </si>
  <si>
    <t>Ratio of property taxes to wealth taxes</t>
  </si>
  <si>
    <t>Ratio of inheritance tax to wealth taxes</t>
  </si>
  <si>
    <t xml:space="preserve">Notes: Estimates for year 2016 (before the change from ISF to IFI, as in Bach et al 2025). </t>
  </si>
  <si>
    <t xml:space="preserve">Taxes are expressed in % of pre-tax income, by income groups of equal-split adults. </t>
  </si>
  <si>
    <t>Inheritance tax' include both inheritance and gift taxes</t>
  </si>
  <si>
    <t>P99.99-P100</t>
  </si>
  <si>
    <t xml:space="preserve">Notes: We apply some corrections to Bach et al. (2025) tax rate estimates, in order to include some missing taxes. </t>
  </si>
  <si>
    <t xml:space="preserve">(i) For each missing tax, we choose an anchor tax from Bach et al (2025) and distribute the missing tax in proportion to this anchor. </t>
  </si>
  <si>
    <t xml:space="preserve">(ii) When we have good reasons to think that the missing tax is distributed more progressively (regressively) than the anchor, we use decreasing (increasing) multiplier along the income distribution. </t>
  </si>
  <si>
    <t>(iii) We calibrate the set of multipliers in such a way that the aggregate tax rates for group P90-P95 and P95-P100 matches the corresponding tax rates in Insee (2024).</t>
  </si>
  <si>
    <t xml:space="preserve">For contributive SSCs, indirect taxes and production taxes, our corrections are based on the following strategy: </t>
  </si>
  <si>
    <t>Details of the correction strategy:</t>
  </si>
  <si>
    <t>For inheritance and gift taxes, we use the ratio of inheritance and gift taxes to wealth tax observed in Bozio et al. (2020). See 'Bozio et al. (2020)' sheet.</t>
  </si>
  <si>
    <t xml:space="preserve">Bach et al. (2025) estimates exclude all indirect taxes. </t>
  </si>
  <si>
    <t xml:space="preserve">For computing rates on contributive SSCs, we usethe rate of non-contributive SSCs provided in Bach et al. (2025) as an anchor in order to capture the decreasing share of wage in pre-tax income. </t>
  </si>
  <si>
    <t xml:space="preserve">For computing indirect taxes rates, we use the flat-rate witholding tax (CSG) rate as an anchor in order to capture the decreasing share of cash disposable income (fiscal income) in pretax income. </t>
  </si>
  <si>
    <t xml:space="preserve">Contributive SSCs are more frequently capped than non contributive SSCs, and therefore much more regressive, so we apply drecreasing multipliers along the income distribution. </t>
  </si>
  <si>
    <t>In order to account for decreasing saving rates on fiscal income, we apply drecreasing multipliers along the income distribution.</t>
  </si>
  <si>
    <t xml:space="preserve">Bach et al. (2025) estimates of wealth tax rate exclude inheritance and gift taxes. </t>
  </si>
  <si>
    <t xml:space="preserve">While the wealth tax (ISF) rates given in Bach et al (2025) provide a good anchor for distributing inheritance and gift taxes, the latter are less progressive than the former because of lower exemption threshold. </t>
  </si>
  <si>
    <t xml:space="preserve">This reflects in decreasing ratio of inheritance and gift tax to wealth tax along the income distribution in Bozio et al (2020). </t>
  </si>
  <si>
    <t xml:space="preserve">We impute inheritance and gift tax by applying these income-group-specific ratios to the wealth tax rates provided in Bach et al (2025). </t>
  </si>
  <si>
    <t>Source: Bach et al. (2025), Figure 6, Effective tax rates as a share of comprehensive income.</t>
  </si>
  <si>
    <t>Notes:  Tax household level. Data is for year 2016.</t>
  </si>
  <si>
    <t xml:space="preserve">Contributive SSCs multiplier  </t>
  </si>
  <si>
    <t xml:space="preserve">Induced SSCs tax rate  </t>
  </si>
  <si>
    <t xml:space="preserve">Insee target  </t>
  </si>
  <si>
    <t xml:space="preserve">Indirect taxes multiplier  </t>
  </si>
  <si>
    <t xml:space="preserve">Induced indirect tax rate  </t>
  </si>
  <si>
    <t xml:space="preserve">Production taxes multiplier  </t>
  </si>
  <si>
    <t xml:space="preserve">Induced production tax rate  </t>
  </si>
  <si>
    <t xml:space="preserve">Inheritance tax multiplier  </t>
  </si>
  <si>
    <t>Billionaires income to wealth ratio estimations from income distributions and wealth recorded in Billionaire Lists</t>
  </si>
  <si>
    <t>Production taxes</t>
  </si>
  <si>
    <t>Breakdown by type of taxes</t>
  </si>
  <si>
    <t>Attributed deficit</t>
  </si>
  <si>
    <t>Benefits - Contributions</t>
  </si>
  <si>
    <t>All taxes / factor income</t>
  </si>
  <si>
    <t>(All taxes  -  share of indirect taxes paid out of transfer income including debt-financed pensions and unemployment benefits) / broad pretax income</t>
  </si>
  <si>
    <t xml:space="preserve">Debt financed pensions and unemployment benefits are computed as a fixed share of pensions and UB across income groups, where the share is equal to the aggregate ratio of deficit to total benefits. </t>
  </si>
  <si>
    <t>Income concepts</t>
  </si>
  <si>
    <t>DINA Pretax income (narrow)</t>
  </si>
  <si>
    <t>DINA Pretax income (broad)</t>
  </si>
  <si>
    <t>IPP Economic income</t>
  </si>
  <si>
    <t>DINA Pretax factor income</t>
  </si>
  <si>
    <t>Taxes on production</t>
  </si>
  <si>
    <t>Observed ratios in US joint distribution of income and wealth</t>
  </si>
  <si>
    <t xml:space="preserve">Notes: Unit of observation is taxunit. Income variable is 'peinc'. </t>
  </si>
  <si>
    <t>Sources: Joint distribution of income and wealth is from US DINA files (PSZ 2018, https://gabriel-zucman.eu/usdina/)</t>
  </si>
  <si>
    <t>US DINA files (PSZ 2018) for year 2024 show a ratio of 13,0% for P99-P99.9, 10,8% for for P99.9-P99.99, 8,3% for for P99.99-P99.999, and 7,4% for P99.999-P99.9998. See 'Income to wealth ratios' sheet.</t>
  </si>
  <si>
    <t>In all countries, it is taken equal to 13.0% for P99-P99.9, 10.8% for for P99.9-P99.99, 8.3% for for P99.99-P99.999, and 7.4% for P99.999-Billionaires.</t>
  </si>
  <si>
    <t xml:space="preserve">Balkir et al (2025) find an income to wealth ratio of 4.9% for the top 400 billionnaires (after excluding pure realized capital gains) for years 2018-2020. </t>
  </si>
  <si>
    <t xml:space="preserve">For other countries, we adjust this benchmark based on some calibrations made from the average wealth per billionaire recorded in the Forbes list. </t>
  </si>
  <si>
    <t>Source: Piketty, Saez, Zucman (2018). US DINA files for year 2024. See https://gabriel-zucman.eu/usdina/</t>
  </si>
  <si>
    <t>hweal</t>
  </si>
  <si>
    <t>healthtax</t>
  </si>
  <si>
    <t>inctowealth</t>
  </si>
  <si>
    <t>Wealth</t>
  </si>
  <si>
    <r>
      <t xml:space="preserve">Data </t>
    </r>
    <r>
      <rPr>
        <sz val="11"/>
        <color theme="1"/>
        <rFont val="Calibri"/>
        <family val="2"/>
        <scheme val="minor"/>
      </rPr>
      <t>(2024)</t>
    </r>
  </si>
  <si>
    <t xml:space="preserve">Sources: US DINA files for 2024 (PSZ, 2018) and Balkir et al. (2025). See formulas. </t>
  </si>
  <si>
    <t>Include health premiums in total taxes</t>
  </si>
  <si>
    <t>(All taxes  -  share of indirect taxes paid out of transfer income) / narrow pretax income</t>
  </si>
  <si>
    <t>(All taxes  -  share of indirect taxes paid out of transfer income including debt-financed pension benefits) / narrow pretax income</t>
  </si>
  <si>
    <t xml:space="preserve">When the income concept used in the denominator is narrow pretax income, we consider as 'transfer income' all monetary transfers except pensions, since in this case pensions are already included in pretax income. </t>
  </si>
  <si>
    <t xml:space="preserve">When the income concept used in the denominator is broad pretax income,  we consider as 'transfer income' all monetary transfers except pensions and unemployment benefits, since in this case both pensions and UB are already included in pretax income. </t>
  </si>
  <si>
    <t>Ensemble</t>
  </si>
  <si>
    <t>Revenus primaires des ménages (=A) :</t>
  </si>
  <si>
    <t>Revenus salariaux nets</t>
  </si>
  <si>
    <t>Cotisations sociales (salariés et employeurs)</t>
  </si>
  <si>
    <t>Revenus mixtes des indépendants</t>
  </si>
  <si>
    <t>Revenus nets de la propriété (intérêts, dividendes, etc.)</t>
  </si>
  <si>
    <t>Loyers réels et imputés aux propriétaires</t>
  </si>
  <si>
    <t>Profits des entreprises non distribués aux ménages (=B)</t>
  </si>
  <si>
    <t>Revenus primaires des APU (aux prix de base) et des ISBLSM (=C)</t>
  </si>
  <si>
    <t>Tirés des impôts nets des subventions sur la production</t>
  </si>
  <si>
    <t>Revenus de la propriété (reçus - versés) et ENE des APU et des ISBLSM</t>
  </si>
  <si>
    <t>Revenu primaire élargi (D=A+B+C)</t>
  </si>
  <si>
    <t>Revenus des APU tirés des impôts nets sur les produits (E)</t>
  </si>
  <si>
    <t>RNN avant transferts publics (=D+E)</t>
  </si>
  <si>
    <t>Prélèvements (=i) :</t>
  </si>
  <si>
    <t>Taxes sur les produits (TVA, TICPE, acises, DMTO, etc.)</t>
  </si>
  <si>
    <t>Subventions sur les produits (transports, etc.)</t>
  </si>
  <si>
    <t>Taxes sur la production (taxes patronales, TF, etc.)</t>
  </si>
  <si>
    <t>Subventions sur la production (aides à l'apprentissage, aides sectorielles, etc.)</t>
  </si>
  <si>
    <t>Impôt sur les sociétés</t>
  </si>
  <si>
    <t>Contribution sociale généralisée (CSG)</t>
  </si>
  <si>
    <t>Impôt sur le revenu (IR)</t>
  </si>
  <si>
    <t>Autres impôts sur les revenus et le patrimoine (TH, ISF/IFI, CRDS, etc.)</t>
  </si>
  <si>
    <t>Cotisations sociales retraite</t>
  </si>
  <si>
    <t>Cotisations sociales chômage</t>
  </si>
  <si>
    <t>Cotisations sociales famille</t>
  </si>
  <si>
    <t>Autres cotisations sociales (maladie, invalidité, ATMP)</t>
  </si>
  <si>
    <t>Prestations sociales monétaires (=ii) :</t>
  </si>
  <si>
    <t>Pensions de retraite</t>
  </si>
  <si>
    <t>Allocations chômage</t>
  </si>
  <si>
    <t>Autres revenus de remplacement (IJ, ATMP)</t>
  </si>
  <si>
    <t>Famille</t>
  </si>
  <si>
    <t>Exclusion sociale</t>
  </si>
  <si>
    <t>Invalidité</t>
  </si>
  <si>
    <t xml:space="preserve">Remboursements des contrats collectifs de complémentaires santé </t>
  </si>
  <si>
    <t>Transferts non monétaires (=iii) :</t>
  </si>
  <si>
    <t>Transferts sociaux en nature (individualisables)</t>
  </si>
  <si>
    <t>Santé</t>
  </si>
  <si>
    <t>Enseignement</t>
  </si>
  <si>
    <t>Action sociale (dépendance, handicap, petite enfance, etc.)</t>
  </si>
  <si>
    <t>Culture et loisirs</t>
  </si>
  <si>
    <t>Aides au logement et chèque énergie</t>
  </si>
  <si>
    <t>Frais de fonctionnement de la Sécurité sociale</t>
  </si>
  <si>
    <t>Autres transferts non monétaires</t>
  </si>
  <si>
    <t>Dépenses collectives (administration générale, défense, police, justice, etc.)</t>
  </si>
  <si>
    <t>Autres transferts et soldes avec le reste du monde</t>
  </si>
  <si>
    <t>Revenu élargi après transferts publics (=D+I+II+III)</t>
  </si>
  <si>
    <t>Solde de la redistribution publique nationale (iv)</t>
  </si>
  <si>
    <t>Revenu élargi après redistribution publique nationale nette de l'endettement (=D+I+II+III+IV)</t>
  </si>
  <si>
    <t>RNN après transferts publics (=D + E + I + II + III)</t>
  </si>
  <si>
    <t xml:space="preserve">Revenu disponible net élargi </t>
  </si>
  <si>
    <t>Revenu disponible net (RDN) des ménages (S14)</t>
  </si>
  <si>
    <t>Revenu disponible net ajusté (RDNA) des ménages (S14)</t>
  </si>
  <si>
    <t>Consommation de capital fixe des ménages (CCF du S14)</t>
  </si>
  <si>
    <t>Source : Insee (2024), Comptes nationaux distribués 2023, base 2020. CND.101 - Comptes nationaux distribués selon les vingtièmes de niveau de vie usuel. See https://www.insee.fr/fr/statistiques/8194104</t>
  </si>
  <si>
    <t>Consumption taxes (exluding those paid out of transfer income)</t>
  </si>
  <si>
    <t xml:space="preserve">As a fallback, Insee (2026) uses factor income (excluding undistributed profits) for distributing production taxes. We similarly take the flat-rate withholding taxe as an anchor for production taxes, for lack of a better solution. </t>
  </si>
  <si>
    <t xml:space="preserve">Notes: Amounts are in € billion. </t>
  </si>
  <si>
    <r>
      <t xml:space="preserve">See Appendix 4 in Saez &amp; Zucman (2023), </t>
    </r>
    <r>
      <rPr>
        <i/>
        <sz val="11"/>
        <color theme="1"/>
        <rFont val="Calibri"/>
        <family val="2"/>
        <scheme val="minor"/>
      </rPr>
      <t>Distributional Tax Analysis in Theory and Practice: Harberger Meets Diamond-Mirrlees.</t>
    </r>
    <r>
      <rPr>
        <sz val="11"/>
        <color theme="1"/>
        <rFont val="Calibri"/>
        <family val="2"/>
        <scheme val="minor"/>
      </rPr>
      <t xml:space="preserve"> </t>
    </r>
  </si>
  <si>
    <t>Corporate income tax</t>
  </si>
  <si>
    <t>Income tax</t>
  </si>
  <si>
    <t>Other taxes on personal income and wealth</t>
  </si>
  <si>
    <t>Pension SSCs</t>
  </si>
  <si>
    <t>UI SSCs</t>
  </si>
  <si>
    <t>Family SSCs</t>
  </si>
  <si>
    <t>Other SSCs</t>
  </si>
  <si>
    <t>Insee (2026). Comptes nationaux distribués 2023, base 2020. CND.101 - Comptes nationaux distribués selon les vingtièmes de niveau de vie usuel</t>
  </si>
  <si>
    <t>Memo: DINA correction ?</t>
  </si>
  <si>
    <t>Tax imputations</t>
  </si>
  <si>
    <t>For any comment or suggestion, please contact Léonard Mouillet (International Tax Observatory) : leonard.mouillet@psemail.eu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</si>
</sst>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_ * #,##0.00_)\ _$_U_S_ ;_ * \(#,##0.00\)\ _$_U_S_ ;_ * &quot;-&quot;??_)\ _$_U_S_ ;_ @_ "/>
    <numFmt numFmtId="165" formatCode="&quot;$&quot;#,##0_);\(&quot;$&quot;#,##0\)"/>
    <numFmt numFmtId="166" formatCode="General_)"/>
    <numFmt numFmtId="167" formatCode="_-* #,##0.00\ _€_-;\-* #,##0.00\ _€_-;_-* &quot;-&quot;??\ _€_-;_-@_-"/>
    <numFmt numFmtId="168" formatCode="#,##0.000"/>
    <numFmt numFmtId="169" formatCode="#,##0.0"/>
    <numFmt numFmtId="170" formatCode="#,##0.00__;\-#,##0.00__;#,##0.00__;@__"/>
    <numFmt numFmtId="171" formatCode="_ * #,##0.00_ ;_ * \-#,##0.00_ ;_ * &quot;-&quot;??_ ;_ @_ "/>
    <numFmt numFmtId="172" formatCode="_ * #,##0.00_)\ _€_ ;_ * \(#,##0.00\)\ _€_ ;_ * &quot;-&quot;??_)\ _€_ ;_ @_ "/>
    <numFmt numFmtId="173" formatCode="\$#,##0\ ;\(\$#,##0\)"/>
    <numFmt numFmtId="174" formatCode="0.0%"/>
    <numFmt numFmtId="175" formatCode="_-* #,##0.00\ _z_ł_-;\-* #,##0.00\ _z_ł_-;_-* &quot;-&quot;??\ _z_ł_-;_-@_-"/>
    <numFmt numFmtId="176" formatCode="#,##0;[Red]#,##0"/>
    <numFmt numFmtId="177" formatCode="0.0"/>
    <numFmt numFmtId="178" formatCode="_-* #,##0.00\ _k_r_._-;\-* #,##0.00\ _k_r_._-;_-* &quot;-&quot;??\ _k_r_._-;_-@_-"/>
    <numFmt numFmtId="179" formatCode="_(&quot;$&quot;* #,##0.00_);_(&quot;$&quot;* \(#,##0.00\);_(&quot;$&quot;* &quot;-&quot;??_);_(@_)"/>
    <numFmt numFmtId="180" formatCode="0.000%"/>
    <numFmt numFmtId="181" formatCode="_-* #,##0_-;\-* #,##0_-;_-* &quot;-&quot;??_-;_-@_-"/>
    <numFmt numFmtId="182" formatCode="_-* #,##0\ _€_-;\-* #,##0\ _€_-;_-* &quot;-&quot;?\ _€_-;_-@_-"/>
    <numFmt numFmtId="183" formatCode="0.000"/>
    <numFmt numFmtId="184" formatCode="0.0E+00"/>
    <numFmt numFmtId="185" formatCode="_-* #,##0\ _€_-;\-* #,##0\ _€_-;_-* &quot;-&quot;??\ _€_-;_-@_-"/>
    <numFmt numFmtId="186" formatCode="_-* #,##0.000_-;\-* #,##0.000_-;_-* &quot;-&quot;??_-;_-@_-"/>
    <numFmt numFmtId="187" formatCode="#,##0.0000"/>
  </numFmts>
  <fonts count="107">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2"/>
      <color theme="1"/>
      <name val="Calibri"/>
      <family val="2"/>
      <charset val="129"/>
      <scheme val="minor"/>
    </font>
    <font>
      <sz val="11"/>
      <color indexed="8"/>
      <name val="Calibri"/>
      <family val="2"/>
    </font>
    <font>
      <sz val="11"/>
      <color indexed="9"/>
      <name val="Calibri"/>
      <family val="2"/>
    </font>
    <font>
      <sz val="11"/>
      <color indexed="20"/>
      <name val="Calibri"/>
      <family val="2"/>
    </font>
    <font>
      <sz val="9"/>
      <color indexed="9"/>
      <name val="Times"/>
      <family val="1"/>
    </font>
    <font>
      <b/>
      <sz val="11"/>
      <color indexed="52"/>
      <name val="Calibri"/>
      <family val="2"/>
    </font>
    <font>
      <b/>
      <sz val="11"/>
      <color indexed="9"/>
      <name val="Calibri"/>
      <family val="2"/>
    </font>
    <font>
      <sz val="9"/>
      <color indexed="8"/>
      <name val="Times"/>
      <family val="1"/>
    </font>
    <font>
      <sz val="10"/>
      <name val="Arial"/>
      <family val="2"/>
    </font>
    <font>
      <sz val="12"/>
      <color indexed="24"/>
      <name val="Arial"/>
      <family val="2"/>
    </font>
    <font>
      <sz val="8"/>
      <name val="Helvetica"/>
    </font>
    <font>
      <b/>
      <sz val="8"/>
      <color indexed="24"/>
      <name val="Times New Roman"/>
      <family val="1"/>
    </font>
    <font>
      <sz val="8"/>
      <color indexed="24"/>
      <name val="Times New Roman"/>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u/>
      <sz val="12"/>
      <color indexed="12"/>
      <name val="Calibri"/>
      <family val="2"/>
    </font>
    <font>
      <sz val="11"/>
      <color indexed="52"/>
      <name val="Calibri"/>
      <family val="2"/>
    </font>
    <font>
      <sz val="11"/>
      <color indexed="60"/>
      <name val="Calibri"/>
      <family val="2"/>
    </font>
    <font>
      <sz val="12"/>
      <color theme="1"/>
      <name val="Calibri"/>
      <family val="2"/>
      <scheme val="minor"/>
    </font>
    <font>
      <sz val="11"/>
      <name val="Calibri"/>
      <family val="2"/>
    </font>
    <font>
      <sz val="12"/>
      <color indexed="8"/>
      <name val="Calibri"/>
      <family val="2"/>
    </font>
    <font>
      <sz val="10"/>
      <name val="Verdana"/>
      <family val="2"/>
    </font>
    <font>
      <sz val="9"/>
      <name val="Times New Roman"/>
      <family val="1"/>
    </font>
    <font>
      <sz val="10"/>
      <color indexed="8"/>
      <name val="Times"/>
      <family val="1"/>
    </font>
    <font>
      <sz val="9"/>
      <name val="Times"/>
    </font>
    <font>
      <sz val="12"/>
      <name val="Arial CE"/>
    </font>
    <font>
      <b/>
      <sz val="11"/>
      <color indexed="63"/>
      <name val="Calibri"/>
      <family val="2"/>
    </font>
    <font>
      <sz val="7"/>
      <name val="Helvetica"/>
    </font>
    <font>
      <b/>
      <sz val="18"/>
      <color indexed="56"/>
      <name val="Cambria"/>
      <family val="2"/>
    </font>
    <font>
      <sz val="11"/>
      <color indexed="10"/>
      <name val="Calibri"/>
      <family val="2"/>
    </font>
    <font>
      <sz val="10"/>
      <name val="Times"/>
      <family val="1"/>
    </font>
    <font>
      <sz val="11"/>
      <name val="Arial"/>
      <family val="2"/>
    </font>
    <font>
      <u/>
      <sz val="12"/>
      <color theme="10"/>
      <name val="Arial"/>
      <family val="2"/>
    </font>
    <font>
      <b/>
      <sz val="15"/>
      <color theme="3"/>
      <name val="Arial"/>
      <family val="2"/>
    </font>
    <font>
      <b/>
      <sz val="13"/>
      <color theme="3"/>
      <name val="Arial"/>
      <family val="2"/>
    </font>
    <font>
      <b/>
      <sz val="11"/>
      <color theme="3"/>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u/>
      <sz val="10"/>
      <color indexed="12"/>
      <name val="Verdana"/>
      <family val="2"/>
    </font>
    <font>
      <sz val="10"/>
      <color rgb="FF3F3F76"/>
      <name val="Arial"/>
      <family val="2"/>
    </font>
    <font>
      <sz val="10"/>
      <color rgb="FFFA7D00"/>
      <name val="Arial"/>
      <family val="2"/>
    </font>
    <font>
      <sz val="10"/>
      <color rgb="FF9C6500"/>
      <name val="Arial"/>
      <family val="2"/>
    </font>
    <font>
      <sz val="12"/>
      <color theme="1"/>
      <name val="Garamond"/>
      <family val="2"/>
    </font>
    <font>
      <b/>
      <sz val="10"/>
      <color rgb="FF3F3F3F"/>
      <name val="Arial"/>
      <family val="2"/>
    </font>
    <font>
      <b/>
      <sz val="10"/>
      <color theme="1"/>
      <name val="Arial"/>
      <family val="2"/>
    </font>
    <font>
      <sz val="10"/>
      <color rgb="FFFF0000"/>
      <name val="Arial"/>
      <family val="2"/>
    </font>
    <font>
      <sz val="11"/>
      <color indexed="8"/>
      <name val="Calibri"/>
      <family val="2"/>
      <scheme val="minor"/>
    </font>
    <font>
      <sz val="11"/>
      <name val="Calibri"/>
      <family val="2"/>
      <scheme val="minor"/>
    </font>
    <font>
      <b/>
      <sz val="12"/>
      <color theme="1"/>
      <name val="Calibri"/>
      <family val="2"/>
      <scheme val="minor"/>
    </font>
    <font>
      <sz val="11"/>
      <color rgb="FF000000"/>
      <name val="Calibri"/>
      <family val="2"/>
      <scheme val="minor"/>
    </font>
    <font>
      <b/>
      <sz val="11"/>
      <name val="Calibri"/>
      <family val="2"/>
      <scheme val="minor"/>
    </font>
    <font>
      <i/>
      <sz val="11"/>
      <color theme="1"/>
      <name val="Calibri"/>
      <family val="2"/>
      <scheme val="minor"/>
    </font>
    <font>
      <sz val="11"/>
      <name val="Arial"/>
      <family val="2"/>
    </font>
    <font>
      <sz val="10"/>
      <color theme="1"/>
      <name val="Calibri"/>
      <family val="2"/>
      <scheme val="minor"/>
    </font>
    <font>
      <sz val="10"/>
      <name val="Arial"/>
      <family val="2"/>
    </font>
    <font>
      <sz val="12"/>
      <color indexed="24"/>
      <name val="Arial"/>
      <family val="2"/>
    </font>
    <font>
      <b/>
      <sz val="8"/>
      <color indexed="24"/>
      <name val="Times New Roman"/>
      <family val="1"/>
    </font>
    <font>
      <sz val="8"/>
      <color indexed="24"/>
      <name val="Times New Roman"/>
      <family val="1"/>
    </font>
    <font>
      <sz val="11"/>
      <name val="Calibri"/>
      <family val="2"/>
    </font>
    <font>
      <sz val="10"/>
      <name val="Verdana"/>
      <family val="2"/>
    </font>
    <font>
      <b/>
      <sz val="11"/>
      <color theme="4" tint="-0.499984740745262"/>
      <name val="Calibri"/>
      <family val="2"/>
      <scheme val="minor"/>
    </font>
    <font>
      <b/>
      <sz val="11"/>
      <color theme="4" tint="0.39997558519241921"/>
      <name val="Calibri"/>
      <family val="2"/>
      <scheme val="minor"/>
    </font>
    <font>
      <b/>
      <sz val="11"/>
      <color rgb="FFC00000"/>
      <name val="Calibri"/>
      <family val="2"/>
      <scheme val="minor"/>
    </font>
    <font>
      <b/>
      <sz val="11"/>
      <color theme="5"/>
      <name val="Calibri"/>
      <family val="2"/>
      <scheme val="minor"/>
    </font>
    <font>
      <b/>
      <sz val="11"/>
      <color rgb="FFFF6565"/>
      <name val="Calibri"/>
      <family val="2"/>
      <scheme val="minor"/>
    </font>
    <font>
      <b/>
      <sz val="11"/>
      <color theme="9" tint="0.59999389629810485"/>
      <name val="Calibri"/>
      <family val="2"/>
      <scheme val="minor"/>
    </font>
    <font>
      <b/>
      <sz val="11"/>
      <color theme="9" tint="-0.249977111117893"/>
      <name val="Calibri"/>
      <family val="2"/>
      <scheme val="minor"/>
    </font>
    <font>
      <b/>
      <sz val="16"/>
      <color theme="1"/>
      <name val="Calibri"/>
      <family val="2"/>
      <scheme val="minor"/>
    </font>
    <font>
      <i/>
      <sz val="11"/>
      <name val="Calibri"/>
      <family val="2"/>
      <scheme val="minor"/>
    </font>
    <font>
      <b/>
      <sz val="11"/>
      <color rgb="FF800080"/>
      <name val="Calibri"/>
      <family val="2"/>
      <scheme val="minor"/>
    </font>
    <font>
      <b/>
      <sz val="11"/>
      <color rgb="FFCC3399"/>
      <name val="Calibri"/>
      <family val="2"/>
      <scheme val="minor"/>
    </font>
    <font>
      <sz val="9"/>
      <color theme="1"/>
      <name val="Calibri"/>
      <family val="2"/>
      <scheme val="minor"/>
    </font>
    <font>
      <sz val="10"/>
      <name val="Calibri"/>
      <family val="2"/>
      <scheme val="minor"/>
    </font>
    <font>
      <sz val="11"/>
      <color theme="2" tint="-0.249977111117893"/>
      <name val="Calibri"/>
      <family val="2"/>
      <scheme val="minor"/>
    </font>
    <font>
      <b/>
      <sz val="11"/>
      <color theme="5" tint="0.39997558519241921"/>
      <name val="Calibri"/>
      <family val="2"/>
      <scheme val="minor"/>
    </font>
    <font>
      <sz val="11"/>
      <color theme="0" tint="-0.249977111117893"/>
      <name val="Calibri"/>
      <family val="2"/>
      <scheme val="minor"/>
    </font>
    <font>
      <sz val="9"/>
      <name val="Calibri"/>
      <family val="2"/>
      <scheme val="minor"/>
    </font>
    <font>
      <sz val="11"/>
      <color theme="0"/>
      <name val="Calibri"/>
      <family val="2"/>
      <scheme val="minor"/>
    </font>
    <font>
      <i/>
      <sz val="10"/>
      <color theme="1"/>
      <name val="Calibri"/>
      <family val="2"/>
      <scheme val="minor"/>
    </font>
    <font>
      <b/>
      <sz val="11"/>
      <color theme="8" tint="-0.499984740745262"/>
      <name val="Calibri"/>
      <family val="2"/>
      <scheme val="minor"/>
    </font>
    <font>
      <b/>
      <sz val="18"/>
      <color theme="1"/>
      <name val="Calibri"/>
      <family val="2"/>
      <scheme val="minor"/>
    </font>
    <font>
      <sz val="11"/>
      <color rgb="FF000000"/>
      <name val="Calibri"/>
      <family val="2"/>
    </font>
    <font>
      <i/>
      <sz val="11"/>
      <color rgb="FF000000"/>
      <name val="Calibri"/>
      <family val="2"/>
      <scheme val="minor"/>
    </font>
    <font>
      <sz val="11"/>
      <color theme="1"/>
      <name val="Calibri"/>
      <family val="2"/>
    </font>
    <font>
      <sz val="10"/>
      <name val="Arial"/>
    </font>
    <font>
      <sz val="11"/>
      <color theme="1"/>
      <name val="Calibri"/>
      <family val="2"/>
      <charset val="1"/>
    </font>
    <font>
      <u/>
      <sz val="10"/>
      <color theme="10"/>
      <name val="Arial"/>
      <family val="2"/>
    </font>
    <font>
      <b/>
      <i/>
      <sz val="11"/>
      <name val="Calibri"/>
      <family val="2"/>
      <scheme val="minor"/>
    </font>
    <font>
      <b/>
      <sz val="10"/>
      <name val="Calibri"/>
      <family val="2"/>
      <scheme val="minor"/>
    </font>
    <font>
      <i/>
      <sz val="10"/>
      <name val="Calibri"/>
      <family val="2"/>
      <scheme val="minor"/>
    </font>
    <font>
      <b/>
      <i/>
      <sz val="10"/>
      <name val="Calibri"/>
      <family val="2"/>
      <scheme val="minor"/>
    </font>
    <font>
      <sz val="11"/>
      <color rgb="FF000000"/>
      <name val="Calibri"/>
      <family val="2"/>
      <charset val="1"/>
    </font>
    <font>
      <i/>
      <sz val="11"/>
      <color rgb="FFFF0000"/>
      <name val="Calibri"/>
      <family val="2"/>
      <scheme val="minor"/>
    </font>
    <font>
      <b/>
      <sz val="11"/>
      <color rgb="FFFF0000"/>
      <name val="Calibri"/>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26"/>
      </patternFill>
    </fill>
    <fill>
      <patternFill patternType="solid">
        <fgColor indexed="43"/>
      </patternFill>
    </fill>
    <fill>
      <patternFill patternType="solid">
        <fgColor theme="2" tint="-9.9978637043366805E-2"/>
        <bgColor indexed="64"/>
      </patternFill>
    </fill>
    <fill>
      <patternFill patternType="solid">
        <fgColor theme="2"/>
        <bgColor indexed="64"/>
      </patternFill>
    </fill>
    <fill>
      <patternFill patternType="solid">
        <fgColor theme="2" tint="-0.249977111117893"/>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auto="1"/>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s>
  <cellStyleXfs count="476">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xf numFmtId="9" fontId="3" fillId="0" borderId="0" applyFont="0" applyFill="0" applyBorder="0" applyAlignment="0" applyProtection="0"/>
    <xf numFmtId="0" fontId="5" fillId="33"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7"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36" borderId="0" applyNumberFormat="0" applyBorder="0" applyAlignment="0" applyProtection="0"/>
    <xf numFmtId="0" fontId="5" fillId="39" borderId="0" applyNumberFormat="0" applyBorder="0" applyAlignment="0" applyProtection="0"/>
    <xf numFmtId="0" fontId="5" fillId="42" borderId="0" applyNumberFormat="0" applyBorder="0" applyAlignment="0" applyProtection="0"/>
    <xf numFmtId="0" fontId="6" fillId="43" borderId="0" applyNumberFormat="0" applyBorder="0" applyAlignment="0" applyProtection="0"/>
    <xf numFmtId="0" fontId="6" fillId="40" borderId="0" applyNumberFormat="0" applyBorder="0" applyAlignment="0" applyProtection="0"/>
    <xf numFmtId="0" fontId="6" fillId="41" borderId="0" applyNumberFormat="0" applyBorder="0" applyAlignment="0" applyProtection="0"/>
    <xf numFmtId="0" fontId="6" fillId="44" borderId="0" applyNumberFormat="0" applyBorder="0" applyAlignment="0" applyProtection="0"/>
    <xf numFmtId="0" fontId="6" fillId="45" borderId="0" applyNumberFormat="0" applyBorder="0" applyAlignment="0" applyProtection="0"/>
    <xf numFmtId="0" fontId="6" fillId="46" borderId="0" applyNumberFormat="0" applyBorder="0" applyAlignment="0" applyProtection="0"/>
    <xf numFmtId="0" fontId="7" fillId="34" borderId="0" applyNumberFormat="0" applyBorder="0" applyAlignment="0" applyProtection="0"/>
    <xf numFmtId="166" fontId="8" fillId="0" borderId="0">
      <alignment vertical="top"/>
    </xf>
    <xf numFmtId="0" fontId="9" fillId="47" borderId="10" applyNumberFormat="0" applyAlignment="0" applyProtection="0"/>
    <xf numFmtId="0" fontId="10" fillId="48" borderId="11" applyNumberFormat="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3" fontId="11" fillId="0" borderId="0" applyFill="0" applyBorder="0">
      <alignment horizontal="right" vertical="top"/>
    </xf>
    <xf numFmtId="168" fontId="11" fillId="0" borderId="0" applyFill="0" applyBorder="0">
      <alignment horizontal="right" vertical="top"/>
    </xf>
    <xf numFmtId="3" fontId="11" fillId="0" borderId="0" applyFill="0" applyBorder="0">
      <alignment horizontal="right" vertical="top"/>
    </xf>
    <xf numFmtId="169" fontId="8" fillId="0" borderId="0" applyFont="0" applyFill="0" applyBorder="0">
      <alignment horizontal="right" vertical="top"/>
    </xf>
    <xf numFmtId="170" fontId="11" fillId="0" borderId="0" applyFont="0" applyFill="0" applyBorder="0" applyAlignment="0" applyProtection="0">
      <alignment horizontal="right" vertical="top"/>
    </xf>
    <xf numFmtId="168" fontId="11" fillId="0" borderId="0">
      <alignment horizontal="right" vertical="top"/>
    </xf>
    <xf numFmtId="3" fontId="12" fillId="0" borderId="0" applyFont="0" applyFill="0" applyBorder="0" applyAlignment="0" applyProtection="0"/>
    <xf numFmtId="0" fontId="5" fillId="49" borderId="12" applyNumberFormat="0" applyFont="0" applyAlignment="0" applyProtection="0"/>
    <xf numFmtId="165" fontId="12" fillId="0" borderId="0" applyFont="0" applyFill="0" applyBorder="0" applyAlignment="0" applyProtection="0"/>
    <xf numFmtId="0" fontId="13" fillId="0" borderId="0" applyFont="0" applyFill="0" applyBorder="0" applyAlignment="0" applyProtection="0"/>
    <xf numFmtId="171" fontId="14"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3" fontId="13" fillId="0" borderId="0" applyFont="0" applyFill="0" applyBorder="0" applyAlignment="0" applyProtection="0"/>
    <xf numFmtId="2" fontId="12" fillId="0" borderId="0" applyFont="0" applyFill="0" applyBorder="0" applyAlignment="0" applyProtection="0"/>
    <xf numFmtId="0" fontId="18" fillId="35" borderId="0" applyNumberFormat="0" applyBorder="0" applyAlignment="0" applyProtection="0"/>
    <xf numFmtId="0" fontId="19" fillId="0" borderId="13" applyNumberFormat="0" applyFill="0" applyAlignment="0" applyProtection="0"/>
    <xf numFmtId="0" fontId="20" fillId="0" borderId="14" applyNumberFormat="0" applyFill="0" applyAlignment="0" applyProtection="0"/>
    <xf numFmtId="0" fontId="21" fillId="0" borderId="15" applyNumberFormat="0" applyFill="0" applyAlignment="0" applyProtection="0"/>
    <xf numFmtId="0" fontId="21" fillId="0" borderId="0" applyNumberFormat="0" applyFill="0" applyBorder="0" applyAlignment="0" applyProtection="0"/>
    <xf numFmtId="0" fontId="22" fillId="38" borderId="10" applyNumberFormat="0" applyAlignment="0" applyProtection="0"/>
    <xf numFmtId="0" fontId="23" fillId="0" borderId="0" applyNumberFormat="0" applyFill="0" applyBorder="0" applyAlignment="0" applyProtection="0"/>
    <xf numFmtId="0" fontId="24" fillId="0" borderId="16" applyNumberFormat="0" applyFill="0" applyAlignment="0" applyProtection="0"/>
    <xf numFmtId="172" fontId="3" fillId="0" borderId="0" applyFont="0" applyFill="0" applyBorder="0" applyAlignment="0" applyProtection="0"/>
    <xf numFmtId="173" fontId="13" fillId="0" borderId="0" applyFont="0" applyFill="0" applyBorder="0" applyAlignment="0" applyProtection="0"/>
    <xf numFmtId="0" fontId="12" fillId="0" borderId="0"/>
    <xf numFmtId="0" fontId="25" fillId="50" borderId="0" applyNumberFormat="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6" fillId="0" borderId="0"/>
    <xf numFmtId="0" fontId="26" fillId="0" borderId="0"/>
    <xf numFmtId="0" fontId="26" fillId="0" borderId="0"/>
    <xf numFmtId="0" fontId="26" fillId="0" borderId="0"/>
    <xf numFmtId="0" fontId="26" fillId="0" borderId="0"/>
    <xf numFmtId="0" fontId="3" fillId="0" borderId="0"/>
    <xf numFmtId="0" fontId="26" fillId="0" borderId="0"/>
    <xf numFmtId="0" fontId="1" fillId="0" borderId="0"/>
    <xf numFmtId="0" fontId="3" fillId="0" borderId="0"/>
    <xf numFmtId="0" fontId="13" fillId="0" borderId="0"/>
    <xf numFmtId="0" fontId="13" fillId="0" borderId="0"/>
    <xf numFmtId="0" fontId="12" fillId="0" borderId="0"/>
    <xf numFmtId="0" fontId="3" fillId="0" borderId="0"/>
    <xf numFmtId="0" fontId="3" fillId="0" borderId="0"/>
    <xf numFmtId="0" fontId="3" fillId="0" borderId="0"/>
    <xf numFmtId="0" fontId="27" fillId="0" borderId="0"/>
    <xf numFmtId="0" fontId="12" fillId="0" borderId="0"/>
    <xf numFmtId="0" fontId="28" fillId="0" borderId="0"/>
    <xf numFmtId="0" fontId="29" fillId="0" borderId="0"/>
    <xf numFmtId="0" fontId="12" fillId="0" borderId="0"/>
    <xf numFmtId="0" fontId="26" fillId="0" borderId="0"/>
    <xf numFmtId="0" fontId="26" fillId="0" borderId="0"/>
    <xf numFmtId="0" fontId="1" fillId="0" borderId="0"/>
    <xf numFmtId="0" fontId="12" fillId="0" borderId="0"/>
    <xf numFmtId="0" fontId="26" fillId="0" borderId="0"/>
    <xf numFmtId="0" fontId="3" fillId="0" borderId="0"/>
    <xf numFmtId="0" fontId="3" fillId="0" borderId="0"/>
    <xf numFmtId="0" fontId="3" fillId="0" borderId="0"/>
    <xf numFmtId="0" fontId="3" fillId="0" borderId="0"/>
    <xf numFmtId="0" fontId="30" fillId="0" borderId="17" applyNumberFormat="0" applyFill="0" applyAlignment="0" applyProtection="0"/>
    <xf numFmtId="1" fontId="8" fillId="0" borderId="0">
      <alignment vertical="top" wrapText="1"/>
    </xf>
    <xf numFmtId="1" fontId="31" fillId="0" borderId="0" applyFill="0" applyBorder="0" applyProtection="0"/>
    <xf numFmtId="1" fontId="30" fillId="0" borderId="0" applyFont="0" applyFill="0" applyBorder="0" applyProtection="0">
      <alignment vertical="center"/>
    </xf>
    <xf numFmtId="1" fontId="32" fillId="0" borderId="0">
      <alignment horizontal="right" vertical="top"/>
    </xf>
    <xf numFmtId="1" fontId="11" fillId="0" borderId="0" applyNumberFormat="0" applyFill="0" applyBorder="0">
      <alignment vertical="top"/>
    </xf>
    <xf numFmtId="0" fontId="33" fillId="0" borderId="0"/>
    <xf numFmtId="0" fontId="12" fillId="49" borderId="12" applyNumberFormat="0" applyFont="0" applyAlignment="0" applyProtection="0"/>
    <xf numFmtId="0" fontId="34" fillId="47" borderId="18"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167" fontId="1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26" fillId="0" borderId="0" applyFont="0" applyFill="0" applyBorder="0" applyAlignment="0" applyProtection="0"/>
    <xf numFmtId="9" fontId="28"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7"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8" fillId="35" borderId="0" applyNumberFormat="0" applyBorder="0" applyAlignment="0" applyProtection="0"/>
    <xf numFmtId="0" fontId="12" fillId="0" borderId="0"/>
    <xf numFmtId="0" fontId="12" fillId="0" borderId="0"/>
    <xf numFmtId="2" fontId="12" fillId="0" borderId="0" applyFont="0" applyFill="0" applyBorder="0" applyProtection="0">
      <alignment horizontal="right"/>
    </xf>
    <xf numFmtId="2" fontId="12" fillId="0" borderId="0" applyFont="0" applyFill="0" applyBorder="0" applyProtection="0">
      <alignment horizontal="right"/>
    </xf>
    <xf numFmtId="0" fontId="35" fillId="0" borderId="19">
      <alignment horizontal="center"/>
    </xf>
    <xf numFmtId="49" fontId="11" fillId="0" borderId="0" applyFill="0" applyBorder="0" applyAlignment="0" applyProtection="0">
      <alignment vertical="top"/>
    </xf>
    <xf numFmtId="0" fontId="36" fillId="0" borderId="0" applyNumberFormat="0" applyFill="0" applyBorder="0" applyAlignment="0" applyProtection="0"/>
    <xf numFmtId="0" fontId="36" fillId="0" borderId="0" applyNumberFormat="0" applyFill="0" applyBorder="0" applyAlignment="0" applyProtection="0"/>
    <xf numFmtId="0" fontId="19" fillId="0" borderId="13" applyNumberFormat="0" applyFill="0" applyAlignment="0" applyProtection="0"/>
    <xf numFmtId="0" fontId="20" fillId="0" borderId="14" applyNumberFormat="0" applyFill="0" applyAlignment="0" applyProtection="0"/>
    <xf numFmtId="0" fontId="21" fillId="0" borderId="15" applyNumberFormat="0" applyFill="0" applyAlignment="0" applyProtection="0"/>
    <xf numFmtId="0" fontId="21" fillId="0" borderId="0" applyNumberFormat="0" applyFill="0" applyBorder="0" applyAlignment="0" applyProtection="0"/>
    <xf numFmtId="0" fontId="10" fillId="48" borderId="11" applyNumberFormat="0" applyAlignment="0" applyProtection="0"/>
    <xf numFmtId="2" fontId="13" fillId="0" borderId="0" applyFont="0" applyFill="0" applyBorder="0" applyAlignment="0" applyProtection="0"/>
    <xf numFmtId="0" fontId="37" fillId="0" borderId="0" applyNumberFormat="0" applyFill="0" applyBorder="0" applyAlignment="0" applyProtection="0"/>
    <xf numFmtId="1" fontId="38" fillId="0" borderId="0">
      <alignment vertical="top" wrapText="1"/>
    </xf>
    <xf numFmtId="9" fontId="3" fillId="0" borderId="0" applyFont="0" applyFill="0" applyBorder="0" applyAlignment="0" applyProtection="0"/>
    <xf numFmtId="9" fontId="3" fillId="0" borderId="0" applyFont="0" applyFill="0" applyBorder="0" applyAlignment="0" applyProtection="0"/>
    <xf numFmtId="0" fontId="44" fillId="10" borderId="0" applyNumberFormat="0" applyBorder="0" applyAlignment="0" applyProtection="0"/>
    <xf numFmtId="0" fontId="44" fillId="14" borderId="0" applyNumberFormat="0" applyBorder="0" applyAlignment="0" applyProtection="0"/>
    <xf numFmtId="0" fontId="44" fillId="18" borderId="0" applyNumberFormat="0" applyBorder="0" applyAlignment="0" applyProtection="0"/>
    <xf numFmtId="0" fontId="44" fillId="22" borderId="0" applyNumberFormat="0" applyBorder="0" applyAlignment="0" applyProtection="0"/>
    <xf numFmtId="0" fontId="44" fillId="26" borderId="0" applyNumberFormat="0" applyBorder="0" applyAlignment="0" applyProtection="0"/>
    <xf numFmtId="0" fontId="44" fillId="30" borderId="0" applyNumberFormat="0" applyBorder="0" applyAlignment="0" applyProtection="0"/>
    <xf numFmtId="0" fontId="44" fillId="11" borderId="0" applyNumberFormat="0" applyBorder="0" applyAlignment="0" applyProtection="0"/>
    <xf numFmtId="0" fontId="44" fillId="15" borderId="0" applyNumberFormat="0" applyBorder="0" applyAlignment="0" applyProtection="0"/>
    <xf numFmtId="0" fontId="44" fillId="19" borderId="0" applyNumberFormat="0" applyBorder="0" applyAlignment="0" applyProtection="0"/>
    <xf numFmtId="0" fontId="44" fillId="23" borderId="0" applyNumberFormat="0" applyBorder="0" applyAlignment="0" applyProtection="0"/>
    <xf numFmtId="0" fontId="44" fillId="27" borderId="0" applyNumberFormat="0" applyBorder="0" applyAlignment="0" applyProtection="0"/>
    <xf numFmtId="0" fontId="44" fillId="31" borderId="0" applyNumberFormat="0" applyBorder="0" applyAlignment="0" applyProtection="0"/>
    <xf numFmtId="0" fontId="45" fillId="12" borderId="0" applyNumberFormat="0" applyBorder="0" applyAlignment="0" applyProtection="0"/>
    <xf numFmtId="0" fontId="45" fillId="16" borderId="0" applyNumberFormat="0" applyBorder="0" applyAlignment="0" applyProtection="0"/>
    <xf numFmtId="0" fontId="45" fillId="20" borderId="0" applyNumberFormat="0" applyBorder="0" applyAlignment="0" applyProtection="0"/>
    <xf numFmtId="0" fontId="45" fillId="24" borderId="0" applyNumberFormat="0" applyBorder="0" applyAlignment="0" applyProtection="0"/>
    <xf numFmtId="0" fontId="45" fillId="28" borderId="0" applyNumberFormat="0" applyBorder="0" applyAlignment="0" applyProtection="0"/>
    <xf numFmtId="0" fontId="45" fillId="32" borderId="0" applyNumberFormat="0" applyBorder="0" applyAlignment="0" applyProtection="0"/>
    <xf numFmtId="0" fontId="45" fillId="9" borderId="0" applyNumberFormat="0" applyBorder="0" applyAlignment="0" applyProtection="0"/>
    <xf numFmtId="0" fontId="45" fillId="13" borderId="0" applyNumberFormat="0" applyBorder="0" applyAlignment="0" applyProtection="0"/>
    <xf numFmtId="0" fontId="45" fillId="17" borderId="0" applyNumberFormat="0" applyBorder="0" applyAlignment="0" applyProtection="0"/>
    <xf numFmtId="0" fontId="45" fillId="21" borderId="0" applyNumberFormat="0" applyBorder="0" applyAlignment="0" applyProtection="0"/>
    <xf numFmtId="0" fontId="45" fillId="25" borderId="0" applyNumberFormat="0" applyBorder="0" applyAlignment="0" applyProtection="0"/>
    <xf numFmtId="0" fontId="45" fillId="29" borderId="0" applyNumberFormat="0" applyBorder="0" applyAlignment="0" applyProtection="0"/>
    <xf numFmtId="0" fontId="46" fillId="3" borderId="0" applyNumberFormat="0" applyBorder="0" applyAlignment="0" applyProtection="0"/>
    <xf numFmtId="0" fontId="47" fillId="6" borderId="4" applyNumberFormat="0" applyAlignment="0" applyProtection="0"/>
    <xf numFmtId="0" fontId="48" fillId="7" borderId="7" applyNumberFormat="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171" fontId="26" fillId="0" borderId="0" applyFont="0" applyFill="0" applyBorder="0" applyAlignment="0" applyProtection="0"/>
    <xf numFmtId="171" fontId="26"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5" fontId="39" fillId="0" borderId="0" applyFont="0" applyFill="0" applyBorder="0" applyAlignment="0" applyProtection="0"/>
    <xf numFmtId="171" fontId="1" fillId="0" borderId="0" applyFont="0" applyFill="0" applyBorder="0" applyAlignment="0" applyProtection="0"/>
    <xf numFmtId="0" fontId="13"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49" fillId="0" borderId="0" applyNumberFormat="0" applyFill="0" applyBorder="0" applyAlignment="0" applyProtection="0"/>
    <xf numFmtId="3" fontId="13" fillId="0" borderId="0" applyFont="0" applyFill="0" applyBorder="0" applyAlignment="0" applyProtection="0"/>
    <xf numFmtId="0" fontId="50" fillId="2" borderId="0" applyNumberFormat="0" applyBorder="0" applyAlignment="0" applyProtection="0"/>
    <xf numFmtId="0" fontId="41" fillId="0" borderId="1" applyNumberFormat="0" applyFill="0" applyAlignment="0" applyProtection="0"/>
    <xf numFmtId="0" fontId="42" fillId="0" borderId="2" applyNumberFormat="0" applyFill="0" applyAlignment="0" applyProtection="0"/>
    <xf numFmtId="0" fontId="43" fillId="0" borderId="3" applyNumberFormat="0" applyFill="0" applyAlignment="0" applyProtection="0"/>
    <xf numFmtId="0" fontId="43" fillId="0" borderId="0" applyNumberFormat="0" applyFill="0" applyBorder="0" applyAlignment="0" applyProtection="0"/>
    <xf numFmtId="0" fontId="51" fillId="0" borderId="0" applyNumberFormat="0" applyFill="0" applyBorder="0" applyAlignment="0" applyProtection="0">
      <alignment vertical="top"/>
      <protection locked="0"/>
    </xf>
    <xf numFmtId="0" fontId="52" fillId="5" borderId="4" applyNumberFormat="0" applyAlignment="0" applyProtection="0"/>
    <xf numFmtId="0" fontId="53" fillId="0" borderId="6" applyNumberFormat="0" applyFill="0" applyAlignment="0" applyProtection="0"/>
    <xf numFmtId="173" fontId="13" fillId="0" borderId="0" applyFont="0" applyFill="0" applyBorder="0" applyAlignment="0" applyProtection="0"/>
    <xf numFmtId="0" fontId="54" fillId="4" borderId="0" applyNumberFormat="0" applyBorder="0" applyAlignment="0" applyProtection="0"/>
    <xf numFmtId="0" fontId="1" fillId="0" borderId="0"/>
    <xf numFmtId="0" fontId="1" fillId="0" borderId="0"/>
    <xf numFmtId="0" fontId="1" fillId="0" borderId="0"/>
    <xf numFmtId="0" fontId="12" fillId="0" borderId="0"/>
    <xf numFmtId="0" fontId="1" fillId="0" borderId="0"/>
    <xf numFmtId="0" fontId="1" fillId="0" borderId="0"/>
    <xf numFmtId="176" fontId="12" fillId="0" borderId="0" applyNumberFormat="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Fill="0" applyProtection="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 fillId="0" borderId="0"/>
    <xf numFmtId="0" fontId="1" fillId="0" borderId="0"/>
    <xf numFmtId="0" fontId="1" fillId="0" borderId="0"/>
    <xf numFmtId="0" fontId="1" fillId="0" borderId="0"/>
    <xf numFmtId="0" fontId="1" fillId="0" borderId="0"/>
    <xf numFmtId="0" fontId="26" fillId="0" borderId="0"/>
    <xf numFmtId="0" fontId="12" fillId="0" borderId="0"/>
    <xf numFmtId="0" fontId="1" fillId="0" borderId="0"/>
    <xf numFmtId="0" fontId="1" fillId="0" borderId="0"/>
    <xf numFmtId="0" fontId="1" fillId="0" borderId="0"/>
    <xf numFmtId="0" fontId="1" fillId="0" borderId="0"/>
    <xf numFmtId="0" fontId="12" fillId="0" borderId="0"/>
    <xf numFmtId="0" fontId="1" fillId="0" borderId="0"/>
    <xf numFmtId="0" fontId="26" fillId="0" borderId="0"/>
    <xf numFmtId="0" fontId="5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6" fillId="0" borderId="0"/>
    <xf numFmtId="0" fontId="26" fillId="0" borderId="0"/>
    <xf numFmtId="0" fontId="26" fillId="0" borderId="0"/>
    <xf numFmtId="0" fontId="44" fillId="8" borderId="8" applyNumberFormat="0" applyFont="0" applyAlignment="0" applyProtection="0"/>
    <xf numFmtId="0" fontId="1" fillId="8" borderId="8" applyNumberFormat="0" applyFont="0" applyAlignment="0" applyProtection="0"/>
    <xf numFmtId="0" fontId="56" fillId="6" borderId="5" applyNumberFormat="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5" fillId="0" borderId="0" applyFont="0" applyFill="0" applyBorder="0" applyAlignment="0" applyProtection="0"/>
    <xf numFmtId="9" fontId="3"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3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9"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6" fillId="0" borderId="0" applyFont="0" applyFill="0" applyBorder="0" applyAlignment="0" applyProtection="0"/>
    <xf numFmtId="0" fontId="57" fillId="0" borderId="9" applyNumberFormat="0" applyFill="0" applyAlignment="0" applyProtection="0"/>
    <xf numFmtId="2" fontId="13" fillId="0" borderId="0" applyFont="0" applyFill="0" applyBorder="0" applyAlignment="0" applyProtection="0"/>
    <xf numFmtId="0" fontId="58" fillId="0" borderId="0" applyNumberFormat="0" applyFill="0" applyBorder="0" applyAlignment="0" applyProtection="0"/>
    <xf numFmtId="176" fontId="12" fillId="0" borderId="0" applyNumberFormat="0" applyFont="0" applyFill="0" applyBorder="0" applyAlignment="0" applyProtection="0"/>
    <xf numFmtId="0" fontId="12" fillId="0" borderId="0"/>
    <xf numFmtId="171" fontId="67" fillId="0" borderId="0" applyFont="0" applyFill="0" applyBorder="0" applyAlignment="0" applyProtection="0"/>
    <xf numFmtId="9" fontId="7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2" fillId="0" borderId="0" applyFont="0" applyFill="0" applyBorder="0" applyAlignment="0" applyProtection="0"/>
    <xf numFmtId="178" fontId="12" fillId="0" borderId="0" applyFont="0" applyFill="0" applyBorder="0" applyAlignment="0" applyProtection="0"/>
    <xf numFmtId="171" fontId="55"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171" fontId="26"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17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 fillId="0" borderId="0"/>
    <xf numFmtId="9" fontId="3" fillId="0" borderId="0" applyFont="0" applyFill="0" applyBorder="0" applyAlignment="0" applyProtection="0"/>
    <xf numFmtId="0" fontId="40" fillId="0" borderId="0" applyNumberFormat="0" applyFill="0" applyBorder="0" applyAlignment="0" applyProtection="0"/>
    <xf numFmtId="171" fontId="12" fillId="0" borderId="0" applyFont="0" applyFill="0" applyBorder="0" applyAlignment="0" applyProtection="0"/>
    <xf numFmtId="0" fontId="3" fillId="0" borderId="0"/>
    <xf numFmtId="0" fontId="3" fillId="0" borderId="0"/>
    <xf numFmtId="0" fontId="3" fillId="0" borderId="0"/>
    <xf numFmtId="0" fontId="3" fillId="0" borderId="0"/>
    <xf numFmtId="9" fontId="4" fillId="0" borderId="0" applyFont="0" applyFill="0" applyBorder="0" applyAlignment="0" applyProtection="0"/>
    <xf numFmtId="9" fontId="1" fillId="0" borderId="0" applyFont="0" applyFill="0" applyBorder="0" applyAlignment="0" applyProtection="0"/>
    <xf numFmtId="9" fontId="44"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9" fillId="0" borderId="0" applyFont="0" applyFill="0" applyBorder="0" applyAlignment="0" applyProtection="0"/>
    <xf numFmtId="9" fontId="27"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27" fillId="0" borderId="0" applyFont="0" applyFill="0" applyBorder="0" applyAlignment="0" applyProtection="0"/>
    <xf numFmtId="9" fontId="3" fillId="0" borderId="0" applyFont="0" applyFill="0" applyBorder="0" applyAlignment="0" applyProtection="0"/>
    <xf numFmtId="0" fontId="3" fillId="0" borderId="0"/>
    <xf numFmtId="0" fontId="4" fillId="0" borderId="0"/>
    <xf numFmtId="164" fontId="3" fillId="0" borderId="0" applyFont="0" applyFill="0" applyBorder="0" applyAlignment="0" applyProtection="0"/>
    <xf numFmtId="0" fontId="3" fillId="0" borderId="0"/>
    <xf numFmtId="0" fontId="67" fillId="0" borderId="0"/>
    <xf numFmtId="176" fontId="67" fillId="0" borderId="0" applyNumberFormat="0" applyFont="0" applyFill="0" applyBorder="0" applyAlignment="0" applyProtection="0"/>
    <xf numFmtId="2" fontId="68" fillId="0" borderId="0" applyFont="0" applyFill="0" applyBorder="0" applyAlignment="0" applyProtection="0"/>
    <xf numFmtId="9" fontId="65" fillId="0" borderId="0" applyFont="0" applyFill="0" applyBorder="0" applyAlignment="0" applyProtection="0"/>
    <xf numFmtId="9" fontId="65" fillId="0" borderId="0" applyFont="0" applyFill="0" applyBorder="0" applyAlignment="0" applyProtection="0"/>
    <xf numFmtId="9" fontId="67" fillId="0" borderId="0" applyFont="0" applyFill="0" applyBorder="0" applyAlignment="0" applyProtection="0"/>
    <xf numFmtId="9" fontId="65" fillId="0" borderId="0" applyFont="0" applyFill="0" applyBorder="0" applyAlignment="0" applyProtection="0"/>
    <xf numFmtId="9" fontId="72" fillId="0" borderId="0" applyFont="0" applyFill="0" applyBorder="0" applyAlignment="0" applyProtection="0"/>
    <xf numFmtId="0" fontId="59" fillId="0" borderId="0"/>
    <xf numFmtId="0" fontId="67" fillId="0" borderId="0"/>
    <xf numFmtId="0" fontId="67" fillId="0" borderId="0"/>
    <xf numFmtId="0" fontId="67" fillId="0" borderId="0"/>
    <xf numFmtId="176" fontId="67" fillId="0" borderId="0" applyNumberFormat="0" applyFont="0" applyFill="0" applyBorder="0" applyAlignment="0" applyProtection="0"/>
    <xf numFmtId="0" fontId="67" fillId="0" borderId="0"/>
    <xf numFmtId="173" fontId="68" fillId="0" borderId="0" applyFont="0" applyFill="0" applyBorder="0" applyAlignment="0" applyProtection="0"/>
    <xf numFmtId="3" fontId="68" fillId="0" borderId="0" applyFon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68" fillId="0" borderId="0" applyFont="0" applyFill="0" applyBorder="0" applyAlignment="0" applyProtection="0"/>
    <xf numFmtId="175" fontId="65" fillId="0" borderId="0" applyFont="0" applyFill="0" applyBorder="0" applyAlignment="0" applyProtection="0"/>
    <xf numFmtId="2" fontId="68" fillId="0" borderId="0" applyFont="0" applyFill="0" applyBorder="0" applyAlignment="0" applyProtection="0"/>
    <xf numFmtId="9" fontId="3" fillId="0" borderId="0" applyFont="0" applyFill="0" applyBorder="0" applyAlignment="0" applyProtection="0"/>
    <xf numFmtId="2" fontId="67" fillId="0" borderId="0" applyFont="0" applyFill="0" applyBorder="0" applyProtection="0">
      <alignment horizontal="right"/>
    </xf>
    <xf numFmtId="2" fontId="67" fillId="0" borderId="0" applyFont="0" applyFill="0" applyBorder="0" applyProtection="0">
      <alignment horizontal="right"/>
    </xf>
    <xf numFmtId="0" fontId="67" fillId="0" borderId="0"/>
    <xf numFmtId="9" fontId="71"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0" fontId="67" fillId="49" borderId="12" applyNumberFormat="0" applyFont="0" applyAlignment="0" applyProtection="0"/>
    <xf numFmtId="0" fontId="3" fillId="0" borderId="0"/>
    <xf numFmtId="0" fontId="67" fillId="0" borderId="0"/>
    <xf numFmtId="0" fontId="67" fillId="0" borderId="0"/>
    <xf numFmtId="0" fontId="72" fillId="0" borderId="0"/>
    <xf numFmtId="0" fontId="71" fillId="0" borderId="0"/>
    <xf numFmtId="0" fontId="67" fillId="0" borderId="0"/>
    <xf numFmtId="0" fontId="68" fillId="0" borderId="0"/>
    <xf numFmtId="0" fontId="68" fillId="0" borderId="0"/>
    <xf numFmtId="9" fontId="3" fillId="0" borderId="0" applyFont="0" applyFill="0" applyBorder="0" applyAlignment="0" applyProtection="0"/>
    <xf numFmtId="0" fontId="67" fillId="0" borderId="0"/>
    <xf numFmtId="173" fontId="68" fillId="0" borderId="0" applyFont="0" applyFill="0" applyBorder="0" applyAlignment="0" applyProtection="0"/>
    <xf numFmtId="2" fontId="67" fillId="0" borderId="0" applyFont="0" applyFill="0" applyBorder="0" applyAlignment="0" applyProtection="0"/>
    <xf numFmtId="3" fontId="68" fillId="0" borderId="0" applyFont="0" applyFill="0" applyBorder="0" applyAlignment="0" applyProtection="0"/>
    <xf numFmtId="0" fontId="70" fillId="0" borderId="0" applyNumberFormat="0" applyFill="0" applyBorder="0" applyAlignment="0" applyProtection="0"/>
    <xf numFmtId="0" fontId="69" fillId="0" borderId="0" applyNumberFormat="0" applyFill="0" applyBorder="0" applyAlignment="0" applyProtection="0"/>
    <xf numFmtId="0" fontId="68" fillId="0" borderId="0" applyFont="0" applyFill="0" applyBorder="0" applyAlignment="0" applyProtection="0"/>
    <xf numFmtId="165" fontId="67" fillId="0" borderId="0" applyFont="0" applyFill="0" applyBorder="0" applyAlignment="0" applyProtection="0"/>
    <xf numFmtId="3" fontId="67" fillId="0" borderId="0" applyFont="0" applyFill="0" applyBorder="0" applyAlignment="0" applyProtection="0"/>
    <xf numFmtId="179" fontId="12" fillId="0" borderId="0" applyFont="0" applyFill="0" applyBorder="0" applyAlignment="0" applyProtection="0"/>
    <xf numFmtId="0" fontId="12" fillId="0" borderId="0"/>
    <xf numFmtId="0" fontId="3" fillId="0" borderId="0"/>
    <xf numFmtId="0" fontId="3" fillId="0" borderId="0"/>
    <xf numFmtId="9" fontId="1" fillId="0" borderId="0" applyFont="0" applyFill="0" applyBorder="0" applyAlignment="0" applyProtection="0"/>
    <xf numFmtId="9" fontId="3" fillId="0" borderId="0" applyFont="0" applyFill="0" applyBorder="0" applyAlignment="0" applyProtection="0"/>
    <xf numFmtId="0" fontId="3" fillId="0" borderId="0"/>
    <xf numFmtId="9" fontId="72" fillId="0" borderId="0" applyFont="0" applyFill="0" applyBorder="0" applyAlignment="0" applyProtection="0"/>
    <xf numFmtId="9" fontId="71" fillId="0" borderId="0" applyFont="0" applyFill="0" applyBorder="0" applyAlignment="0" applyProtection="0"/>
    <xf numFmtId="171" fontId="67" fillId="0" borderId="0" applyFont="0" applyFill="0" applyBorder="0" applyAlignment="0" applyProtection="0"/>
    <xf numFmtId="178" fontId="67" fillId="0" borderId="0" applyFont="0" applyFill="0" applyBorder="0" applyAlignment="0" applyProtection="0"/>
    <xf numFmtId="179" fontId="67" fillId="0" borderId="0" applyFont="0" applyFill="0" applyBorder="0" applyAlignment="0" applyProtection="0"/>
    <xf numFmtId="0" fontId="67" fillId="0" borderId="0"/>
    <xf numFmtId="0" fontId="97" fillId="0" borderId="0"/>
    <xf numFmtId="0" fontId="97" fillId="0" borderId="0"/>
    <xf numFmtId="167" fontId="12" fillId="0" borderId="0" applyFont="0" applyFill="0" applyBorder="0" applyAlignment="0" applyProtection="0"/>
    <xf numFmtId="9" fontId="12" fillId="0" borderId="0" applyFont="0" applyFill="0" applyBorder="0" applyAlignment="0" applyProtection="0"/>
    <xf numFmtId="0" fontId="1" fillId="0" borderId="0"/>
    <xf numFmtId="0" fontId="12" fillId="0" borderId="0"/>
    <xf numFmtId="167" fontId="12" fillId="0" borderId="0" applyFont="0" applyFill="0" applyBorder="0" applyAlignment="0" applyProtection="0"/>
    <xf numFmtId="0" fontId="27" fillId="0" borderId="0"/>
    <xf numFmtId="9" fontId="27" fillId="0" borderId="0" applyFont="0" applyFill="0" applyBorder="0" applyAlignment="0" applyProtection="0"/>
    <xf numFmtId="0" fontId="3" fillId="0" borderId="0"/>
    <xf numFmtId="9" fontId="3" fillId="0" borderId="0" applyFont="0" applyFill="0" applyBorder="0" applyAlignment="0" applyProtection="0"/>
    <xf numFmtId="0" fontId="13" fillId="0" borderId="0"/>
    <xf numFmtId="0" fontId="12" fillId="0" borderId="0"/>
    <xf numFmtId="0" fontId="28" fillId="0" borderId="0"/>
    <xf numFmtId="0" fontId="26" fillId="0" borderId="0"/>
    <xf numFmtId="9" fontId="12" fillId="0" borderId="0" applyFont="0" applyFill="0" applyBorder="0" applyAlignment="0" applyProtection="0"/>
    <xf numFmtId="0" fontId="5" fillId="49" borderId="26" applyNumberFormat="0" applyFont="0" applyAlignment="0" applyProtection="0"/>
    <xf numFmtId="0" fontId="12" fillId="0" borderId="0"/>
    <xf numFmtId="9" fontId="26" fillId="0" borderId="0" applyFont="0" applyFill="0" applyBorder="0" applyAlignment="0" applyProtection="0"/>
    <xf numFmtId="0" fontId="62" fillId="0" borderId="0"/>
    <xf numFmtId="0" fontId="9" fillId="47" borderId="27" applyNumberFormat="0" applyAlignment="0" applyProtection="0"/>
    <xf numFmtId="0" fontId="22" fillId="38" borderId="27" applyNumberFormat="0" applyAlignment="0" applyProtection="0"/>
    <xf numFmtId="0" fontId="12" fillId="49" borderId="26" applyNumberFormat="0" applyFont="0" applyAlignment="0" applyProtection="0"/>
    <xf numFmtId="0" fontId="34" fillId="47" borderId="28" applyNumberFormat="0" applyAlignment="0" applyProtection="0"/>
    <xf numFmtId="43" fontId="27" fillId="0" borderId="0" applyFont="0" applyFill="0" applyBorder="0" applyAlignment="0" applyProtection="0"/>
    <xf numFmtId="0" fontId="26" fillId="0" borderId="0"/>
    <xf numFmtId="0" fontId="1" fillId="0" borderId="0"/>
    <xf numFmtId="0" fontId="97" fillId="0" borderId="0"/>
    <xf numFmtId="0" fontId="97" fillId="0" borderId="0"/>
    <xf numFmtId="0" fontId="97" fillId="0" borderId="0"/>
    <xf numFmtId="0" fontId="97" fillId="0" borderId="0"/>
    <xf numFmtId="0" fontId="97" fillId="0" borderId="0"/>
    <xf numFmtId="0" fontId="62" fillId="0" borderId="0"/>
    <xf numFmtId="0" fontId="62" fillId="0" borderId="0"/>
    <xf numFmtId="0" fontId="98" fillId="0" borderId="0"/>
    <xf numFmtId="0" fontId="99" fillId="0" borderId="0" applyNumberFormat="0" applyFill="0" applyBorder="0" applyAlignment="0" applyProtection="0"/>
    <xf numFmtId="0" fontId="62" fillId="0" borderId="0"/>
    <xf numFmtId="43" fontId="62" fillId="0" borderId="0" applyFont="0" applyFill="0" applyBorder="0" applyAlignment="0" applyProtection="0"/>
    <xf numFmtId="0" fontId="104" fillId="0" borderId="0" applyBorder="0" applyProtection="0"/>
    <xf numFmtId="0" fontId="104" fillId="0" borderId="0"/>
    <xf numFmtId="0" fontId="98" fillId="0" borderId="0"/>
    <xf numFmtId="0" fontId="62" fillId="0" borderId="0"/>
  </cellStyleXfs>
  <cellXfs count="304">
    <xf numFmtId="0" fontId="0" fillId="0" borderId="0" xfId="0"/>
    <xf numFmtId="0" fontId="63" fillId="0" borderId="0" xfId="0" applyFont="1" applyAlignment="1">
      <alignment horizontal="left"/>
    </xf>
    <xf numFmtId="0" fontId="60" fillId="0" borderId="0" xfId="0" applyFont="1" applyAlignment="1">
      <alignment horizontal="left"/>
    </xf>
    <xf numFmtId="1" fontId="60" fillId="0" borderId="0" xfId="1" applyNumberFormat="1" applyFont="1" applyAlignment="1">
      <alignment horizontal="center" vertical="center"/>
    </xf>
    <xf numFmtId="181" fontId="60" fillId="0" borderId="0" xfId="1" applyNumberFormat="1" applyFont="1" applyAlignment="1">
      <alignment horizontal="center" vertical="center"/>
    </xf>
    <xf numFmtId="9" fontId="0" fillId="0" borderId="0" xfId="2" applyFont="1" applyAlignment="1">
      <alignment horizontal="center"/>
    </xf>
    <xf numFmtId="174" fontId="60" fillId="0" borderId="0" xfId="0" applyNumberFormat="1" applyFont="1" applyAlignment="1">
      <alignment horizontal="left" vertical="center"/>
    </xf>
    <xf numFmtId="174" fontId="0" fillId="0" borderId="0" xfId="0" applyNumberFormat="1"/>
    <xf numFmtId="174" fontId="1" fillId="0" borderId="0" xfId="2" applyNumberFormat="1" applyFont="1" applyAlignment="1">
      <alignment horizontal="center" vertical="center" wrapText="1"/>
    </xf>
    <xf numFmtId="174" fontId="60" fillId="0" borderId="0" xfId="2" applyNumberFormat="1" applyFont="1" applyAlignment="1">
      <alignment horizontal="center" vertical="center"/>
    </xf>
    <xf numFmtId="9" fontId="60" fillId="0" borderId="0" xfId="2" applyFont="1" applyAlignment="1">
      <alignment horizontal="center" vertical="center"/>
    </xf>
    <xf numFmtId="177" fontId="60" fillId="0" borderId="0" xfId="0" applyNumberFormat="1" applyFont="1" applyAlignment="1">
      <alignment horizontal="center"/>
    </xf>
    <xf numFmtId="0" fontId="60" fillId="0" borderId="0" xfId="0" applyFont="1" applyAlignment="1">
      <alignment horizontal="center" vertical="center" wrapText="1"/>
    </xf>
    <xf numFmtId="0" fontId="60" fillId="0" borderId="0" xfId="0" applyFont="1" applyAlignment="1">
      <alignment horizontal="center" vertical="center"/>
    </xf>
    <xf numFmtId="0" fontId="60" fillId="0" borderId="0" xfId="0" applyFont="1" applyAlignment="1">
      <alignment horizontal="center"/>
    </xf>
    <xf numFmtId="1" fontId="0" fillId="0" borderId="0" xfId="0" applyNumberFormat="1"/>
    <xf numFmtId="181" fontId="0" fillId="0" borderId="0" xfId="1" applyNumberFormat="1" applyFont="1"/>
    <xf numFmtId="0" fontId="66" fillId="0" borderId="0" xfId="0" applyFont="1" applyAlignment="1">
      <alignment vertical="center" wrapText="1"/>
    </xf>
    <xf numFmtId="0" fontId="0" fillId="0" borderId="0" xfId="0" applyAlignment="1"/>
    <xf numFmtId="0" fontId="0" fillId="0" borderId="0" xfId="0" applyAlignment="1">
      <alignment horizontal="left"/>
    </xf>
    <xf numFmtId="174" fontId="0" fillId="0" borderId="0" xfId="2" applyNumberFormat="1" applyFont="1" applyAlignment="1">
      <alignment horizontal="center"/>
    </xf>
    <xf numFmtId="0" fontId="66" fillId="0" borderId="0" xfId="0" applyFont="1" applyAlignment="1">
      <alignment horizontal="center" vertical="center" wrapText="1"/>
    </xf>
    <xf numFmtId="0" fontId="0" fillId="0" borderId="0" xfId="0" applyAlignment="1">
      <alignment horizontal="center"/>
    </xf>
    <xf numFmtId="0" fontId="0" fillId="0" borderId="0" xfId="0" applyFont="1" applyAlignment="1">
      <alignment horizontal="left" vertical="center"/>
    </xf>
    <xf numFmtId="174" fontId="0" fillId="0" borderId="0" xfId="2" applyNumberFormat="1" applyFont="1" applyAlignment="1">
      <alignment horizontal="center" vertical="center"/>
    </xf>
    <xf numFmtId="0" fontId="2" fillId="0" borderId="0" xfId="0" applyFont="1" applyAlignment="1">
      <alignment vertical="center"/>
    </xf>
    <xf numFmtId="174" fontId="0" fillId="0" borderId="0" xfId="2" applyNumberFormat="1" applyFont="1"/>
    <xf numFmtId="9" fontId="0" fillId="0" borderId="0" xfId="2" applyFont="1"/>
    <xf numFmtId="0" fontId="0" fillId="0" borderId="0" xfId="0" applyAlignment="1">
      <alignment horizontal="center" vertical="center"/>
    </xf>
    <xf numFmtId="0" fontId="61" fillId="0" borderId="0" xfId="0" applyFont="1" applyAlignment="1">
      <alignment vertical="center"/>
    </xf>
    <xf numFmtId="0" fontId="0" fillId="0" borderId="0" xfId="0" applyAlignment="1">
      <alignment vertical="center"/>
    </xf>
    <xf numFmtId="0" fontId="2" fillId="0" borderId="0" xfId="0" applyFont="1" applyAlignment="1">
      <alignment horizontal="center"/>
    </xf>
    <xf numFmtId="174" fontId="63" fillId="0" borderId="0" xfId="0" applyNumberFormat="1" applyFont="1" applyAlignment="1">
      <alignment horizontal="center" vertical="center"/>
    </xf>
    <xf numFmtId="174" fontId="2" fillId="0" borderId="0" xfId="0" applyNumberFormat="1" applyFont="1" applyAlignment="1">
      <alignment horizontal="center" vertical="center"/>
    </xf>
    <xf numFmtId="174" fontId="2" fillId="0" borderId="0" xfId="2" applyNumberFormat="1" applyFont="1" applyAlignment="1">
      <alignment horizontal="center" vertical="center" wrapText="1"/>
    </xf>
    <xf numFmtId="174" fontId="60" fillId="0" borderId="0" xfId="0" applyNumberFormat="1" applyFont="1" applyAlignment="1">
      <alignment horizontal="center" vertical="center"/>
    </xf>
    <xf numFmtId="0" fontId="62" fillId="0" borderId="0" xfId="0" applyFont="1" applyAlignment="1">
      <alignment horizontal="center" vertical="center"/>
    </xf>
    <xf numFmtId="174" fontId="0" fillId="0" borderId="0" xfId="2" applyNumberFormat="1" applyFont="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center" wrapText="1"/>
    </xf>
    <xf numFmtId="174" fontId="0" fillId="0" borderId="0" xfId="0" applyNumberFormat="1" applyFont="1" applyAlignment="1">
      <alignment horizontal="center" vertical="center"/>
    </xf>
    <xf numFmtId="0" fontId="2" fillId="0" borderId="0" xfId="0" applyFont="1" applyAlignment="1"/>
    <xf numFmtId="0" fontId="62" fillId="0" borderId="0" xfId="0" applyFont="1" applyAlignment="1">
      <alignment horizontal="center" vertical="center" wrapText="1"/>
    </xf>
    <xf numFmtId="0" fontId="0" fillId="0" borderId="0" xfId="0" applyFont="1"/>
    <xf numFmtId="0" fontId="2" fillId="0" borderId="0" xfId="0" applyFont="1" applyAlignment="1">
      <alignment horizontal="center" vertical="center" wrapText="1"/>
    </xf>
    <xf numFmtId="0" fontId="0" fillId="0" borderId="0" xfId="0" applyAlignment="1">
      <alignment horizontal="center" vertical="center" wrapText="1"/>
    </xf>
    <xf numFmtId="0" fontId="2" fillId="0" borderId="0" xfId="0" applyFont="1"/>
    <xf numFmtId="0" fontId="60" fillId="0" borderId="0" xfId="0" applyFont="1"/>
    <xf numFmtId="0" fontId="81" fillId="0" borderId="0" xfId="0" applyFont="1"/>
    <xf numFmtId="181" fontId="2" fillId="0" borderId="0" xfId="1" applyNumberFormat="1" applyFont="1" applyAlignment="1">
      <alignment horizontal="center"/>
    </xf>
    <xf numFmtId="182" fontId="2" fillId="0" borderId="0" xfId="0" applyNumberFormat="1" applyFont="1"/>
    <xf numFmtId="181" fontId="1" fillId="0" borderId="0" xfId="1" applyNumberFormat="1" applyFont="1" applyAlignment="1">
      <alignment vertical="center"/>
    </xf>
    <xf numFmtId="1" fontId="1" fillId="0" borderId="0" xfId="2" applyNumberFormat="1" applyFont="1" applyAlignment="1">
      <alignment horizontal="center" vertical="center" wrapText="1"/>
    </xf>
    <xf numFmtId="181" fontId="60" fillId="0" borderId="0" xfId="1" applyNumberFormat="1" applyFont="1" applyAlignment="1"/>
    <xf numFmtId="181" fontId="0" fillId="0" borderId="0" xfId="1" applyNumberFormat="1" applyFont="1" applyAlignment="1"/>
    <xf numFmtId="0" fontId="64" fillId="0" borderId="0" xfId="0" applyFont="1"/>
    <xf numFmtId="0" fontId="80" fillId="0" borderId="0" xfId="0" applyFont="1"/>
    <xf numFmtId="174" fontId="79" fillId="0" borderId="0" xfId="0" applyNumberFormat="1" applyFont="1" applyAlignment="1">
      <alignment horizontal="center"/>
    </xf>
    <xf numFmtId="174" fontId="78" fillId="0" borderId="0" xfId="0" applyNumberFormat="1" applyFont="1" applyAlignment="1">
      <alignment horizontal="center" vertical="center"/>
    </xf>
    <xf numFmtId="174" fontId="77" fillId="0" borderId="0" xfId="0" applyNumberFormat="1" applyFont="1" applyAlignment="1">
      <alignment horizontal="center" vertical="center"/>
    </xf>
    <xf numFmtId="174" fontId="76" fillId="0" borderId="0" xfId="0" applyNumberFormat="1" applyFont="1" applyAlignment="1">
      <alignment horizontal="center"/>
    </xf>
    <xf numFmtId="174" fontId="75" fillId="0" borderId="0" xfId="0" applyNumberFormat="1" applyFont="1" applyAlignment="1">
      <alignment horizontal="center"/>
    </xf>
    <xf numFmtId="181" fontId="0" fillId="0" borderId="0" xfId="1" applyNumberFormat="1" applyFont="1" applyAlignment="1">
      <alignment horizontal="center"/>
    </xf>
    <xf numFmtId="10" fontId="0" fillId="0" borderId="0" xfId="0" applyNumberFormat="1" applyAlignment="1">
      <alignment horizontal="center"/>
    </xf>
    <xf numFmtId="174" fontId="74" fillId="0" borderId="0" xfId="0" applyNumberFormat="1" applyFont="1" applyAlignment="1">
      <alignment horizontal="center" vertical="center"/>
    </xf>
    <xf numFmtId="174" fontId="73" fillId="0" borderId="0" xfId="0" applyNumberFormat="1" applyFont="1" applyAlignment="1">
      <alignment horizontal="center"/>
    </xf>
    <xf numFmtId="181" fontId="0" fillId="0" borderId="0" xfId="1" applyNumberFormat="1" applyFont="1" applyAlignment="1">
      <alignment horizontal="center" vertical="center"/>
    </xf>
    <xf numFmtId="180" fontId="0" fillId="0" borderId="0" xfId="2" applyNumberFormat="1" applyFont="1"/>
    <xf numFmtId="2" fontId="0" fillId="0" borderId="0" xfId="2" applyNumberFormat="1" applyFont="1" applyAlignment="1">
      <alignment horizontal="center" vertical="center" wrapText="1"/>
    </xf>
    <xf numFmtId="9" fontId="0" fillId="0" borderId="0" xfId="2" applyFont="1" applyAlignment="1">
      <alignment vertical="center"/>
    </xf>
    <xf numFmtId="174" fontId="82" fillId="0" borderId="0" xfId="0" applyNumberFormat="1" applyFont="1" applyAlignment="1">
      <alignment horizontal="center"/>
    </xf>
    <xf numFmtId="174" fontId="83" fillId="0" borderId="0" xfId="0" applyNumberFormat="1" applyFont="1" applyAlignment="1">
      <alignment horizontal="center" vertical="center"/>
    </xf>
    <xf numFmtId="182" fontId="2" fillId="0" borderId="0" xfId="0" applyNumberFormat="1" applyFont="1" applyAlignment="1">
      <alignment horizontal="center"/>
    </xf>
    <xf numFmtId="174" fontId="60" fillId="0" borderId="0" xfId="2" applyNumberFormat="1" applyFont="1" applyAlignment="1">
      <alignment horizontal="center"/>
    </xf>
    <xf numFmtId="181" fontId="66" fillId="0" borderId="0" xfId="1" applyNumberFormat="1" applyFont="1" applyAlignment="1"/>
    <xf numFmtId="0" fontId="0" fillId="0" borderId="0" xfId="0" applyFill="1" applyAlignment="1">
      <alignment horizontal="center" vertical="center" wrapText="1"/>
    </xf>
    <xf numFmtId="9" fontId="0" fillId="0" borderId="0" xfId="2" applyFont="1" applyFill="1" applyAlignment="1">
      <alignment horizontal="center"/>
    </xf>
    <xf numFmtId="1" fontId="62" fillId="0" borderId="0" xfId="0" applyNumberFormat="1" applyFont="1" applyAlignment="1">
      <alignment horizontal="center" vertical="center" wrapText="1"/>
    </xf>
    <xf numFmtId="181" fontId="66" fillId="0" borderId="0" xfId="1" applyNumberFormat="1" applyFont="1" applyAlignment="1">
      <alignment horizontal="center"/>
    </xf>
    <xf numFmtId="181" fontId="85" fillId="0" borderId="0" xfId="1" applyNumberFormat="1" applyFont="1" applyAlignment="1">
      <alignment horizontal="center" vertical="center"/>
    </xf>
    <xf numFmtId="1" fontId="2" fillId="0" borderId="0" xfId="1" applyNumberFormat="1" applyFont="1" applyAlignment="1">
      <alignment horizontal="center" vertical="center"/>
    </xf>
    <xf numFmtId="10" fontId="0" fillId="0" borderId="0" xfId="2" applyNumberFormat="1" applyFont="1"/>
    <xf numFmtId="0" fontId="62" fillId="0" borderId="0" xfId="0" applyFont="1"/>
    <xf numFmtId="177" fontId="62" fillId="0" borderId="0" xfId="0" applyNumberFormat="1" applyFont="1"/>
    <xf numFmtId="0" fontId="0" fillId="0" borderId="0" xfId="0" applyFont="1" applyAlignment="1"/>
    <xf numFmtId="0" fontId="0" fillId="0" borderId="0" xfId="0"/>
    <xf numFmtId="177" fontId="0" fillId="0" borderId="0" xfId="0" applyNumberFormat="1" applyAlignment="1">
      <alignment horizontal="center"/>
    </xf>
    <xf numFmtId="177" fontId="62" fillId="0" borderId="0" xfId="0" applyNumberFormat="1" applyFont="1" applyAlignment="1">
      <alignment horizontal="center"/>
    </xf>
    <xf numFmtId="1" fontId="62" fillId="0" borderId="0" xfId="0" applyNumberFormat="1" applyFont="1" applyAlignment="1">
      <alignment horizontal="center"/>
    </xf>
    <xf numFmtId="1" fontId="0" fillId="0" borderId="0" xfId="0" applyNumberFormat="1" applyAlignment="1">
      <alignment horizontal="center"/>
    </xf>
    <xf numFmtId="174" fontId="0" fillId="0" borderId="0" xfId="0" applyNumberFormat="1" applyAlignment="1">
      <alignment horizontal="center"/>
    </xf>
    <xf numFmtId="181" fontId="0" fillId="0" borderId="0" xfId="0" applyNumberFormat="1"/>
    <xf numFmtId="181" fontId="1" fillId="0" borderId="0" xfId="1" applyNumberFormat="1" applyFont="1"/>
    <xf numFmtId="183" fontId="0" fillId="0" borderId="0" xfId="0" applyNumberFormat="1" applyAlignment="1">
      <alignment horizontal="center"/>
    </xf>
    <xf numFmtId="174" fontId="86" fillId="0" borderId="0" xfId="2" applyNumberFormat="1" applyFont="1" applyAlignment="1">
      <alignment horizontal="center"/>
    </xf>
    <xf numFmtId="0" fontId="86" fillId="0" borderId="0" xfId="0" applyFont="1"/>
    <xf numFmtId="174" fontId="0" fillId="0" borderId="0" xfId="2" applyNumberFormat="1" applyFont="1" applyFill="1" applyAlignment="1">
      <alignment horizontal="center"/>
    </xf>
    <xf numFmtId="181" fontId="1" fillId="0" borderId="0" xfId="1" applyNumberFormat="1" applyFont="1" applyAlignment="1">
      <alignment horizontal="center"/>
    </xf>
    <xf numFmtId="2" fontId="1" fillId="0" borderId="0" xfId="1" applyNumberFormat="1" applyFont="1" applyAlignment="1">
      <alignment horizontal="center"/>
    </xf>
    <xf numFmtId="9" fontId="1" fillId="0" borderId="0" xfId="2" applyNumberFormat="1" applyFont="1" applyAlignment="1">
      <alignment horizontal="center"/>
    </xf>
    <xf numFmtId="1" fontId="2" fillId="0" borderId="0" xfId="2" applyNumberFormat="1" applyFont="1" applyAlignment="1">
      <alignment horizontal="center"/>
    </xf>
    <xf numFmtId="1" fontId="2" fillId="0" borderId="0" xfId="1" applyNumberFormat="1" applyFont="1" applyAlignment="1">
      <alignment horizontal="center"/>
    </xf>
    <xf numFmtId="1" fontId="0" fillId="0" borderId="0" xfId="0" applyNumberFormat="1" applyAlignment="1">
      <alignment horizontal="center" vertical="center"/>
    </xf>
    <xf numFmtId="2" fontId="0" fillId="0" borderId="0" xfId="0" applyNumberFormat="1"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84" fontId="0" fillId="0" borderId="0" xfId="0" applyNumberFormat="1" applyAlignment="1">
      <alignment horizontal="center"/>
    </xf>
    <xf numFmtId="174" fontId="1" fillId="0" borderId="0" xfId="2" applyNumberFormat="1" applyFont="1" applyAlignment="1">
      <alignment horizontal="center"/>
    </xf>
    <xf numFmtId="1" fontId="0" fillId="0" borderId="0" xfId="2" applyNumberFormat="1" applyFont="1" applyAlignment="1">
      <alignment horizontal="center" vertical="center"/>
    </xf>
    <xf numFmtId="174" fontId="0" fillId="0" borderId="0" xfId="0" applyNumberFormat="1" applyAlignment="1">
      <alignment horizontal="center" vertical="center"/>
    </xf>
    <xf numFmtId="11" fontId="0" fillId="0" borderId="0" xfId="1" applyNumberFormat="1" applyFont="1" applyAlignment="1">
      <alignment horizontal="center"/>
    </xf>
    <xf numFmtId="174" fontId="87" fillId="0" borderId="0" xfId="0" applyNumberFormat="1" applyFont="1" applyAlignment="1">
      <alignment horizontal="center" vertical="center"/>
    </xf>
    <xf numFmtId="1" fontId="0" fillId="0" borderId="0" xfId="1" applyNumberFormat="1" applyFont="1" applyAlignment="1">
      <alignment horizontal="center"/>
    </xf>
    <xf numFmtId="181" fontId="88" fillId="0" borderId="0" xfId="0" applyNumberFormat="1" applyFont="1"/>
    <xf numFmtId="181" fontId="88" fillId="0" borderId="0" xfId="1" applyNumberFormat="1" applyFont="1"/>
    <xf numFmtId="0" fontId="88" fillId="0" borderId="0" xfId="0" applyFont="1"/>
    <xf numFmtId="0" fontId="88" fillId="0" borderId="0" xfId="0" applyFont="1" applyAlignment="1">
      <alignment horizontal="left"/>
    </xf>
    <xf numFmtId="181" fontId="89" fillId="0" borderId="0" xfId="1" applyNumberFormat="1" applyFont="1" applyAlignment="1">
      <alignment horizontal="center" vertical="center"/>
    </xf>
    <xf numFmtId="174" fontId="60" fillId="0" borderId="0" xfId="2" applyNumberFormat="1" applyFont="1" applyAlignment="1">
      <alignment horizontal="center" vertical="center" wrapText="1"/>
    </xf>
    <xf numFmtId="182" fontId="90" fillId="0" borderId="0" xfId="0" applyNumberFormat="1" applyFont="1"/>
    <xf numFmtId="0" fontId="0" fillId="0" borderId="0" xfId="0" applyAlignment="1">
      <alignment wrapText="1"/>
    </xf>
    <xf numFmtId="0" fontId="0" fillId="0" borderId="0" xfId="0" applyAlignment="1">
      <alignment horizontal="center" wrapText="1"/>
    </xf>
    <xf numFmtId="177" fontId="2" fillId="0" borderId="0" xfId="1" applyNumberFormat="1" applyFont="1" applyAlignment="1">
      <alignment horizontal="center" vertical="center"/>
    </xf>
    <xf numFmtId="177" fontId="91" fillId="0" borderId="0" xfId="1" applyNumberFormat="1" applyFont="1" applyAlignment="1">
      <alignment horizontal="center" vertical="center"/>
    </xf>
    <xf numFmtId="0" fontId="0" fillId="0" borderId="0" xfId="0" applyFont="1" applyAlignment="1">
      <alignment vertical="center"/>
    </xf>
    <xf numFmtId="10" fontId="0" fillId="0" borderId="0" xfId="2" applyNumberFormat="1" applyFont="1" applyAlignment="1">
      <alignment horizontal="center"/>
    </xf>
    <xf numFmtId="2" fontId="0" fillId="0" borderId="0" xfId="0" applyNumberFormat="1" applyAlignment="1">
      <alignment horizontal="center"/>
    </xf>
    <xf numFmtId="0" fontId="93" fillId="0" borderId="0" xfId="0" applyFont="1" applyAlignment="1">
      <alignment vertical="center"/>
    </xf>
    <xf numFmtId="0" fontId="79" fillId="0" borderId="0" xfId="0" applyFont="1" applyAlignment="1">
      <alignment horizontal="center" vertical="center"/>
    </xf>
    <xf numFmtId="185" fontId="0" fillId="0" borderId="0" xfId="0" applyNumberFormat="1" applyAlignment="1">
      <alignment horizontal="center"/>
    </xf>
    <xf numFmtId="0" fontId="75" fillId="0" borderId="0" xfId="0" applyFont="1" applyAlignment="1">
      <alignment horizontal="center"/>
    </xf>
    <xf numFmtId="0" fontId="92" fillId="0" borderId="0" xfId="0" applyFont="1" applyAlignment="1">
      <alignment horizontal="center"/>
    </xf>
    <xf numFmtId="0" fontId="76" fillId="0" borderId="0" xfId="0" applyFont="1" applyAlignment="1">
      <alignment horizontal="center"/>
    </xf>
    <xf numFmtId="0" fontId="79" fillId="0" borderId="0" xfId="0" applyFont="1" applyAlignment="1">
      <alignment horizontal="center"/>
    </xf>
    <xf numFmtId="0" fontId="82" fillId="0" borderId="0" xfId="0" applyFont="1" applyAlignment="1">
      <alignment horizontal="center"/>
    </xf>
    <xf numFmtId="1" fontId="60" fillId="0" borderId="0" xfId="0" applyNumberFormat="1" applyFont="1"/>
    <xf numFmtId="11" fontId="60" fillId="0" borderId="0" xfId="0" applyNumberFormat="1" applyFont="1" applyAlignment="1">
      <alignment horizontal="center" vertical="center"/>
    </xf>
    <xf numFmtId="183" fontId="60" fillId="0" borderId="0" xfId="1" applyNumberFormat="1" applyFont="1" applyAlignment="1">
      <alignment horizontal="center" vertical="center"/>
    </xf>
    <xf numFmtId="181" fontId="60" fillId="0" borderId="0" xfId="1" quotePrefix="1" applyNumberFormat="1" applyFont="1" applyAlignment="1">
      <alignment horizontal="center" vertical="center"/>
    </xf>
    <xf numFmtId="186" fontId="0" fillId="0" borderId="0" xfId="1" applyNumberFormat="1" applyFont="1"/>
    <xf numFmtId="10" fontId="0" fillId="0" borderId="0" xfId="0" applyNumberFormat="1" applyFont="1" applyAlignment="1">
      <alignment horizontal="left" vertical="center"/>
    </xf>
    <xf numFmtId="0" fontId="95" fillId="0" borderId="0" xfId="0" applyFont="1" applyAlignment="1">
      <alignment horizontal="center" vertical="center" wrapText="1"/>
    </xf>
    <xf numFmtId="0" fontId="92" fillId="0" borderId="20" xfId="0" applyFont="1" applyBorder="1" applyAlignment="1">
      <alignment horizontal="center"/>
    </xf>
    <xf numFmtId="174" fontId="0" fillId="0" borderId="21" xfId="2" applyNumberFormat="1" applyFont="1" applyBorder="1" applyAlignment="1">
      <alignment horizontal="center"/>
    </xf>
    <xf numFmtId="0" fontId="75" fillId="0" borderId="22" xfId="0" applyFont="1" applyBorder="1" applyAlignment="1">
      <alignment horizontal="center"/>
    </xf>
    <xf numFmtId="174" fontId="0" fillId="0" borderId="23" xfId="2" applyNumberFormat="1" applyFont="1" applyBorder="1" applyAlignment="1">
      <alignment horizontal="center"/>
    </xf>
    <xf numFmtId="0" fontId="76" fillId="0" borderId="22" xfId="0" applyFont="1" applyBorder="1" applyAlignment="1">
      <alignment horizontal="center"/>
    </xf>
    <xf numFmtId="0" fontId="79" fillId="0" borderId="22" xfId="0" applyFont="1" applyBorder="1" applyAlignment="1">
      <alignment horizontal="center"/>
    </xf>
    <xf numFmtId="0" fontId="82" fillId="0" borderId="24" xfId="0" applyFont="1" applyBorder="1" applyAlignment="1">
      <alignment horizontal="center"/>
    </xf>
    <xf numFmtId="174" fontId="0" fillId="0" borderId="25" xfId="2" applyNumberFormat="1" applyFont="1" applyBorder="1" applyAlignment="1">
      <alignment horizontal="center"/>
    </xf>
    <xf numFmtId="0" fontId="86" fillId="0" borderId="0" xfId="0" applyFont="1" applyAlignment="1">
      <alignment horizontal="center" vertical="center" wrapText="1"/>
    </xf>
    <xf numFmtId="9" fontId="86" fillId="0" borderId="0" xfId="2" applyFont="1" applyFill="1" applyAlignment="1">
      <alignment horizontal="center"/>
    </xf>
    <xf numFmtId="10" fontId="86" fillId="0" borderId="0" xfId="2" applyNumberFormat="1" applyFont="1" applyFill="1" applyAlignment="1">
      <alignment horizontal="center"/>
    </xf>
    <xf numFmtId="0" fontId="0" fillId="0" borderId="0" xfId="0" applyFont="1" applyAlignment="1">
      <alignment wrapText="1"/>
    </xf>
    <xf numFmtId="0" fontId="0" fillId="0" borderId="0" xfId="0" applyFont="1" applyAlignment="1">
      <alignment horizontal="center"/>
    </xf>
    <xf numFmtId="0" fontId="0" fillId="0" borderId="0" xfId="0" applyFont="1" applyAlignment="1">
      <alignment horizontal="left"/>
    </xf>
    <xf numFmtId="181" fontId="60" fillId="0" borderId="0" xfId="1" applyNumberFormat="1" applyFont="1" applyAlignment="1">
      <alignment horizontal="center"/>
    </xf>
    <xf numFmtId="0" fontId="0" fillId="0" borderId="0" xfId="0" applyFont="1" applyAlignment="1">
      <alignment horizontal="center" wrapText="1"/>
    </xf>
    <xf numFmtId="0" fontId="0" fillId="0" borderId="0" xfId="0" applyFont="1" applyAlignment="1">
      <alignment horizontal="left" vertical="center" wrapText="1"/>
    </xf>
    <xf numFmtId="181" fontId="0" fillId="0" borderId="0" xfId="1" applyNumberFormat="1" applyFont="1" applyFill="1" applyAlignment="1">
      <alignment horizontal="center"/>
    </xf>
    <xf numFmtId="181" fontId="66" fillId="0" borderId="0" xfId="1" applyNumberFormat="1" applyFont="1" applyFill="1" applyAlignment="1">
      <alignment horizontal="center"/>
    </xf>
    <xf numFmtId="0" fontId="0" fillId="0" borderId="0" xfId="0" applyFont="1" applyFill="1" applyAlignment="1">
      <alignment horizontal="center" vertical="center" wrapText="1"/>
    </xf>
    <xf numFmtId="1" fontId="1" fillId="0" borderId="0" xfId="2" applyNumberFormat="1" applyFont="1" applyAlignment="1">
      <alignment horizontal="center"/>
    </xf>
    <xf numFmtId="1" fontId="1" fillId="0" borderId="0" xfId="1" applyNumberFormat="1" applyFont="1" applyAlignment="1">
      <alignment horizontal="center"/>
    </xf>
    <xf numFmtId="182" fontId="0" fillId="0" borderId="0" xfId="0" applyNumberFormat="1" applyFont="1"/>
    <xf numFmtId="183" fontId="91" fillId="0" borderId="0" xfId="1" applyNumberFormat="1" applyFont="1" applyAlignment="1">
      <alignment horizontal="center" vertical="center"/>
    </xf>
    <xf numFmtId="0" fontId="66" fillId="0" borderId="0" xfId="0" applyNumberFormat="1" applyFont="1" applyAlignment="1">
      <alignment vertical="center"/>
    </xf>
    <xf numFmtId="0" fontId="66" fillId="0" borderId="0" xfId="1" applyNumberFormat="1" applyFont="1" applyAlignment="1">
      <alignment horizontal="left" vertical="center"/>
    </xf>
    <xf numFmtId="174" fontId="0" fillId="0" borderId="0" xfId="0" applyNumberFormat="1" applyFont="1" applyAlignment="1">
      <alignment horizontal="center"/>
    </xf>
    <xf numFmtId="0" fontId="2" fillId="0" borderId="0" xfId="0" applyFont="1" applyAlignment="1">
      <alignment horizontal="left"/>
    </xf>
    <xf numFmtId="3" fontId="0" fillId="0" borderId="0" xfId="0" applyNumberFormat="1" applyFont="1" applyAlignment="1"/>
    <xf numFmtId="2" fontId="1" fillId="0" borderId="0" xfId="2" applyNumberFormat="1" applyFont="1" applyAlignment="1">
      <alignment horizontal="center" vertical="center" wrapText="1"/>
    </xf>
    <xf numFmtId="9" fontId="1" fillId="0" borderId="0" xfId="2" applyFont="1"/>
    <xf numFmtId="9" fontId="1" fillId="0" borderId="0" xfId="2" applyFont="1" applyAlignment="1">
      <alignment horizontal="center" vertical="center"/>
    </xf>
    <xf numFmtId="9" fontId="1" fillId="0" borderId="0" xfId="2" applyFont="1" applyAlignment="1">
      <alignment vertical="center"/>
    </xf>
    <xf numFmtId="181" fontId="1" fillId="0" borderId="0" xfId="1" applyNumberFormat="1" applyFont="1" applyAlignment="1">
      <alignment horizontal="center" vertical="center"/>
    </xf>
    <xf numFmtId="9" fontId="1" fillId="0" borderId="0" xfId="2" applyFont="1" applyAlignment="1">
      <alignment horizontal="center" vertical="center" wrapText="1"/>
    </xf>
    <xf numFmtId="174" fontId="0" fillId="0" borderId="0" xfId="0" applyNumberFormat="1" applyFont="1"/>
    <xf numFmtId="181" fontId="0" fillId="0" borderId="0" xfId="0" applyNumberFormat="1" applyFont="1"/>
    <xf numFmtId="1" fontId="0" fillId="0" borderId="0" xfId="0" applyNumberFormat="1" applyFont="1" applyAlignment="1">
      <alignment horizontal="center" vertical="center"/>
    </xf>
    <xf numFmtId="10" fontId="1" fillId="0" borderId="0" xfId="2" applyNumberFormat="1" applyFont="1" applyAlignment="1">
      <alignment horizontal="center" vertical="center"/>
    </xf>
    <xf numFmtId="174" fontId="1" fillId="0" borderId="0" xfId="2" applyNumberFormat="1" applyFont="1" applyAlignment="1">
      <alignment horizontal="center" vertical="center"/>
    </xf>
    <xf numFmtId="177" fontId="0" fillId="0" borderId="0" xfId="0" applyNumberFormat="1" applyFont="1" applyAlignment="1">
      <alignment horizontal="center" vertical="center"/>
    </xf>
    <xf numFmtId="2" fontId="0" fillId="0" borderId="0" xfId="0" applyNumberFormat="1" applyFont="1" applyAlignment="1">
      <alignment horizontal="center" vertical="center"/>
    </xf>
    <xf numFmtId="183" fontId="0" fillId="0" borderId="0" xfId="0" applyNumberFormat="1" applyFont="1" applyAlignment="1">
      <alignment horizontal="center" vertical="center"/>
    </xf>
    <xf numFmtId="181" fontId="1" fillId="0" borderId="0" xfId="1" applyNumberFormat="1" applyFont="1" applyAlignment="1"/>
    <xf numFmtId="2" fontId="1" fillId="0" borderId="0" xfId="2" applyNumberFormat="1" applyFont="1" applyAlignment="1">
      <alignment horizontal="center"/>
    </xf>
    <xf numFmtId="0" fontId="96" fillId="0" borderId="0" xfId="0" applyFont="1"/>
    <xf numFmtId="0" fontId="0" fillId="0" borderId="0" xfId="0" applyAlignment="1">
      <alignment horizontal="center" vertical="center"/>
    </xf>
    <xf numFmtId="0" fontId="0" fillId="0" borderId="0" xfId="0" applyAlignment="1">
      <alignment horizontal="center"/>
    </xf>
    <xf numFmtId="187" fontId="0" fillId="0" borderId="0" xfId="0" applyNumberFormat="1" applyFont="1"/>
    <xf numFmtId="4" fontId="94" fillId="0" borderId="0" xfId="453" applyNumberFormat="1" applyFont="1"/>
    <xf numFmtId="0" fontId="2" fillId="0" borderId="0" xfId="0" applyFont="1" applyAlignment="1">
      <alignment horizontal="center" vertical="center"/>
    </xf>
    <xf numFmtId="0" fontId="0" fillId="0" borderId="0" xfId="0" applyFont="1" applyAlignment="1">
      <alignment horizontal="center" vertical="center" wrapText="1"/>
    </xf>
    <xf numFmtId="0" fontId="0" fillId="0" borderId="0" xfId="0" applyAlignment="1">
      <alignment horizontal="center"/>
    </xf>
    <xf numFmtId="0" fontId="64" fillId="0" borderId="0" xfId="0" applyFont="1" applyAlignment="1">
      <alignment horizontal="center"/>
    </xf>
    <xf numFmtId="1" fontId="64" fillId="0" borderId="0" xfId="0" applyNumberFormat="1" applyFont="1" applyAlignment="1">
      <alignment horizontal="center" vertical="center"/>
    </xf>
    <xf numFmtId="2" fontId="60" fillId="0" borderId="0" xfId="0" applyNumberFormat="1" applyFont="1" applyAlignment="1">
      <alignment horizontal="center" vertical="center"/>
    </xf>
    <xf numFmtId="174" fontId="100" fillId="0" borderId="0" xfId="2" applyNumberFormat="1" applyFont="1" applyAlignment="1">
      <alignment horizontal="center" vertical="center" wrapText="1"/>
    </xf>
    <xf numFmtId="0" fontId="63" fillId="0" borderId="0" xfId="0" applyFont="1" applyAlignment="1">
      <alignment horizontal="center" vertical="center" wrapText="1"/>
    </xf>
    <xf numFmtId="174" fontId="60" fillId="0" borderId="0" xfId="2" applyNumberFormat="1" applyFont="1" applyAlignment="1">
      <alignment horizontal="right"/>
    </xf>
    <xf numFmtId="174" fontId="60" fillId="0" borderId="0" xfId="0" applyNumberFormat="1" applyFont="1"/>
    <xf numFmtId="10" fontId="0" fillId="0" borderId="0" xfId="0" applyNumberFormat="1"/>
    <xf numFmtId="11" fontId="0" fillId="0" borderId="0" xfId="0" applyNumberFormat="1"/>
    <xf numFmtId="174" fontId="0" fillId="0" borderId="0" xfId="2" applyNumberFormat="1" applyFont="1" applyAlignment="1">
      <alignment horizontal="right"/>
    </xf>
    <xf numFmtId="174" fontId="64" fillId="0" borderId="0" xfId="2" applyNumberFormat="1" applyFont="1" applyAlignment="1">
      <alignment horizontal="center"/>
    </xf>
    <xf numFmtId="174" fontId="0" fillId="0" borderId="0" xfId="2" applyNumberFormat="1" applyFont="1" applyAlignment="1">
      <alignment horizontal="center"/>
    </xf>
    <xf numFmtId="174" fontId="60" fillId="0" borderId="0" xfId="0" applyNumberFormat="1" applyFont="1" applyAlignment="1">
      <alignment horizontal="center"/>
    </xf>
    <xf numFmtId="174" fontId="60" fillId="0" borderId="0" xfId="0" applyNumberFormat="1" applyFont="1" applyAlignment="1"/>
    <xf numFmtId="174" fontId="0" fillId="0" borderId="0" xfId="2" applyNumberFormat="1" applyFont="1" applyAlignment="1"/>
    <xf numFmtId="2" fontId="63" fillId="0" borderId="0" xfId="1" applyNumberFormat="1" applyFont="1" applyAlignment="1">
      <alignment horizontal="center" vertical="top"/>
    </xf>
    <xf numFmtId="174" fontId="1" fillId="0" borderId="0" xfId="2" applyNumberFormat="1" applyFont="1" applyAlignment="1">
      <alignment horizontal="right"/>
    </xf>
    <xf numFmtId="174" fontId="0" fillId="0" borderId="0" xfId="2" applyNumberFormat="1" applyFont="1" applyAlignment="1">
      <alignment horizontal="left"/>
    </xf>
    <xf numFmtId="0" fontId="2" fillId="0" borderId="0" xfId="0" applyFont="1" applyAlignment="1">
      <alignment horizontal="center" vertical="center"/>
    </xf>
    <xf numFmtId="0" fontId="0" fillId="0" borderId="0" xfId="0" applyFont="1" applyAlignment="1">
      <alignment horizontal="center" vertical="center" wrapText="1"/>
    </xf>
    <xf numFmtId="174" fontId="0" fillId="0" borderId="0" xfId="2" applyNumberFormat="1" applyFont="1" applyAlignment="1">
      <alignment horizontal="center" vertical="center"/>
    </xf>
    <xf numFmtId="0" fontId="0" fillId="0" borderId="0" xfId="0" applyAlignment="1">
      <alignment horizontal="center"/>
    </xf>
    <xf numFmtId="0" fontId="60" fillId="0" borderId="0" xfId="0" applyFont="1" applyAlignment="1">
      <alignment horizontal="right"/>
    </xf>
    <xf numFmtId="2" fontId="63" fillId="0" borderId="0" xfId="0" applyNumberFormat="1" applyFont="1" applyAlignment="1">
      <alignment horizontal="center"/>
    </xf>
    <xf numFmtId="0" fontId="63" fillId="0" borderId="0" xfId="0" applyFont="1" applyAlignment="1"/>
    <xf numFmtId="0" fontId="0" fillId="0" borderId="0" xfId="0" applyAlignment="1">
      <alignment horizontal="right"/>
    </xf>
    <xf numFmtId="183" fontId="2" fillId="0" borderId="0" xfId="0" applyNumberFormat="1" applyFont="1" applyAlignment="1">
      <alignment horizontal="center"/>
    </xf>
    <xf numFmtId="0" fontId="0" fillId="0" borderId="0" xfId="0" applyFont="1" applyBorder="1"/>
    <xf numFmtId="0" fontId="63" fillId="0" borderId="0" xfId="83" applyFont="1" applyBorder="1" applyAlignment="1">
      <alignment horizontal="center" vertical="center" wrapText="1"/>
    </xf>
    <xf numFmtId="0" fontId="102" fillId="0" borderId="0" xfId="83" applyFont="1" applyBorder="1" applyAlignment="1">
      <alignment horizontal="center" vertical="center" wrapText="1"/>
    </xf>
    <xf numFmtId="0" fontId="0" fillId="0" borderId="0" xfId="0" applyFont="1" applyFill="1" applyBorder="1"/>
    <xf numFmtId="0" fontId="103" fillId="0" borderId="0" xfId="83" applyFont="1" applyBorder="1" applyAlignment="1">
      <alignment horizontal="center" vertical="center" wrapText="1"/>
    </xf>
    <xf numFmtId="0" fontId="2" fillId="0" borderId="0" xfId="0" applyFont="1" applyBorder="1"/>
    <xf numFmtId="10" fontId="0" fillId="0" borderId="0" xfId="2" applyNumberFormat="1" applyFont="1" applyBorder="1" applyAlignment="1">
      <alignment horizontal="center"/>
    </xf>
    <xf numFmtId="2" fontId="0" fillId="0" borderId="0" xfId="0" applyNumberFormat="1"/>
    <xf numFmtId="0" fontId="101" fillId="0" borderId="0" xfId="83" applyFont="1" applyFill="1" applyBorder="1" applyAlignment="1">
      <alignment horizontal="center" vertical="center" wrapText="1"/>
    </xf>
    <xf numFmtId="9" fontId="0" fillId="0" borderId="0" xfId="2" applyFont="1" applyBorder="1" applyAlignment="1">
      <alignment horizontal="center"/>
    </xf>
    <xf numFmtId="2" fontId="0" fillId="0" borderId="0" xfId="1" applyNumberFormat="1" applyFont="1" applyAlignment="1">
      <alignment horizontal="center"/>
    </xf>
    <xf numFmtId="0" fontId="2" fillId="0" borderId="0" xfId="0" applyFont="1" applyBorder="1" applyAlignment="1">
      <alignment horizontal="center"/>
    </xf>
    <xf numFmtId="0" fontId="0" fillId="0" borderId="0" xfId="0" quotePrefix="1" applyFont="1" applyBorder="1"/>
    <xf numFmtId="0" fontId="60" fillId="0" borderId="0" xfId="0" applyFont="1" applyBorder="1" applyAlignment="1">
      <alignment horizontal="center"/>
    </xf>
    <xf numFmtId="174" fontId="60" fillId="0" borderId="0" xfId="2" applyNumberFormat="1" applyFont="1" applyBorder="1" applyAlignment="1">
      <alignment horizontal="center"/>
    </xf>
    <xf numFmtId="174" fontId="1" fillId="0" borderId="0" xfId="2" applyNumberFormat="1" applyFont="1" applyBorder="1" applyAlignment="1">
      <alignment horizontal="center"/>
    </xf>
    <xf numFmtId="1" fontId="60" fillId="0" borderId="0" xfId="2" applyNumberFormat="1" applyFont="1" applyAlignment="1">
      <alignment horizontal="center" vertical="center"/>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xf>
    <xf numFmtId="0" fontId="85" fillId="0" borderId="0" xfId="473" applyFont="1" applyBorder="1" applyAlignment="1">
      <alignment horizontal="left" vertical="center" wrapText="1"/>
    </xf>
    <xf numFmtId="0" fontId="1" fillId="0" borderId="0" xfId="0" applyFont="1"/>
    <xf numFmtId="10" fontId="1" fillId="0" borderId="0" xfId="2" applyNumberFormat="1" applyFont="1" applyAlignment="1">
      <alignment horizontal="center"/>
    </xf>
    <xf numFmtId="0" fontId="1" fillId="0" borderId="0" xfId="0" applyFont="1" applyAlignment="1">
      <alignment horizontal="center"/>
    </xf>
    <xf numFmtId="169" fontId="1" fillId="0" borderId="0" xfId="0" applyNumberFormat="1" applyFont="1" applyAlignment="1">
      <alignment horizontal="center"/>
    </xf>
    <xf numFmtId="1" fontId="1" fillId="0" borderId="0" xfId="0" applyNumberFormat="1" applyFont="1" applyAlignment="1">
      <alignment horizontal="center" vertical="center"/>
    </xf>
    <xf numFmtId="2" fontId="1" fillId="0" borderId="0" xfId="0" applyNumberFormat="1" applyFont="1" applyAlignment="1">
      <alignment horizontal="center" vertical="center"/>
    </xf>
    <xf numFmtId="0" fontId="1" fillId="0" borderId="0" xfId="0" applyFont="1" applyAlignment="1">
      <alignment horizontal="center" vertical="center"/>
    </xf>
    <xf numFmtId="174" fontId="1" fillId="0" borderId="0" xfId="0" applyNumberFormat="1" applyFont="1" applyAlignment="1">
      <alignment horizontal="center" vertical="center"/>
    </xf>
    <xf numFmtId="0" fontId="63" fillId="0" borderId="29" xfId="472" applyFont="1" applyFill="1" applyBorder="1" applyAlignment="1" applyProtection="1">
      <alignment horizontal="center" vertical="center"/>
    </xf>
    <xf numFmtId="0" fontId="63" fillId="0" borderId="29" xfId="472" applyFont="1" applyFill="1" applyBorder="1" applyAlignment="1" applyProtection="1">
      <alignment horizontal="center" vertical="center" wrapText="1"/>
    </xf>
    <xf numFmtId="0" fontId="63" fillId="0" borderId="0" xfId="473" applyFont="1" applyFill="1" applyBorder="1" applyAlignment="1">
      <alignment horizontal="left" vertical="center" wrapText="1"/>
    </xf>
    <xf numFmtId="169" fontId="63" fillId="0" borderId="0" xfId="471" applyNumberFormat="1" applyFont="1" applyFill="1" applyBorder="1" applyAlignment="1" applyProtection="1">
      <alignment horizontal="center"/>
    </xf>
    <xf numFmtId="0" fontId="60" fillId="0" borderId="0" xfId="473" applyFont="1" applyFill="1" applyBorder="1" applyAlignment="1">
      <alignment horizontal="left" vertical="center" wrapText="1"/>
    </xf>
    <xf numFmtId="169" fontId="60" fillId="0" borderId="0" xfId="473" applyNumberFormat="1" applyFont="1" applyFill="1" applyBorder="1" applyAlignment="1">
      <alignment horizontal="center"/>
    </xf>
    <xf numFmtId="0" fontId="63" fillId="0" borderId="0" xfId="475" applyFont="1" applyFill="1" applyBorder="1" applyAlignment="1">
      <alignment vertical="center" wrapText="1"/>
    </xf>
    <xf numFmtId="0" fontId="63" fillId="0" borderId="29" xfId="472" applyFont="1" applyFill="1" applyBorder="1" applyAlignment="1" applyProtection="1">
      <alignment vertical="center" wrapText="1"/>
    </xf>
    <xf numFmtId="169" fontId="63" fillId="0" borderId="29" xfId="472" applyNumberFormat="1" applyFont="1" applyFill="1" applyBorder="1" applyAlignment="1" applyProtection="1">
      <alignment horizontal="center"/>
    </xf>
    <xf numFmtId="0" fontId="60" fillId="0" borderId="29" xfId="473" applyFont="1" applyFill="1" applyBorder="1" applyAlignment="1">
      <alignment horizontal="left" vertical="center" wrapText="1"/>
    </xf>
    <xf numFmtId="169" fontId="60" fillId="0" borderId="29" xfId="473" applyNumberFormat="1" applyFont="1" applyFill="1" applyBorder="1" applyAlignment="1">
      <alignment horizontal="center"/>
    </xf>
    <xf numFmtId="0" fontId="60" fillId="0" borderId="29" xfId="473" applyFont="1" applyFill="1" applyBorder="1" applyAlignment="1">
      <alignment horizontal="left" wrapText="1"/>
    </xf>
    <xf numFmtId="169" fontId="63" fillId="0" borderId="0" xfId="473" applyNumberFormat="1" applyFont="1" applyFill="1" applyBorder="1" applyAlignment="1">
      <alignment horizontal="center"/>
    </xf>
    <xf numFmtId="0" fontId="60" fillId="0" borderId="0" xfId="475" applyFont="1" applyFill="1" applyBorder="1" applyAlignment="1">
      <alignment vertical="center" wrapText="1"/>
    </xf>
    <xf numFmtId="0" fontId="63" fillId="0" borderId="0" xfId="472" applyFont="1" applyFill="1" applyBorder="1" applyAlignment="1" applyProtection="1">
      <alignment vertical="center" wrapText="1"/>
    </xf>
    <xf numFmtId="169" fontId="63" fillId="0" borderId="0" xfId="472" applyNumberFormat="1" applyFont="1" applyFill="1" applyBorder="1" applyAlignment="1" applyProtection="1">
      <alignment horizontal="center"/>
    </xf>
    <xf numFmtId="0" fontId="62" fillId="0" borderId="0" xfId="0" applyFont="1" applyFill="1" applyAlignment="1">
      <alignment horizontal="center" vertical="center" wrapText="1"/>
    </xf>
    <xf numFmtId="174" fontId="0" fillId="0" borderId="0" xfId="0" applyNumberFormat="1" applyFill="1" applyAlignment="1">
      <alignment horizontal="center"/>
    </xf>
    <xf numFmtId="174" fontId="1" fillId="0" borderId="0" xfId="2" applyNumberFormat="1" applyFont="1" applyFill="1" applyAlignment="1">
      <alignment horizontal="center" vertical="center" wrapText="1"/>
    </xf>
    <xf numFmtId="174" fontId="60" fillId="0" borderId="0" xfId="2" applyNumberFormat="1" applyFont="1" applyFill="1" applyAlignment="1">
      <alignment horizontal="center"/>
    </xf>
    <xf numFmtId="0" fontId="0" fillId="0" borderId="0" xfId="0" applyFill="1"/>
    <xf numFmtId="174" fontId="2" fillId="0" borderId="0" xfId="2" applyNumberFormat="1" applyFont="1" applyFill="1" applyAlignment="1">
      <alignment horizontal="center" vertical="center" wrapText="1"/>
    </xf>
    <xf numFmtId="0" fontId="105" fillId="0" borderId="0" xfId="0" applyFont="1" applyAlignment="1">
      <alignment horizontal="center" vertical="center" wrapText="1"/>
    </xf>
    <xf numFmtId="0" fontId="2" fillId="0" borderId="0" xfId="0" applyFont="1" applyAlignment="1">
      <alignment horizontal="center" vertical="center"/>
    </xf>
    <xf numFmtId="0" fontId="2" fillId="52" borderId="0" xfId="0" applyFont="1" applyFill="1" applyAlignment="1">
      <alignment horizontal="center" vertical="center"/>
    </xf>
    <xf numFmtId="0" fontId="2" fillId="53" borderId="0" xfId="0" applyFont="1" applyFill="1" applyAlignment="1">
      <alignment horizontal="center"/>
    </xf>
    <xf numFmtId="0" fontId="2" fillId="51" borderId="0" xfId="0" applyFont="1" applyFill="1" applyAlignment="1">
      <alignment horizontal="center" vertical="center"/>
    </xf>
    <xf numFmtId="0" fontId="2" fillId="53" borderId="0" xfId="0" applyFont="1" applyFill="1" applyAlignment="1">
      <alignment horizontal="center" vertical="center"/>
    </xf>
    <xf numFmtId="0" fontId="64" fillId="0" borderId="0" xfId="0" applyFont="1" applyAlignment="1">
      <alignment horizontal="center" vertical="center"/>
    </xf>
    <xf numFmtId="0" fontId="0" fillId="0" borderId="0" xfId="0" applyFont="1" applyAlignment="1">
      <alignment horizontal="center" vertical="center" wrapText="1"/>
    </xf>
    <xf numFmtId="0" fontId="79" fillId="0" borderId="0" xfId="0" applyFont="1" applyAlignment="1">
      <alignment horizontal="center" vertical="center"/>
    </xf>
    <xf numFmtId="0" fontId="0" fillId="0" borderId="0" xfId="0" applyFont="1" applyAlignment="1">
      <alignment horizontal="center" vertical="center"/>
    </xf>
    <xf numFmtId="0" fontId="92" fillId="0" borderId="0" xfId="0" applyFont="1" applyAlignment="1">
      <alignment horizontal="center" vertical="center"/>
    </xf>
    <xf numFmtId="0" fontId="75" fillId="0" borderId="0" xfId="0" applyFont="1" applyAlignment="1">
      <alignment horizontal="center" vertical="center"/>
    </xf>
    <xf numFmtId="0" fontId="76" fillId="0" borderId="0" xfId="0" applyFont="1" applyAlignment="1">
      <alignment horizontal="center" vertical="center"/>
    </xf>
    <xf numFmtId="0" fontId="82" fillId="0" borderId="0" xfId="0" applyFont="1" applyAlignment="1">
      <alignment horizontal="center" vertical="center"/>
    </xf>
    <xf numFmtId="0" fontId="0" fillId="0" borderId="0" xfId="0" applyAlignment="1">
      <alignment horizontal="center" vertical="center"/>
    </xf>
    <xf numFmtId="0" fontId="2" fillId="0" borderId="0" xfId="0" applyFont="1" applyFill="1" applyAlignment="1">
      <alignment horizontal="center" vertical="center"/>
    </xf>
    <xf numFmtId="174" fontId="0" fillId="0" borderId="0" xfId="2" applyNumberFormat="1" applyFont="1" applyAlignment="1">
      <alignment horizontal="center" vertical="center"/>
    </xf>
    <xf numFmtId="0" fontId="84" fillId="0" borderId="0" xfId="0" applyFont="1" applyAlignment="1">
      <alignment horizontal="center" vertical="center" wrapText="1"/>
    </xf>
    <xf numFmtId="174" fontId="1" fillId="0" borderId="0" xfId="2" applyNumberFormat="1" applyFont="1" applyAlignment="1">
      <alignment horizontal="center" vertical="center"/>
    </xf>
    <xf numFmtId="10" fontId="0" fillId="0" borderId="0" xfId="2" applyNumberFormat="1" applyFont="1" applyAlignment="1">
      <alignment horizontal="center"/>
    </xf>
    <xf numFmtId="2" fontId="63" fillId="0" borderId="0" xfId="0" applyNumberFormat="1" applyFont="1" applyAlignment="1">
      <alignment horizontal="center"/>
    </xf>
    <xf numFmtId="174" fontId="2" fillId="0" borderId="0" xfId="2" applyNumberFormat="1" applyFont="1" applyAlignment="1">
      <alignment horizontal="center" vertical="center"/>
    </xf>
    <xf numFmtId="0" fontId="63" fillId="0" borderId="0" xfId="0" applyFont="1" applyAlignment="1">
      <alignment horizontal="center" vertical="center"/>
    </xf>
    <xf numFmtId="0" fontId="2" fillId="0" borderId="0" xfId="0" applyFont="1" applyAlignment="1">
      <alignment horizontal="center"/>
    </xf>
    <xf numFmtId="0" fontId="64" fillId="0" borderId="0" xfId="0" applyFont="1" applyAlignment="1">
      <alignment horizontal="center"/>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174" fontId="0" fillId="0" borderId="0" xfId="2" applyNumberFormat="1" applyFont="1" applyBorder="1" applyAlignment="1">
      <alignment horizontal="center"/>
    </xf>
    <xf numFmtId="174" fontId="2" fillId="0" borderId="0" xfId="2" applyNumberFormat="1" applyFont="1" applyAlignment="1">
      <alignment vertical="center"/>
    </xf>
    <xf numFmtId="0" fontId="106" fillId="0" borderId="0" xfId="0" applyFont="1" applyAlignment="1">
      <alignment horizontal="center"/>
    </xf>
  </cellXfs>
  <cellStyles count="476">
    <cellStyle name="20% - Accent1" xfId="5" xr:uid="{2D64CAA5-EEB5-44BB-A6AF-400B54DD5C01}"/>
    <cellStyle name="20% - Accent1 2" xfId="156" xr:uid="{9B7EC455-5A7A-4252-92CB-3B95DA3FA63D}"/>
    <cellStyle name="20% - Accent2" xfId="6" xr:uid="{8C35F308-3355-4863-BB29-3ED6A32A44E0}"/>
    <cellStyle name="20% - Accent2 2" xfId="157" xr:uid="{E51BE4FF-90A8-481E-AEDF-6B4636A29AA7}"/>
    <cellStyle name="20% - Accent3" xfId="7" xr:uid="{E1F43B42-167C-4608-BD92-3DBF6D5B50A6}"/>
    <cellStyle name="20% - Accent3 2" xfId="158" xr:uid="{CF8CD2D2-C4DC-4010-B2FF-9FFB5BF4F24E}"/>
    <cellStyle name="20% - Accent4" xfId="8" xr:uid="{5EEBCB70-A122-49EB-B178-C4B0E10927FC}"/>
    <cellStyle name="20% - Accent4 2" xfId="159" xr:uid="{7D69260A-1320-4C94-9793-F3404EE65CA9}"/>
    <cellStyle name="20% - Accent5" xfId="9" xr:uid="{11DE97C0-E2BC-4175-84BF-1099A772CC4C}"/>
    <cellStyle name="20% - Accent5 2" xfId="160" xr:uid="{DF9E275A-0E83-4B2A-A241-2070D322E041}"/>
    <cellStyle name="20% - Accent6" xfId="10" xr:uid="{3229098D-8666-427D-A8FF-CE1CA09CE635}"/>
    <cellStyle name="20% - Accent6 2" xfId="161" xr:uid="{D537D017-8094-48D4-A022-E873742392C3}"/>
    <cellStyle name="40% - Accent1" xfId="11" xr:uid="{75DB390C-B004-4E09-BD1A-D87B5C169C5A}"/>
    <cellStyle name="40% - Accent1 2" xfId="162" xr:uid="{FFC2FB4B-211D-4950-B15B-0FBEA274699B}"/>
    <cellStyle name="40% - Accent2" xfId="12" xr:uid="{33D867DD-3194-455F-B005-E20DC98E8489}"/>
    <cellStyle name="40% - Accent2 2" xfId="163" xr:uid="{FFAECFAF-C9E9-410B-B3E2-1931CDFEDD80}"/>
    <cellStyle name="40% - Accent3" xfId="13" xr:uid="{4057728C-F8A3-422F-BFA4-3CA7A3C8665B}"/>
    <cellStyle name="40% - Accent3 2" xfId="164" xr:uid="{07CBBF11-79D4-413C-93AA-8F0C460B253E}"/>
    <cellStyle name="40% - Accent4" xfId="14" xr:uid="{047DF7C7-6DC2-49E1-B552-773D8070EB90}"/>
    <cellStyle name="40% - Accent4 2" xfId="165" xr:uid="{71A11FEF-799A-4F8B-BE0E-A0B8D8CBF31D}"/>
    <cellStyle name="40% - Accent5" xfId="15" xr:uid="{E70787FB-FF3B-48FD-986F-5D841DB88274}"/>
    <cellStyle name="40% - Accent5 2" xfId="166" xr:uid="{50F612E8-D2CD-4556-9E6A-B9ACB30F425E}"/>
    <cellStyle name="40% - Accent6" xfId="16" xr:uid="{DFB62F86-489A-4161-B93E-85773BD45633}"/>
    <cellStyle name="40% - Accent6 2" xfId="167" xr:uid="{8610096F-0965-411E-A2DD-1334F9FD0AF5}"/>
    <cellStyle name="60% - Accent1" xfId="17" xr:uid="{DA030A92-1467-4D71-8D90-6F80CB24DCA7}"/>
    <cellStyle name="60% - Accent1 2" xfId="168" xr:uid="{97611656-BBB3-4302-9C02-8BE81CB5EADE}"/>
    <cellStyle name="60% - Accent2" xfId="18" xr:uid="{E0922890-5E2E-4D45-B48D-6C88DC62E532}"/>
    <cellStyle name="60% - Accent2 2" xfId="169" xr:uid="{33833DCD-129A-4CDA-9087-74E6C186B853}"/>
    <cellStyle name="60% - Accent3" xfId="19" xr:uid="{D62F6E17-CC59-42CF-B98A-523278C04120}"/>
    <cellStyle name="60% - Accent3 2" xfId="170" xr:uid="{DE2D090B-3E86-45B2-ACBA-045DC21DC854}"/>
    <cellStyle name="60% - Accent4" xfId="20" xr:uid="{538A8CF2-CA44-4E34-B7C0-30DF74A57786}"/>
    <cellStyle name="60% - Accent4 2" xfId="171" xr:uid="{77043E0C-6CDD-42A7-A015-74459183CD35}"/>
    <cellStyle name="60% - Accent5" xfId="21" xr:uid="{26A575E3-365F-4B1C-987D-4A3001403184}"/>
    <cellStyle name="60% - Accent5 2" xfId="172" xr:uid="{094EACD8-63D2-4EE2-ADB2-1E3EC6AFC615}"/>
    <cellStyle name="60% - Accent6" xfId="22" xr:uid="{1861EA64-0DAF-47EB-9E5F-5DF777585C53}"/>
    <cellStyle name="60% - Accent6 2" xfId="173" xr:uid="{F5A1A981-0266-4BFC-B4DD-ABF8C40DBC07}"/>
    <cellStyle name="Accent1 2" xfId="174" xr:uid="{4DAE008C-9855-4C51-9086-AB9D9DC4C3F2}"/>
    <cellStyle name="Accent2 2" xfId="175" xr:uid="{67D93D58-294D-4261-B6FE-C45E44DCCAC2}"/>
    <cellStyle name="Accent3 2" xfId="176" xr:uid="{94114F06-CBA0-4E1D-AE21-AB4272581023}"/>
    <cellStyle name="Accent4 2" xfId="177" xr:uid="{E1DEF957-5590-4CFE-B8A8-E4B4BB6E9C2D}"/>
    <cellStyle name="Accent5 2" xfId="178" xr:uid="{7D6C77F0-6D9B-433B-AD15-6B928FA15A5B}"/>
    <cellStyle name="Accent6 2" xfId="179" xr:uid="{36D82FA0-54F7-45C9-9B07-CBA7CDAFF4C1}"/>
    <cellStyle name="Bad" xfId="23" xr:uid="{B7CC874B-6910-4532-A4A4-C1A4F3B085BB}"/>
    <cellStyle name="Bad 2" xfId="180" xr:uid="{AD1C3D62-0E9A-4919-87F4-FE85D9D929F1}"/>
    <cellStyle name="caché" xfId="24" xr:uid="{5AC9A5BC-BC71-4560-904F-CBC70C6DD23C}"/>
    <cellStyle name="Calculation" xfId="25" xr:uid="{48ADCC70-94D2-4EF1-AA9E-CF94E1E6782D}"/>
    <cellStyle name="Calculation 2" xfId="181" xr:uid="{FF1E613B-3833-4D6F-9161-6960C7043171}"/>
    <cellStyle name="Calculation 3" xfId="454" xr:uid="{86A054A4-676F-43C4-B510-B44E615FF8F7}"/>
    <cellStyle name="Check Cell" xfId="26" xr:uid="{B77843FF-DAEE-45D4-91E8-526156471E61}"/>
    <cellStyle name="Check Cell 2" xfId="182" xr:uid="{27ECAB4C-9464-4C57-A812-F80D72198863}"/>
    <cellStyle name="Comma 10" xfId="183" xr:uid="{2904E7C8-7B24-4C52-B3A5-FF28C06826A3}"/>
    <cellStyle name="Comma 10 2" xfId="297" xr:uid="{18FAF62F-E24A-4AA8-B3E1-18CCBB4F3C75}"/>
    <cellStyle name="Comma 11" xfId="184" xr:uid="{D70A82D9-EFE7-4EF4-9679-BECA0E956D7A}"/>
    <cellStyle name="Comma 11 2" xfId="298" xr:uid="{32382732-0960-49FD-8D93-0B4C55887A21}"/>
    <cellStyle name="Comma 12" xfId="185" xr:uid="{48EAF87F-8924-46D6-AE50-E6BB86A63F01}"/>
    <cellStyle name="Comma 12 2" xfId="186" xr:uid="{A866519A-96FC-415D-9328-E75FECDB0D5B}"/>
    <cellStyle name="Comma 13" xfId="187" xr:uid="{53206405-A7DB-4019-AAE0-082D5F2BC6FA}"/>
    <cellStyle name="Comma 14" xfId="299" xr:uid="{2E949202-1DFC-45AD-A31C-26DE840B99B8}"/>
    <cellStyle name="Comma 14 2" xfId="430" xr:uid="{8A6ADBAB-8775-45BB-A431-465D54B8D5B6}"/>
    <cellStyle name="Comma 15" xfId="300" xr:uid="{851484F4-62E8-48AE-80C4-14832851AFDF}"/>
    <cellStyle name="Comma 15 2" xfId="431" xr:uid="{E06AB042-718D-4569-87EC-620AA7A95B1F}"/>
    <cellStyle name="Comma 16" xfId="301" xr:uid="{9AE7E99D-A4FE-49CF-943F-DDFA4D22E2EF}"/>
    <cellStyle name="Comma 2" xfId="27" xr:uid="{D596FBE5-783E-4718-847B-A0C4472AAAA4}"/>
    <cellStyle name="Comma 2 2" xfId="188" xr:uid="{71FAE55B-B39E-4835-B130-4C20E72336DE}"/>
    <cellStyle name="Comma 2 2 2" xfId="189" xr:uid="{88ED6D42-AA74-4577-A044-AE31AD584F1E}"/>
    <cellStyle name="Comma 2 2 2 2" xfId="302" xr:uid="{E586D4B0-E0C5-48A4-91BF-6F30E05058ED}"/>
    <cellStyle name="Comma 2 2 2 2 2" xfId="303" xr:uid="{2B45CA17-C83D-4B5F-9BF3-8A417570E437}"/>
    <cellStyle name="Comma 2 2 2 3" xfId="304" xr:uid="{88269AD4-7BC8-43F8-81C0-C4D605D897AC}"/>
    <cellStyle name="Comma 2 2 3" xfId="305" xr:uid="{C56CDE77-9552-4F1F-9125-2C234C36BFFB}"/>
    <cellStyle name="Comma 2 3" xfId="190" xr:uid="{DA883312-628B-44DA-A9F7-C0139244466B}"/>
    <cellStyle name="Comma 2 3 2" xfId="306" xr:uid="{2877BB64-71E1-4A70-BA3E-7476F939B2A2}"/>
    <cellStyle name="Comma 2 4" xfId="307" xr:uid="{A6AD7A01-09D8-48D6-8C72-0A438693D070}"/>
    <cellStyle name="Comma 2 5" xfId="436" xr:uid="{FD4E1066-12E0-441D-BE5C-42CD845B4DE7}"/>
    <cellStyle name="Comma 3" xfId="28" xr:uid="{D3A3CFB4-30F6-4649-8CA5-D65B1AB2541A}"/>
    <cellStyle name="Comma 3 2" xfId="29" xr:uid="{A0CF64CA-20AC-4D31-A144-47246483C3AE}"/>
    <cellStyle name="Comma 4" xfId="191" xr:uid="{C38B6517-9558-4580-ACE2-3F234EDD8E9E}"/>
    <cellStyle name="Comma 4 2" xfId="192" xr:uid="{DF47A4C3-C982-4572-B96C-832D3FC5707D}"/>
    <cellStyle name="Comma 5" xfId="193" xr:uid="{83ACDF97-805A-4919-9273-95537547F588}"/>
    <cellStyle name="Comma 5 2" xfId="194" xr:uid="{F4D1EFBE-BDF5-45B5-81F1-CDD673D5CEE0}"/>
    <cellStyle name="Comma 5 3" xfId="308" xr:uid="{DF90D1D3-36AD-43F8-A485-ABF82DFB49CB}"/>
    <cellStyle name="Comma 6" xfId="195" xr:uid="{5A77438F-3A87-4DFB-A1EE-BC2435973D1B}"/>
    <cellStyle name="Comma 6 2" xfId="309" xr:uid="{96FD5D8D-8B13-4038-9859-F3E884DF4683}"/>
    <cellStyle name="Comma 7" xfId="196" xr:uid="{5626FEF7-7022-4BA7-A4BB-9790C06829CE}"/>
    <cellStyle name="Comma 7 2" xfId="310" xr:uid="{40DDB86B-3E78-45A5-8BAE-CAB6DFCD0D6C}"/>
    <cellStyle name="Comma 8" xfId="197" xr:uid="{DE98F9AF-AF1A-4A88-8302-5EC55EFC10BD}"/>
    <cellStyle name="Comma 8 2" xfId="392" xr:uid="{946939A3-02B2-44F2-8E5E-0B2422668DAB}"/>
    <cellStyle name="Comma 9" xfId="198" xr:uid="{ED7A4E02-2E78-49A6-B500-19F5BC1C06C2}"/>
    <cellStyle name="Comma(0)" xfId="30" xr:uid="{B7913C58-3732-41D6-B0B1-1D65F8CF3FEF}"/>
    <cellStyle name="Comma(3)" xfId="31" xr:uid="{62876BC6-D173-4308-ACC1-9059AD2EE588}"/>
    <cellStyle name="Comma[0]" xfId="32" xr:uid="{5E73F56C-F5FB-4950-B376-BEE366EAE231}"/>
    <cellStyle name="Comma[1]" xfId="33" xr:uid="{FEB0D6F6-D7BD-49FE-9844-EF71520BDB93}"/>
    <cellStyle name="Comma[2]__" xfId="34" xr:uid="{7D35E25F-084C-4B74-8125-190DBDBA67DB}"/>
    <cellStyle name="Comma[3]" xfId="35" xr:uid="{D11FD6FF-B3A4-4A0A-AAD3-9CBCF86FC79C}"/>
    <cellStyle name="Comma0" xfId="36" xr:uid="{5B6105AB-4E35-4CF8-AD3F-CB61D899EB0B}"/>
    <cellStyle name="Comma0 2" xfId="420" xr:uid="{038AE20D-DB8A-4C8C-B679-82C447400398}"/>
    <cellStyle name="Commentaire" xfId="37" xr:uid="{9A9C709D-C0F7-4E40-B13E-B0E85FC75369}"/>
    <cellStyle name="Commentaire 2" xfId="450" xr:uid="{19219A6C-7B66-4C34-A320-485D3CF20C00}"/>
    <cellStyle name="Currency 2" xfId="421" xr:uid="{53E73DC3-E597-4923-9EE4-92F5CA090820}"/>
    <cellStyle name="Currency 2 2" xfId="432" xr:uid="{EC7438A6-2D16-462C-96D5-6BF65001C3E2}"/>
    <cellStyle name="Currency0" xfId="38" xr:uid="{028BE39C-2285-495F-B315-062C211FBB1C}"/>
    <cellStyle name="Currency0 2" xfId="419" xr:uid="{45B3B29B-25D6-4012-90BA-2BF6D119FA49}"/>
    <cellStyle name="Date" xfId="39" xr:uid="{3C3DBF63-BD76-4A47-812C-F5CD0107F01E}"/>
    <cellStyle name="Date 2" xfId="199" xr:uid="{9695B34E-632A-4543-8248-DBF8A5A02797}"/>
    <cellStyle name="Date 2 2" xfId="391" xr:uid="{5495031A-A326-471E-851F-E14418E2A5A3}"/>
    <cellStyle name="Date 3" xfId="418" xr:uid="{BCDDC15A-7DE7-4506-ADEB-27242DF143E5}"/>
    <cellStyle name="Dezimal_03-09-03" xfId="40" xr:uid="{F3F2F85D-7E93-4FFC-9B49-853F085DEF73}"/>
    <cellStyle name="En-tête 1" xfId="41" xr:uid="{4B6A39FA-191D-47FA-BC3F-09659D9C26A4}"/>
    <cellStyle name="En-tête 1 2" xfId="200" xr:uid="{129B5FD7-FFFC-4F6B-9765-CD4F552737D9}"/>
    <cellStyle name="En-tête 1 2 2" xfId="390" xr:uid="{D89FC8E9-0F5C-4D2D-9C88-83BFE9091543}"/>
    <cellStyle name="En-tête 1 3" xfId="417" xr:uid="{999A39AE-6AC8-455A-B8D4-8698529DD3BA}"/>
    <cellStyle name="En-tête 2" xfId="42" xr:uid="{2AFC9E56-FA70-4871-A12F-B701011E6DD1}"/>
    <cellStyle name="En-tête 2 2" xfId="201" xr:uid="{17F15DBA-B7CB-48CA-B3B2-92860A07BC1B}"/>
    <cellStyle name="En-tête 2 2 2" xfId="389" xr:uid="{28FCE25F-81DB-4AD8-BD0C-4A2A40EAE672}"/>
    <cellStyle name="En-tête 2 3" xfId="416" xr:uid="{05E048F7-5E89-4A15-878D-17FAA82BB811}"/>
    <cellStyle name="Explanatory Text" xfId="43" xr:uid="{894C75E4-674E-4CC7-9207-99DD29FAFFAC}"/>
    <cellStyle name="Explanatory Text 2" xfId="202" xr:uid="{43726FDA-176A-4610-AE74-8608C370EA96}"/>
    <cellStyle name="Financier0" xfId="44" xr:uid="{86F4128E-4A2C-4F7F-8F71-1C0A4698BA28}"/>
    <cellStyle name="Financier0 2" xfId="203" xr:uid="{6F0D7C72-4904-41E7-9F49-655EAAD14F68}"/>
    <cellStyle name="Financier0 2 2" xfId="388" xr:uid="{4DF717AB-8480-4CF7-BA7B-6F6035A938B9}"/>
    <cellStyle name="Financier0 3" xfId="415" xr:uid="{3F3D3693-45E7-4F1A-90E2-BBB3A5F5B68D}"/>
    <cellStyle name="Fixed" xfId="45" xr:uid="{D726E947-6F33-45FC-AD41-4A857E36A5B8}"/>
    <cellStyle name="Fixed 2" xfId="414" xr:uid="{6E05CCC4-1F88-4BB3-9F4A-1E7C08FB5970}"/>
    <cellStyle name="Good" xfId="46" xr:uid="{CD6CF26A-670B-48E5-BEE1-5CBA3FE187AD}"/>
    <cellStyle name="Good 2" xfId="204" xr:uid="{4CAED96E-EC03-45B0-9772-4F0FB396E21D}"/>
    <cellStyle name="Heading 1" xfId="47" xr:uid="{73690D5E-4FBA-41C6-B0B0-B9A6DCEC5906}"/>
    <cellStyle name="Heading 1 2" xfId="205" xr:uid="{B18DDDC5-DC86-4C52-A658-3E1DE971C6B3}"/>
    <cellStyle name="Heading 2" xfId="48" xr:uid="{E32590D5-FB34-4D83-9C25-1424A1BB2D1E}"/>
    <cellStyle name="Heading 2 2" xfId="206" xr:uid="{96584DCC-7A13-46A7-B8F2-DBF7A18FD163}"/>
    <cellStyle name="Heading 3" xfId="49" xr:uid="{CC4FAC88-B7C2-4179-B620-D81DDA236D84}"/>
    <cellStyle name="Heading 3 2" xfId="207" xr:uid="{6C6BE92E-DAA8-4D0F-81FE-0F98DB2D689D}"/>
    <cellStyle name="Heading 4" xfId="50" xr:uid="{76B593A8-4FC1-4204-A68A-C40DA98DA389}"/>
    <cellStyle name="Heading 4 2" xfId="208" xr:uid="{04F39645-2A55-42B4-A17A-4AF64832B0D7}"/>
    <cellStyle name="Hyperlink 2" xfId="209" xr:uid="{C0F39289-2F81-49C1-85F0-6C4D98A9DC7A}"/>
    <cellStyle name="Input" xfId="51" xr:uid="{188BEF1C-8EF6-45CE-ABCB-9B4588699A4E}"/>
    <cellStyle name="Input 2" xfId="210" xr:uid="{D07FD5ED-A4B3-4279-94C0-8DA0AA726676}"/>
    <cellStyle name="Input 3" xfId="455" xr:uid="{84938688-5382-41EE-ABB9-775FCAD94F3F}"/>
    <cellStyle name="Lien hypertexte 2" xfId="52" xr:uid="{EBC18255-F9AF-443B-A8CE-82FEDD77DFF3}"/>
    <cellStyle name="Lien hypertexte 2 2" xfId="469" xr:uid="{75966EC4-B1C1-4DB2-87FF-EDC17DBE217A}"/>
    <cellStyle name="Lien hypertexte 3" xfId="349" xr:uid="{5F44D7C3-8920-445F-B6E8-24DE3626137A}"/>
    <cellStyle name="Linked Cell" xfId="53" xr:uid="{0E161ACA-84E5-4D50-BE95-B91B5633900E}"/>
    <cellStyle name="Linked Cell 2" xfId="211" xr:uid="{8B9A5057-3BB6-4872-9318-40CD169F35C1}"/>
    <cellStyle name="Milliers" xfId="1" builtinId="3"/>
    <cellStyle name="Milliers 2" xfId="54" xr:uid="{AEFE9F53-A0E9-4DA9-8690-481107B178ED}"/>
    <cellStyle name="Milliers 3" xfId="350" xr:uid="{93369DC9-5F4F-4D8C-BC08-537C18700CCB}"/>
    <cellStyle name="Milliers 3 2" xfId="295" xr:uid="{248159BB-CCC4-4F17-9CCE-BF4F8FE34D2A}"/>
    <cellStyle name="Milliers 3 3" xfId="458" xr:uid="{0D0F07AC-A184-45E2-8F82-D6D8116A3892}"/>
    <cellStyle name="Milliers 4" xfId="371" xr:uid="{E7764AD7-C9EB-4074-AF56-9F16F0CCB329}"/>
    <cellStyle name="Milliers 5" xfId="440" xr:uid="{F754ED55-BCF5-408B-806B-E41A1EF9B99A}"/>
    <cellStyle name="Milliers 6" xfId="471" xr:uid="{4C52CF11-0FA8-48C0-962D-0CF4378D0CEE}"/>
    <cellStyle name="Monétaire0" xfId="55" xr:uid="{756051A9-961D-4E48-9DFB-687305925504}"/>
    <cellStyle name="Monétaire0 2" xfId="212" xr:uid="{E9802F85-100E-4E34-A496-9F3637306FC7}"/>
    <cellStyle name="Monétaire0 2 2" xfId="387" xr:uid="{D691F2D9-56C4-4E27-ABCE-90AF785519A9}"/>
    <cellStyle name="Monétaire0 3" xfId="413" xr:uid="{DAA5F4F8-E11A-4C93-8BF8-BFEDD0C8F730}"/>
    <cellStyle name="Motif" xfId="56" xr:uid="{D1096B0B-D70F-4F31-BCB2-7D5310189130}"/>
    <cellStyle name="Motif 2" xfId="412" xr:uid="{914D6312-8D45-4D42-89C7-9484BEA3204A}"/>
    <cellStyle name="Neutral" xfId="57" xr:uid="{8EC1B5FF-8982-48B2-9E96-86EDA5C9D025}"/>
    <cellStyle name="Neutral 2" xfId="213" xr:uid="{2301E48D-C0BB-43AE-87FC-F491050B195E}"/>
    <cellStyle name="Normaali_Eduskuntavaalit" xfId="58" xr:uid="{55D95882-BF02-4E9C-A335-812111E96041}"/>
    <cellStyle name="Normal" xfId="0" builtinId="0"/>
    <cellStyle name="Normal 10" xfId="59" xr:uid="{52E03F0D-5615-4577-9EB6-490BED3DC8F0}"/>
    <cellStyle name="Normal 10 2" xfId="60" xr:uid="{3960728C-159E-42B2-8ABB-C29217C29477}"/>
    <cellStyle name="Normal 10 2 2" xfId="61" xr:uid="{B1BA20B0-AB6D-4DF5-AA09-4FCA81F1AC5F}"/>
    <cellStyle name="Normal 10 3" xfId="62" xr:uid="{61D8713A-B45B-457E-ADF3-CBB3BDA60A68}"/>
    <cellStyle name="Normal 10 3 2" xfId="363" xr:uid="{20BA16FC-D1AD-4064-B80E-AC7CD7AB983D}"/>
    <cellStyle name="Normal 10 4" xfId="351" xr:uid="{D73B08A1-9D9C-48F9-B440-8295BA0B0A55}"/>
    <cellStyle name="Normal 10 4 2" xfId="352" xr:uid="{49983AC0-F372-4062-B1A6-7FD796DC4557}"/>
    <cellStyle name="Normal 10 5" xfId="353" xr:uid="{E204EDC4-0AAF-4580-97B3-789DD958471E}"/>
    <cellStyle name="Normal 11" xfId="63" xr:uid="{B4CF61A8-2B33-4F15-A721-6D191CCD0CCE}"/>
    <cellStyle name="Normal 11 2" xfId="64" xr:uid="{4AE89849-9032-4E83-9E38-29531629FD0D}"/>
    <cellStyle name="Normal 11 2 2" xfId="65" xr:uid="{85B6CBFD-1AC6-4FD7-89A0-73E6D80FC6DD}"/>
    <cellStyle name="Normal 11 3" xfId="66" xr:uid="{03551366-065A-4E55-B773-0754EDF5D249}"/>
    <cellStyle name="Normal 11 4" xfId="369" xr:uid="{3EEFCFFA-A299-4CF4-AD24-CE84EBA565AD}"/>
    <cellStyle name="Normal 12" xfId="67" xr:uid="{1EF87DBF-306A-4A21-A217-49C555BCA1AA}"/>
    <cellStyle name="Normal 12 2" xfId="68" xr:uid="{3A721FC0-E9BD-4219-8436-2E5420198C97}"/>
    <cellStyle name="Normal 12 2 2" xfId="311" xr:uid="{055C41D9-DC99-491A-AF73-F106AE6A0A20}"/>
    <cellStyle name="Normal 12 2 2 2" xfId="459" xr:uid="{29689ED4-6A1D-4589-A4D8-2933654675FC}"/>
    <cellStyle name="Normal 12 2 3" xfId="439" xr:uid="{63D28680-BE38-4463-A04E-0398101BE08E}"/>
    <cellStyle name="Normal 12 3" xfId="312" xr:uid="{15774E17-CCC9-4594-9F7B-40882C928F98}"/>
    <cellStyle name="Normal 13" xfId="69" xr:uid="{8D37E882-726F-4B7B-A74A-5E75CB8651CF}"/>
    <cellStyle name="Normal 13 2" xfId="70" xr:uid="{6DD675AB-BDFF-4E3A-9063-74035326BB43}"/>
    <cellStyle name="Normal 13 3" xfId="71" xr:uid="{1FB3E7A8-9EA9-4262-81DE-ACC075FE3684}"/>
    <cellStyle name="Normal 13 4" xfId="354" xr:uid="{2358228A-D2E4-4C2F-99F4-56BB55D68304}"/>
    <cellStyle name="Normal 13 5" xfId="441" xr:uid="{13DBCC38-6091-4B7F-AC4A-F10E87395002}"/>
    <cellStyle name="Normal 14" xfId="72" xr:uid="{696EC7B7-3E48-4878-BA6B-61B0F5493CF9}"/>
    <cellStyle name="Normal 14 2" xfId="460" xr:uid="{C9FBE359-92F6-4022-AB6B-90F91D6E9DDF}"/>
    <cellStyle name="Normal 15" xfId="73" xr:uid="{1D143AC0-DFD2-4310-B528-867A94491250}"/>
    <cellStyle name="Normal 15 2" xfId="214" xr:uid="{9E486216-E737-4623-941C-137C96AEF0C6}"/>
    <cellStyle name="Normal 15 2 2" xfId="313" xr:uid="{02D13FAE-4CBF-4923-9A37-44B840B52FAF}"/>
    <cellStyle name="Normal 15 3" xfId="215" xr:uid="{86093187-A7AC-48D4-8F5C-973C12F89594}"/>
    <cellStyle name="Normal 15 4" xfId="216" xr:uid="{EB7C1A68-E194-414E-A913-A4AB157755BF}"/>
    <cellStyle name="Normal 16" xfId="74" xr:uid="{034BC1D9-A5DD-40B7-AB35-F6F65C709D73}"/>
    <cellStyle name="Normal 16 2" xfId="365" xr:uid="{9A3C725C-FB44-4CD5-80DE-EB4628E9BF05}"/>
    <cellStyle name="Normal 17" xfId="217" xr:uid="{AF4235FB-A52D-4D2B-A70B-BEDA912D7B27}"/>
    <cellStyle name="Normal 17 2" xfId="386" xr:uid="{B5133516-E16E-4243-93E5-A268684CDA9E}"/>
    <cellStyle name="Normal 18" xfId="218" xr:uid="{004601E8-39AD-47A2-BF3A-3CCB959A0276}"/>
    <cellStyle name="Normal 19" xfId="219" xr:uid="{653B8130-DD61-4E50-9E65-75B7F42637A3}"/>
    <cellStyle name="Normal 2" xfId="75" xr:uid="{8FB4739F-37B7-4332-9340-558BA384A6DF}"/>
    <cellStyle name="Normal 2 2" xfId="76" xr:uid="{32868647-70DD-4AFB-87C6-38BA4B7CB059}"/>
    <cellStyle name="Normal 2 2 2" xfId="77" xr:uid="{63C863AE-9FF6-4796-BDB3-E0E01312F41B}"/>
    <cellStyle name="Normal 2 2 2 2" xfId="409" xr:uid="{377FE81D-7C3C-448F-8AC6-429B23399AA8}"/>
    <cellStyle name="Normal 2 2 3" xfId="422" xr:uid="{0FF052BD-E022-4F4A-B34E-AC2C2C17E0AE}"/>
    <cellStyle name="Normal 2 2 3 2" xfId="433" xr:uid="{BAAC0A6D-07F6-4F79-B879-0312EE95996E}"/>
    <cellStyle name="Normal 2 2 3 3" xfId="445" xr:uid="{845A2DA4-1390-4CC6-B121-3647DFD58FA0}"/>
    <cellStyle name="Normal 2 2 4" xfId="410" xr:uid="{D045201F-2842-4DB9-BA8B-344AEF55424C}"/>
    <cellStyle name="Normal 2 2 5" xfId="472" xr:uid="{A701DA78-D52D-4E0E-8F62-D50C35C1761A}"/>
    <cellStyle name="Normal 2 3" xfId="78" xr:uid="{F3395FBD-5EB2-4D8F-B5E4-1F449205FEED}"/>
    <cellStyle name="Normal 2 3 2" xfId="408" xr:uid="{247DD688-9EB2-4EE4-8246-E2FDE755A34E}"/>
    <cellStyle name="Normal 2 3 2 2" xfId="446" xr:uid="{E9D78330-4574-4E00-BD45-274AA7E89305}"/>
    <cellStyle name="Normal 2 3 3" xfId="474" xr:uid="{9A655144-7C5D-48F7-9159-54B66EEB4D2E}"/>
    <cellStyle name="Normal 2 4" xfId="79" xr:uid="{8DAAB1D4-A787-404B-BF99-7D207AED5808}"/>
    <cellStyle name="Normal 2 4 2" xfId="80" xr:uid="{EF80FAFB-9A5E-445F-8864-C4D879E8BAF4}"/>
    <cellStyle name="Normal 2 4 3" xfId="81" xr:uid="{1407708A-5AB7-4814-906F-8A81D0CC275C}"/>
    <cellStyle name="Normal 2 5" xfId="82" xr:uid="{E98E5397-179B-4551-90B8-876C6557AD88}"/>
    <cellStyle name="Normal 2 5 2" xfId="407" xr:uid="{E9F8CE18-64C8-4CF7-8ABC-2C9AC556E44D}"/>
    <cellStyle name="Normal 2 5 3" xfId="443" xr:uid="{F0E11F23-EA4D-49E3-B99C-EC3F24F874B2}"/>
    <cellStyle name="Normal 2 6" xfId="220" xr:uid="{DBB9AD0D-F0DD-415D-A6FF-8F3FF6933DB2}"/>
    <cellStyle name="Normal 2 6 2" xfId="385" xr:uid="{EC4CB868-7278-4A27-95DB-CF3A53A7D915}"/>
    <cellStyle name="Normal 2 7" xfId="347" xr:uid="{8AC398CF-CF87-4CAF-BB6F-7A61DACE4C20}"/>
    <cellStyle name="Normal 2 8" xfId="468" xr:uid="{A1C0B3F2-FECD-4DF5-8958-C2F02EA334B9}"/>
    <cellStyle name="Normal 2 9" xfId="473" xr:uid="{BB174B4F-990E-4C9C-8C26-F33A3E385FE5}"/>
    <cellStyle name="Normal 2_AccumulationEquation" xfId="83" xr:uid="{AD99970B-21EC-452C-9715-52BC8651E413}"/>
    <cellStyle name="Normal 20" xfId="221" xr:uid="{DB33088C-D7DB-4B1A-9D4F-C49D912F00BB}"/>
    <cellStyle name="Normal 20 2" xfId="314" xr:uid="{974490F2-B3AD-4F19-BF22-31C97C70C1EC}"/>
    <cellStyle name="Normal 21" xfId="222" xr:uid="{5529F74B-D33A-4234-B1B0-F11986C69282}"/>
    <cellStyle name="Normal 21 2" xfId="315" xr:uid="{1A662E7D-9251-454E-8BC0-0D34FE5735CB}"/>
    <cellStyle name="Normal 22" xfId="223" xr:uid="{6EAD4662-28EE-4AB0-9739-6EEB96A7E0D3}"/>
    <cellStyle name="Normal 22 2" xfId="316" xr:uid="{7A92E4B2-B3F0-47DA-8C12-2C71E84DB120}"/>
    <cellStyle name="Normal 23" xfId="224" xr:uid="{F47D85EB-1BE7-457A-86DD-A0BDEBAF8407}"/>
    <cellStyle name="Normal 23 2" xfId="317" xr:uid="{A73B4FEF-E5ED-4DC8-A906-6B6014F7503B}"/>
    <cellStyle name="Normal 24" xfId="225" xr:uid="{C52E3C52-1053-4C5B-9A5D-FE0C96A00FB0}"/>
    <cellStyle name="Normal 24 2" xfId="318" xr:uid="{6D664ED2-B7C6-4749-AC40-F933A377BA5F}"/>
    <cellStyle name="Normal 25" xfId="226" xr:uid="{F22BA64E-16C6-4CB4-9E60-CB2D72BC3D0A}"/>
    <cellStyle name="Normal 25 2" xfId="319" xr:uid="{742B43F9-C3BE-477B-8906-DAE175E43534}"/>
    <cellStyle name="Normal 26" xfId="227" xr:uid="{C96CC861-DF87-4839-B19B-60849033FDEF}"/>
    <cellStyle name="Normal 27" xfId="228" xr:uid="{8AEED47D-5D54-450C-AF09-9CD1CAFB1366}"/>
    <cellStyle name="Normal 27 2" xfId="320" xr:uid="{4638D98A-4D0A-4F28-A716-7C3E47F0FB18}"/>
    <cellStyle name="Normal 28" xfId="229" xr:uid="{2BF2AC53-9C33-4E91-B3F2-E848D77BBAF9}"/>
    <cellStyle name="Normal 28 2" xfId="321" xr:uid="{A336FBE7-895E-4176-99C6-238951ED904D}"/>
    <cellStyle name="Normal 29" xfId="230" xr:uid="{EE8A12D1-920A-4045-9B44-7AF46F2182C4}"/>
    <cellStyle name="Normal 29 2" xfId="322" xr:uid="{2E4A6B7C-90D1-47D4-87FA-23D815B53572}"/>
    <cellStyle name="Normal 3" xfId="84" xr:uid="{C8C69782-A290-46AC-BAC0-79BD2286A321}"/>
    <cellStyle name="Normal 3 10" xfId="323" xr:uid="{217CD434-507D-4A18-A301-1DCADD924C53}"/>
    <cellStyle name="Normal 3 2" xfId="85" xr:uid="{9A7DBFBC-C705-4F2E-AD9A-38CE42DE4A8D}"/>
    <cellStyle name="Normal 3 2 2" xfId="231" xr:uid="{87D5F332-90B1-4D0A-9360-3096D37BC42A}"/>
    <cellStyle name="Normal 3 2 2 2" xfId="232" xr:uid="{6F1D4818-7C67-4125-B5C5-332B4A44CD91}"/>
    <cellStyle name="Normal 3 2 2 3" xfId="324" xr:uid="{5B1E2900-C388-4F79-AFFB-E07802408C73}"/>
    <cellStyle name="Normal 3 2 2 3 2" xfId="325" xr:uid="{5FE8B0EF-5C95-4D9A-A145-66A7CF97A05B}"/>
    <cellStyle name="Normal 3 2 2 4" xfId="326" xr:uid="{F7315B7D-1E03-48F4-AAB5-57B99A3D470D}"/>
    <cellStyle name="Normal 3 2 2 5" xfId="327" xr:uid="{67A69836-EB84-4A67-B235-2DEA538F23BD}"/>
    <cellStyle name="Normal 3 2 3" xfId="233" xr:uid="{AA133778-EDF2-4A7B-A6F2-808072B2A26F}"/>
    <cellStyle name="Normal 3 2 4" xfId="234" xr:uid="{37E8B595-396D-43C8-8BC1-C6FD1C548445}"/>
    <cellStyle name="Normal 3 2 4 2" xfId="235" xr:uid="{C85D742A-3F78-4138-BD29-6F04F8D0BF7C}"/>
    <cellStyle name="Normal 3 2 4 2 2" xfId="328" xr:uid="{F8BF1B69-90D9-4B26-BF9C-9DE5551E939E}"/>
    <cellStyle name="Normal 3 2 4 3" xfId="384" xr:uid="{9688FEE4-4A3B-4254-8B85-006371D4C178}"/>
    <cellStyle name="Normal 3 2 5" xfId="236" xr:uid="{CA67F443-18CA-4E70-AEC8-7DA46F5D8343}"/>
    <cellStyle name="Normal 3 2 6" xfId="237" xr:uid="{F6BC82BC-2601-4A1D-8335-557F51DAC978}"/>
    <cellStyle name="Normal 3 2 6 2" xfId="329" xr:uid="{076AADF0-E02A-412A-A8CF-E52DD4013DF0}"/>
    <cellStyle name="Normal 3 2 7" xfId="330" xr:uid="{25E36A2B-9E20-465B-823F-AC2186B657FE}"/>
    <cellStyle name="Normal 3 2 7 2" xfId="331" xr:uid="{D8C21775-20BB-424F-8539-B8BCC3B30399}"/>
    <cellStyle name="Normal 3 2 8" xfId="406" xr:uid="{8D52ECA7-5958-4A6C-9EC6-1B0BAD5F4427}"/>
    <cellStyle name="Normal 3 3" xfId="86" xr:uid="{CF121738-AE81-4159-B512-F5C5119F80CD}"/>
    <cellStyle name="Normal 3 3 2" xfId="405" xr:uid="{7022DE96-4B95-4B4C-9111-22386CE7DA89}"/>
    <cellStyle name="Normal 3 3 3" xfId="447" xr:uid="{61395425-6854-4FF4-9DB3-6D57148B92FC}"/>
    <cellStyle name="Normal 3 4" xfId="238" xr:uid="{B260B709-D896-4945-94F9-931DF21925CB}"/>
    <cellStyle name="Normal 3 4 2" xfId="332" xr:uid="{345F6B1B-8D41-4897-93F3-3FE267F2ABE0}"/>
    <cellStyle name="Normal 3 5" xfId="239" xr:uid="{B15A0B20-FA44-4AAA-98E6-88457E9B5371}"/>
    <cellStyle name="Normal 3 6" xfId="240" xr:uid="{0D8EEC58-9ECC-4FDC-B2FA-0D5EDE80F062}"/>
    <cellStyle name="Normal 3 7" xfId="241" xr:uid="{1E288846-81F3-4A79-8128-64D6CAF72B00}"/>
    <cellStyle name="Normal 3 7 2" xfId="383" xr:uid="{EE521F6E-A7A9-4349-9616-3683C8B38DC7}"/>
    <cellStyle name="Normal 3 8" xfId="242" xr:uid="{D8123D6A-B868-4E6A-81BC-C6B711208ACB}"/>
    <cellStyle name="Normal 3 8 2" xfId="333" xr:uid="{7173F86C-B35C-46AF-BC08-95F8B05E4035}"/>
    <cellStyle name="Normal 3 9" xfId="243" xr:uid="{4CED9CC7-B274-438A-8081-97E815FD617C}"/>
    <cellStyle name="Normal 30" xfId="244" xr:uid="{E652E3CA-A07D-4A22-8391-426D97D0DEEC}"/>
    <cellStyle name="Normal 30 2" xfId="334" xr:uid="{0D201F90-1FB2-4B3D-9336-1B5212988404}"/>
    <cellStyle name="Normal 31" xfId="245" xr:uid="{5B3A32E7-B834-4F5C-8B5F-8F50FE67F845}"/>
    <cellStyle name="Normal 31 2" xfId="335" xr:uid="{803A083B-CF48-4B07-B69E-BD187624C19D}"/>
    <cellStyle name="Normal 32" xfId="246" xr:uid="{B71EA233-A8AD-471B-A60C-D4E2BFEAC9E3}"/>
    <cellStyle name="Normal 32 2" xfId="382" xr:uid="{8982658A-917F-470E-837B-5EC0A49C0B48}"/>
    <cellStyle name="Normal 33" xfId="247" xr:uid="{D4E25F8F-5181-41FB-B04E-2F1700E660C8}"/>
    <cellStyle name="Normal 33 2" xfId="248" xr:uid="{8069E7FE-A28D-4B8F-9CAD-495BCB0C7095}"/>
    <cellStyle name="Normal 34" xfId="249" xr:uid="{0306679B-85DE-42C4-9132-C1BDEDA7A76A}"/>
    <cellStyle name="Normal 35" xfId="250" xr:uid="{78195041-5D39-4BCB-B290-5ED2BB3FE02D}"/>
    <cellStyle name="Normal 36" xfId="251" xr:uid="{798D34B8-CF08-4DE3-8522-356AF09CCA11}"/>
    <cellStyle name="Normal 36 2" xfId="252" xr:uid="{535E90C7-AAE3-42AD-B6A8-5DE88888335D}"/>
    <cellStyle name="Normal 37" xfId="253" xr:uid="{06C5DA55-EEA3-4C08-81EB-D4C8036506F2}"/>
    <cellStyle name="Normal 38" xfId="370" xr:uid="{4B29C865-76A1-424D-B61D-2104A9020EA1}"/>
    <cellStyle name="Normal 39" xfId="381" xr:uid="{318B499E-91F1-499D-B1B2-3023F6BF700B}"/>
    <cellStyle name="Normal 4" xfId="87" xr:uid="{128C01A6-EF40-47E0-B8EB-0BCC46AE3110}"/>
    <cellStyle name="Normal 4 2" xfId="88" xr:uid="{DDDCFDB6-3F25-4768-8857-E50B9284F5EE}"/>
    <cellStyle name="Normal 4 3" xfId="89" xr:uid="{B89EA7C9-C441-4F14-9B6F-35B3617130A5}"/>
    <cellStyle name="Normal 4 3 2" xfId="448" xr:uid="{366B44B9-AF68-496F-9FFA-3AF5C07236CC}"/>
    <cellStyle name="Normal 4 4" xfId="254" xr:uid="{5B196846-340C-4760-BA31-0497F97E6769}"/>
    <cellStyle name="Normal 4 4 2" xfId="255" xr:uid="{450FEC73-6106-46AB-8E8B-8DC1AC254281}"/>
    <cellStyle name="Normal 4 5" xfId="256" xr:uid="{00E5BFC2-E226-4AF3-B489-791C6AEF77A0}"/>
    <cellStyle name="Normal 4 5 2" xfId="257" xr:uid="{1C64B7B0-709B-4ED6-BC7D-5D43C5FD4625}"/>
    <cellStyle name="Normal 4 6" xfId="336" xr:uid="{82E24299-D7BA-4FE5-B384-6B47026EA54B}"/>
    <cellStyle name="Normal 40" xfId="3" xr:uid="{C74608C2-D360-492B-9CB7-68D4926CA371}"/>
    <cellStyle name="Normal 41" xfId="434" xr:uid="{5559364F-90E9-415D-B049-322B63909FE4}"/>
    <cellStyle name="Normal 42" xfId="453" xr:uid="{DE8D5381-FA3A-4EE2-B7CC-E6924A735AA6}"/>
    <cellStyle name="Normal 43" xfId="464" xr:uid="{CA365D1C-231C-431F-A80D-A5A76221ACC1}"/>
    <cellStyle name="Normal 44" xfId="465" xr:uid="{3E557DDD-E4A2-4B70-AFB6-0D7BA2C23958}"/>
    <cellStyle name="Normal 45" xfId="461" xr:uid="{9D6C390D-4204-40A7-A8E9-82A24C26B8F2}"/>
    <cellStyle name="Normal 46" xfId="462" xr:uid="{2501251F-DAA4-493D-BA2E-FC0DFDDA8881}"/>
    <cellStyle name="Normal 47" xfId="463" xr:uid="{6C9D6369-7A10-4999-AC1B-CBEED5EA7F81}"/>
    <cellStyle name="Normal 48" xfId="435" xr:uid="{9EB983BF-95A0-421C-AA9E-17C021B31BC1}"/>
    <cellStyle name="Normal 49" xfId="466" xr:uid="{4BC00570-58EE-4D00-96DB-5FE6ED9B94BE}"/>
    <cellStyle name="Normal 5" xfId="90" xr:uid="{CC118E57-DC46-4CD6-B967-DBF092646EAC}"/>
    <cellStyle name="Normal 5 2" xfId="258" xr:uid="{9508BBD4-8B73-48EE-A71A-C010997246AE}"/>
    <cellStyle name="Normal 5 2 2" xfId="451" xr:uid="{0062774F-EAFE-44A0-AA82-67B1E46506D0}"/>
    <cellStyle name="Normal 5 3" xfId="404" xr:uid="{F7BDBC72-57E7-46E4-9967-B44FFADFB863}"/>
    <cellStyle name="Normal 5 4" xfId="438" xr:uid="{09D23EED-1208-4548-8C9A-F78F3F026282}"/>
    <cellStyle name="Normal 50" xfId="467" xr:uid="{D453E281-ADF5-489B-BF0C-7F04F9E5848D}"/>
    <cellStyle name="Normal 51" xfId="470" xr:uid="{B5FF40E1-CC57-458D-A4DA-DEAB96FC9C00}"/>
    <cellStyle name="Normal 52" xfId="475" xr:uid="{FF7CBA57-84A3-4FE5-9742-55D2CAE7B118}"/>
    <cellStyle name="Normal 6" xfId="91" xr:uid="{17AF7184-7583-4969-9126-E83232955F95}"/>
    <cellStyle name="Normal 6 2" xfId="259" xr:uid="{4169865B-699D-4445-8200-AC569878FEC4}"/>
    <cellStyle name="Normal 7" xfId="92" xr:uid="{6D1BC80A-D335-4343-A63C-AF147C2C3605}"/>
    <cellStyle name="Normal 7 2" xfId="260" xr:uid="{D47D07C1-7C97-408F-B992-B8812579F027}"/>
    <cellStyle name="Normal 8" xfId="93" xr:uid="{C98B231D-5699-4259-8168-3D2E95420E34}"/>
    <cellStyle name="Normal 8 2" xfId="94" xr:uid="{62777EE8-8095-4D6A-97B5-4A830FD074C8}"/>
    <cellStyle name="Normal 8 2 2" xfId="423" xr:uid="{5D5A554E-2D36-42C7-BF48-B1ABA917AB9B}"/>
    <cellStyle name="Normal 8 3" xfId="372" xr:uid="{27098458-1372-4CBD-9D22-0FC77D3EF04D}"/>
    <cellStyle name="Normal 8 3 2" xfId="427" xr:uid="{FA40A1A7-2AC7-4961-9CFF-6734A0803829}"/>
    <cellStyle name="Normal 8 4" xfId="403" xr:uid="{EB0846CB-2D7E-4063-B166-A75641D430F8}"/>
    <cellStyle name="Normal 9" xfId="95" xr:uid="{0920C2AF-0535-4277-829D-E2D22A349E51}"/>
    <cellStyle name="Normal 9 2" xfId="424" xr:uid="{1CDC6DA1-1DC1-4AAD-9DED-7FDB8392DA4C}"/>
    <cellStyle name="Normal GHG whole table" xfId="96" xr:uid="{5EB47A8B-B775-414C-87B2-A07FD4E58D23}"/>
    <cellStyle name="Normal-blank" xfId="97" xr:uid="{CCC4083D-64E1-4098-9D93-2075E10D54F7}"/>
    <cellStyle name="Normal-bottom" xfId="98" xr:uid="{DA228440-6DE0-49A9-A747-32EC188CA6C9}"/>
    <cellStyle name="Normal-center" xfId="99" xr:uid="{80AE33F2-CF00-4860-AA49-F24395340F23}"/>
    <cellStyle name="Normal-droit" xfId="100" xr:uid="{DB4C17D6-300D-4198-9BE7-0280101B0862}"/>
    <cellStyle name="normální_Nove vystupy_DOPOCTENE" xfId="102" xr:uid="{AE2E9806-4BB7-41B6-AD73-9A935310DDCF}"/>
    <cellStyle name="Normal-top" xfId="101" xr:uid="{D3A63369-A77A-4771-A3D8-F0BB28373BD1}"/>
    <cellStyle name="Note 2" xfId="261" xr:uid="{2AA5F619-5FF3-4B4F-8A6F-F5DF0C7B5C06}"/>
    <cellStyle name="Note 2 2" xfId="456" xr:uid="{AB6A6535-EC63-4F07-B4F6-34FC89F7867E}"/>
    <cellStyle name="Note 3" xfId="262" xr:uid="{77C0441B-7AC5-4B5F-99F8-DE96E9F0901C}"/>
    <cellStyle name="Note 4" xfId="103" xr:uid="{E9F30224-01BC-4DB0-8EFB-8266282D1C41}"/>
    <cellStyle name="Note 5" xfId="402" xr:uid="{43E8021E-8437-45CA-930E-6BD57CA700DD}"/>
    <cellStyle name="Output" xfId="104" xr:uid="{A3369340-7667-466D-A6AC-E9E134EBF21D}"/>
    <cellStyle name="Output 2" xfId="263" xr:uid="{69C4E23A-151F-4736-904A-08456194AB75}"/>
    <cellStyle name="Output 3" xfId="457" xr:uid="{25EBA633-1474-4498-85C5-05F75AA4C42B}"/>
    <cellStyle name="Percent 10" xfId="264" xr:uid="{7C08A53C-45B1-4215-A9E2-D6881EEE7C3D}"/>
    <cellStyle name="Percent 10 2" xfId="265" xr:uid="{8D759EEE-1744-41B8-B04F-FF53195E7359}"/>
    <cellStyle name="Percent 11" xfId="266" xr:uid="{E09204FF-9B65-4E86-A97E-F71E7291F3F6}"/>
    <cellStyle name="Percent 11 2" xfId="380" xr:uid="{962B6493-0DD7-494A-8195-FDF25CA40578}"/>
    <cellStyle name="Percent 12" xfId="267" xr:uid="{A75FA6B2-95E1-4DE5-8DF7-197827F6E3AA}"/>
    <cellStyle name="Percent 12 2" xfId="268" xr:uid="{88EEE7A0-1B01-4C1D-B619-ED46F6A3A6E0}"/>
    <cellStyle name="Percent 12 2 2" xfId="337" xr:uid="{C5C85C2F-11C3-4F70-A8F8-DF1778D7ACA5}"/>
    <cellStyle name="Percent 13" xfId="269" xr:uid="{FB9E4E4A-637D-441A-ABBE-D97C04DD756A}"/>
    <cellStyle name="Percent 13 2" xfId="379" xr:uid="{0FBBE8DD-93F8-48E6-A8D0-8E81A9F341A1}"/>
    <cellStyle name="Percent 14" xfId="270" xr:uid="{AEE6E96C-ABD4-4056-9198-5A3748989200}"/>
    <cellStyle name="Percent 15" xfId="271" xr:uid="{1CE13F37-2E31-440F-B04F-A66FE2E4D980}"/>
    <cellStyle name="Percent 15 2" xfId="338" xr:uid="{876133B6-56CD-4861-A6E1-09E6D54C003B}"/>
    <cellStyle name="Percent 16" xfId="272" xr:uid="{613A0CC3-0255-4702-82F2-0DA031B1B5C8}"/>
    <cellStyle name="Percent 16 2" xfId="339" xr:uid="{B84121C4-E0C8-4BAB-83FC-CA8955DC7B3E}"/>
    <cellStyle name="Percent 17" xfId="273" xr:uid="{E5A98FBA-1E27-4663-8D68-D41018DC3103}"/>
    <cellStyle name="Percent 18" xfId="274" xr:uid="{A5280CD7-BF4A-440A-B8DC-40CBB14A5191}"/>
    <cellStyle name="Percent 19" xfId="275" xr:uid="{52CC7F44-DD05-4EE3-8275-E0D60200E8E1}"/>
    <cellStyle name="Percent 19 2" xfId="378" xr:uid="{EB96EF82-19BD-4947-8EB1-391963A62A4D}"/>
    <cellStyle name="Percent 2" xfId="105" xr:uid="{342ABC10-2C36-4991-A39C-7A90F9E3D517}"/>
    <cellStyle name="Percent 2 2" xfId="106" xr:uid="{2AD84E5D-C752-427D-972C-A85A116B7394}"/>
    <cellStyle name="Percent 2 2 2" xfId="340" xr:uid="{318954F1-C42B-477A-BDB6-D5A2AFEF81B6}"/>
    <cellStyle name="Percent 2 3" xfId="107" xr:uid="{C79B74D8-738F-4E36-AAC1-DE5C7FF76036}"/>
    <cellStyle name="Percent 2 4" xfId="276" xr:uid="{188D0ABE-C85F-4BDD-8445-4D97AACE0052}"/>
    <cellStyle name="Percent 2 4 2" xfId="444" xr:uid="{11A89600-9666-4183-9E6E-AC0CE790710B}"/>
    <cellStyle name="Percent 2 5" xfId="348" xr:uid="{B06AE015-A6B4-4C5E-A0F8-7E564D7D60A5}"/>
    <cellStyle name="Percent 2 6" xfId="437" xr:uid="{BF922CEE-4EC2-4137-8029-12B9202D8669}"/>
    <cellStyle name="Percent 2 7" xfId="452" xr:uid="{96B0DF3A-ED49-4C51-9C2D-7FD21B0E527E}"/>
    <cellStyle name="Percent 3" xfId="108" xr:uid="{E993C3CD-FF41-42AE-BE52-050D89E2C6E6}"/>
    <cellStyle name="Percent 3 2" xfId="277" xr:uid="{B5C550C5-C71A-4250-BE52-D4F1BC2E82BB}"/>
    <cellStyle name="Percent 3 2 2" xfId="377" xr:uid="{28E59828-A048-433A-AFF2-4E487ECABC24}"/>
    <cellStyle name="Percent 3 3" xfId="367" xr:uid="{644A44A2-9ADD-4DDA-AAF2-69E0B844F1E2}"/>
    <cellStyle name="Percent 3 3 2" xfId="296" xr:uid="{224A18C3-1594-43CE-B1CF-927639AC5E42}"/>
    <cellStyle name="Percent 3 4" xfId="401" xr:uid="{4B6DCC73-D681-4AB4-A57E-3C6361379880}"/>
    <cellStyle name="Percent 4" xfId="109" xr:uid="{CBE4EFB0-3F35-4473-9132-2A03496ACCB9}"/>
    <cellStyle name="Percent 4 2" xfId="278" xr:uid="{379CC56A-9C66-4A62-8B47-5C2BC44DE44A}"/>
    <cellStyle name="Percent 4 2 2" xfId="279" xr:uid="{4A541769-DDE1-46CA-92DD-027A1D1204E0}"/>
    <cellStyle name="Percent 4 3" xfId="280" xr:uid="{76BFCB61-9F94-4ED5-86C6-13CDE349D9E7}"/>
    <cellStyle name="Percent 4 3 2" xfId="281" xr:uid="{6EBF406B-6941-4686-96D2-5A03C0937A6D}"/>
    <cellStyle name="Percent 4 4" xfId="341" xr:uid="{9ED9ABA1-0CB5-4060-B468-860238CF2D83}"/>
    <cellStyle name="Percent 5" xfId="282" xr:uid="{24DE47DA-157A-4E96-BCA4-42E58E827E58}"/>
    <cellStyle name="Percent 5 2" xfId="376" xr:uid="{C2620DFD-987B-40CF-86E4-70891A1E451C}"/>
    <cellStyle name="Percent 6" xfId="283" xr:uid="{08039806-C896-4BFB-91E8-EB3213D3F287}"/>
    <cellStyle name="Percent 6 2" xfId="284" xr:uid="{BCDF0134-1DEE-48CE-BA81-00A2CB0614E9}"/>
    <cellStyle name="Percent 7" xfId="285" xr:uid="{1F373238-84BE-46E5-B5D4-F3D8726BED6E}"/>
    <cellStyle name="Percent 7 2" xfId="342" xr:uid="{1A4F5861-0762-4971-86DB-61E81DE025AB}"/>
    <cellStyle name="Percent 7 2 2" xfId="343" xr:uid="{6D3BD4E2-AE88-474A-8003-1D31D655EA8F}"/>
    <cellStyle name="Percent 8" xfId="286" xr:uid="{51A8377E-4302-4A35-A5C2-602F4A46A4A6}"/>
    <cellStyle name="Percent 8 2" xfId="287" xr:uid="{3474F765-2FBC-435B-9C52-B35A51D464CB}"/>
    <cellStyle name="Percent 8 3" xfId="344" xr:uid="{A3DA992C-14F0-4C71-A73E-335833FEA815}"/>
    <cellStyle name="Percent 9" xfId="288" xr:uid="{525A1EA7-0E34-4CD7-B757-7560ED3E2A38}"/>
    <cellStyle name="Percent 9 2" xfId="345" xr:uid="{3BA5FCFE-FB37-4251-BAB9-7C8838753541}"/>
    <cellStyle name="Percent 9 3" xfId="346" xr:uid="{15431DD2-B584-4B5B-88B3-C1D0BB01F42C}"/>
    <cellStyle name="Pilkku_Esimerkkejä kaavioista.xls Kaavio 1" xfId="110" xr:uid="{915D7EA6-A27C-4A55-B835-8E5CCC4B1160}"/>
    <cellStyle name="Pourcentage" xfId="2" builtinId="5"/>
    <cellStyle name="Pourcentage 10" xfId="111" xr:uid="{6EE84608-4D63-477C-8946-0691D61C3B05}"/>
    <cellStyle name="Pourcentage 10 2" xfId="112" xr:uid="{78AF8418-8E21-4789-96D6-46839C097790}"/>
    <cellStyle name="Pourcentage 10 2 2" xfId="113" xr:uid="{3FB3B04F-DA21-487F-B3A5-FC05255F807B}"/>
    <cellStyle name="Pourcentage 10 3" xfId="114" xr:uid="{ED09B8B5-D22D-43CD-AA79-169B0DE8C589}"/>
    <cellStyle name="Pourcentage 10 4" xfId="115" xr:uid="{F1EB9317-4FA0-487A-B93F-3EC2BFF5C701}"/>
    <cellStyle name="Pourcentage 10 5" xfId="366" xr:uid="{DD7F38C0-2D20-4470-868C-6253CAD00805}"/>
    <cellStyle name="Pourcentage 11" xfId="116" xr:uid="{2CEBE82F-F3BC-4BB5-9734-973C406DF271}"/>
    <cellStyle name="Pourcentage 12" xfId="117" xr:uid="{E9785D59-2596-43F3-A41C-288904A0B495}"/>
    <cellStyle name="Pourcentage 12 2" xfId="118" xr:uid="{AC5C3723-B260-4454-B80D-9BF023A256FA}"/>
    <cellStyle name="Pourcentage 12 3" xfId="119" xr:uid="{B20E2165-26C1-432D-BE9F-E3F5D6C3BC87}"/>
    <cellStyle name="Pourcentage 12 4" xfId="442" xr:uid="{F65CCB5D-91D8-408B-A2EC-294AFD436149}"/>
    <cellStyle name="Pourcentage 13" xfId="120" xr:uid="{27AE49EA-51A8-4B7E-8E06-D5E066A957E6}"/>
    <cellStyle name="Pourcentage 13 2" xfId="355" xr:uid="{1E9C9923-BDA6-4F2B-B3ED-C309B1CC2EB2}"/>
    <cellStyle name="Pourcentage 14" xfId="154" xr:uid="{2DAF131B-2B30-4524-9533-CD8B99D5A075}"/>
    <cellStyle name="Pourcentage 15" xfId="356" xr:uid="{4D33DAC1-385B-4C59-AC39-3F1959E16083}"/>
    <cellStyle name="Pourcentage 15 2" xfId="425" xr:uid="{EC8D11CF-A936-44C3-80EF-9BB4E347C013}"/>
    <cellStyle name="Pourcentage 16" xfId="357" xr:uid="{44884D39-438A-481B-AE37-81BAFF15BC5B}"/>
    <cellStyle name="Pourcentage 17" xfId="364" xr:uid="{6CB92B7C-54F8-418C-8C49-D48D1823D987}"/>
    <cellStyle name="Pourcentage 18" xfId="394" xr:uid="{5D90E78E-A3E7-4AAA-A284-A8736E916654}"/>
    <cellStyle name="Pourcentage 19" xfId="411" xr:uid="{BF1B8526-F1D4-4E42-BFFE-718D764C07AD}"/>
    <cellStyle name="Pourcentage 2" xfId="121" xr:uid="{0B4F8B67-DC08-40A9-AFCA-2FE3A17ECF4B}"/>
    <cellStyle name="Pourcentage 2 2" xfId="122" xr:uid="{F3917F59-522F-4B1B-98B9-93BAB9CD6DC5}"/>
    <cellStyle name="Pourcentage 2 3" xfId="123" xr:uid="{66E97E30-8E6F-4191-9269-9AEF397C7DD6}"/>
    <cellStyle name="Pourcentage 2 3 2" xfId="358" xr:uid="{85237571-CC2E-4228-BD3E-F0A720683A0B}"/>
    <cellStyle name="Pourcentage 2 3 2 2" xfId="359" xr:uid="{AB0B08C2-0070-4D6A-9327-57CCBDE3901E}"/>
    <cellStyle name="Pourcentage 2 3 3" xfId="360" xr:uid="{8CEA71DA-3FBB-47D7-8F91-0FD261E997BE}"/>
    <cellStyle name="Pourcentage 2 3 4" xfId="449" xr:uid="{5254CFD6-1F80-4992-AACD-BC29F557F05D}"/>
    <cellStyle name="Pourcentage 2 4" xfId="361" xr:uid="{A972D342-03DD-4F85-A2D8-66F777BA01AC}"/>
    <cellStyle name="Pourcentage 2 4 2" xfId="428" xr:uid="{53432AE6-462F-476F-A9A6-4E26FCB76A69}"/>
    <cellStyle name="Pourcentage 2 5" xfId="400" xr:uid="{620DB2C8-11AA-4E90-9540-A883191ACB96}"/>
    <cellStyle name="Pourcentage 20" xfId="4" xr:uid="{C08257A6-1AD3-47F0-A699-526A509757FB}"/>
    <cellStyle name="Pourcentage 3" xfId="124" xr:uid="{76935CE8-3359-4985-86DA-CD6D9A65FFEB}"/>
    <cellStyle name="Pourcentage 3 2" xfId="125" xr:uid="{C06643A5-CA84-4A10-A2AB-9B32B53F1BAF}"/>
    <cellStyle name="Pourcentage 3 3" xfId="399" xr:uid="{6E77B08F-AD01-46CF-B4CA-FB83AA3D994D}"/>
    <cellStyle name="Pourcentage 4" xfId="126" xr:uid="{E599C66C-3AAE-4F5B-A90D-EA36AA63DFB2}"/>
    <cellStyle name="Pourcentage 4 2" xfId="289" xr:uid="{3A454F50-B9DA-4BD6-8C3A-2F549625FB42}"/>
    <cellStyle name="Pourcentage 5" xfId="127" xr:uid="{2DFCD5F8-301A-4396-9839-1040D9A332D1}"/>
    <cellStyle name="Pourcentage 5 2" xfId="128" xr:uid="{C5B4BA7F-9AEF-4C08-894A-8AC6E122967E}"/>
    <cellStyle name="Pourcentage 6" xfId="129" xr:uid="{07BA6F79-311C-48FF-B8AF-55C99D6C518F}"/>
    <cellStyle name="Pourcentage 6 2" xfId="130" xr:uid="{1C526917-41D4-452F-88DF-028525E5832D}"/>
    <cellStyle name="Pourcentage 6 2 2" xfId="362" xr:uid="{1ADB1A15-BD48-4FDE-8C72-A6F936F8ECD5}"/>
    <cellStyle name="Pourcentage 6 2 2 2" xfId="429" xr:uid="{2736C7CA-39B0-4913-B4DC-09D8D79D3895}"/>
    <cellStyle name="Pourcentage 6 2 3" xfId="398" xr:uid="{35EECF5B-F2DC-4C01-9771-2BAEC40E2C0E}"/>
    <cellStyle name="Pourcentage 7" xfId="131" xr:uid="{52C7AE50-6215-42E4-B217-94F9686272FA}"/>
    <cellStyle name="Pourcentage 7 2" xfId="132" xr:uid="{F8D1551A-9479-47F1-AB12-C0DB13152E94}"/>
    <cellStyle name="Pourcentage 7 3" xfId="426" xr:uid="{5A5980A8-4061-4762-867F-8D1D02EAC13D}"/>
    <cellStyle name="Pourcentage 8" xfId="133" xr:uid="{1B44E506-8397-4932-BA8F-5C2C9BA56502}"/>
    <cellStyle name="Pourcentage 8 2" xfId="155" xr:uid="{E30C61B0-FF1D-45D9-A36E-4C6F0F0DA9AF}"/>
    <cellStyle name="Pourcentage 8 2 2" xfId="368" xr:uid="{C27B9CFE-6339-4994-8F01-981410EFD4DE}"/>
    <cellStyle name="Pourcentage 9" xfId="134" xr:uid="{104C8564-2274-460E-B329-B2FDA6D53258}"/>
    <cellStyle name="Pourcentage 9 2" xfId="135" xr:uid="{9F4C539B-347F-4349-B44B-C0C428BAC1A8}"/>
    <cellStyle name="Pourcentage 9 2 2" xfId="136" xr:uid="{2ABC6381-E0DF-4FA1-B869-EE801989CFFE}"/>
    <cellStyle name="Satisfaisant 2" xfId="137" xr:uid="{5FC59CBA-3B8B-458F-B766-0C46624A76C2}"/>
    <cellStyle name="Standard 11" xfId="138" xr:uid="{CAE54BA7-2D29-45BA-8555-C4796AEB3C72}"/>
    <cellStyle name="Standard 11 2" xfId="397" xr:uid="{E7170507-E202-4C34-B546-547BFE53D6A7}"/>
    <cellStyle name="Standard_2 + 3" xfId="139" xr:uid="{73983FBF-B421-4601-8FD9-81DE06394BBB}"/>
    <cellStyle name="Style 24" xfId="140" xr:uid="{D9F02E1D-8CB1-48D5-A256-0122FFCC1F40}"/>
    <cellStyle name="Style 24 2" xfId="396" xr:uid="{B7A71D52-9408-4089-A625-18600EF13E8B}"/>
    <cellStyle name="Style 25" xfId="141" xr:uid="{B4987A87-E6EB-4A35-9C4E-1CF7E72C059B}"/>
    <cellStyle name="Style 25 2" xfId="395" xr:uid="{1F9D9B24-73AD-4AE9-911F-22B7A543A1D4}"/>
    <cellStyle name="style_col_headings" xfId="142" xr:uid="{E5C3D59B-381B-40DC-9FB6-C41BE1D9204B}"/>
    <cellStyle name="TEXT" xfId="143" xr:uid="{7544FF01-9548-4E20-8CD5-3D27674A2EDC}"/>
    <cellStyle name="Title" xfId="144" xr:uid="{E6ADD940-8BFB-453F-AE92-5EA0A5959404}"/>
    <cellStyle name="Titre 2" xfId="145" xr:uid="{76E68D11-AC24-4F09-BF67-7BD251833804}"/>
    <cellStyle name="Titre 1 2" xfId="146" xr:uid="{F96FD001-12B9-427F-9F26-8A2DF4634E32}"/>
    <cellStyle name="Titre 2 2" xfId="147" xr:uid="{64C897FD-FF90-4EEF-9B9D-A003B70DC4DE}"/>
    <cellStyle name="Titre 3 2" xfId="148" xr:uid="{378B9E8C-DF5D-41BB-892A-058DCFB1A820}"/>
    <cellStyle name="Titre 4 2" xfId="149" xr:uid="{FE35D15E-43F6-4A18-BD86-ABA45600344B}"/>
    <cellStyle name="Total 2" xfId="290" xr:uid="{53C4959B-BD75-44B9-A68B-CAE707458C9D}"/>
    <cellStyle name="Vérification 2" xfId="150" xr:uid="{21F90414-44E4-4092-990D-521105E9B197}"/>
    <cellStyle name="Virgule fixe" xfId="151" xr:uid="{4CEF657D-D57A-4B17-B22D-3C17B8288DF0}"/>
    <cellStyle name="Virgule fixe 2" xfId="291" xr:uid="{DD5E6889-4E47-4C4A-914C-DAF8919B5CA6}"/>
    <cellStyle name="Virgule fixe 2 2" xfId="375" xr:uid="{E28520B6-2B08-490D-943C-E1F4FC94BEC4}"/>
    <cellStyle name="Virgule fixe 3" xfId="393" xr:uid="{91078C1C-55B6-4826-B7B5-44561F34A9D4}"/>
    <cellStyle name="Warning Text" xfId="152" xr:uid="{60125B07-7F55-4475-AB70-A3D79018F6DE}"/>
    <cellStyle name="Warning Text 2" xfId="292" xr:uid="{46C9FCC0-8F4D-47A7-8314-E4FA45C4ACBE}"/>
    <cellStyle name="Wrapped" xfId="153" xr:uid="{CD2CC97D-14BF-4282-8A62-B3A3FF8791BF}"/>
    <cellStyle name="一般 2 3" xfId="293" xr:uid="{FE529C80-DAB2-4E80-9A47-EA4BF757C343}"/>
    <cellStyle name="一般 2 3 2" xfId="374" xr:uid="{53814F41-F495-4DF1-87F9-0CD8387665F0}"/>
    <cellStyle name="一般 3" xfId="294" xr:uid="{2D6863A5-B4E1-4774-ACEE-B666C55A4B99}"/>
    <cellStyle name="一般 3 2" xfId="373" xr:uid="{39908A3F-233A-496A-A623-09251AFBE1FA}"/>
  </cellStyles>
  <dxfs count="0"/>
  <tableStyles count="0" defaultTableStyle="TableStyleMedium2" defaultPivotStyle="PivotStyleLight16"/>
  <colors>
    <mruColors>
      <color rgb="FFCC3399"/>
      <color rgb="FF800080"/>
      <color rgb="FFFF6565"/>
      <color rgb="FF9900FF"/>
      <color rgb="FFFF8A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lumMod val="60000"/>
                  <a:lumOff val="40000"/>
                </a:schemeClr>
              </a:solidFill>
              <a:prstDash val="dash"/>
              <a:round/>
            </a:ln>
            <a:effectLst/>
          </c:spPr>
          <c:marker>
            <c:symbol val="none"/>
          </c:marker>
          <c:cat>
            <c:strRef>
              <c:f>FRA!$A$4:$A$18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FRA!$T$4:$T$18</c:f>
              <c:numCache>
                <c:formatCode>0.0%</c:formatCode>
                <c:ptCount val="15"/>
                <c:pt idx="1">
                  <c:v>0.44220761034657319</c:v>
                </c:pt>
                <c:pt idx="2">
                  <c:v>0.44212399490036169</c:v>
                </c:pt>
                <c:pt idx="3">
                  <c:v>0.4626639904453459</c:v>
                </c:pt>
                <c:pt idx="4">
                  <c:v>0.48163196651010082</c:v>
                </c:pt>
                <c:pt idx="5">
                  <c:v>0.49227262124201504</c:v>
                </c:pt>
                <c:pt idx="6">
                  <c:v>0.51497106000726123</c:v>
                </c:pt>
                <c:pt idx="7">
                  <c:v>0.53154438268086235</c:v>
                </c:pt>
                <c:pt idx="8">
                  <c:v>0.55033212839525991</c:v>
                </c:pt>
                <c:pt idx="9">
                  <c:v>0.54308956855582002</c:v>
                </c:pt>
                <c:pt idx="10">
                  <c:v>0.56201136048422384</c:v>
                </c:pt>
                <c:pt idx="11">
                  <c:v>0.53664254480274576</c:v>
                </c:pt>
                <c:pt idx="12">
                  <c:v>0.45859222435220254</c:v>
                </c:pt>
                <c:pt idx="13">
                  <c:v>0.32722838847721719</c:v>
                </c:pt>
                <c:pt idx="14">
                  <c:v>0.26</c:v>
                </c:pt>
              </c:numCache>
            </c:numRef>
          </c:val>
          <c:smooth val="0"/>
          <c:extLst>
            <c:ext xmlns:c16="http://schemas.microsoft.com/office/drawing/2014/chart" uri="{C3380CC4-5D6E-409C-BE32-E72D297353CC}">
              <c16:uniqueId val="{00000000-159C-4012-8E2A-B4474DE67F7B}"/>
            </c:ext>
          </c:extLst>
        </c:ser>
        <c:ser>
          <c:idx val="1"/>
          <c:order val="1"/>
          <c:spPr>
            <a:ln w="28575" cap="rnd">
              <a:solidFill>
                <a:srgbClr val="002060"/>
              </a:solidFill>
              <a:round/>
            </a:ln>
            <a:effectLst/>
          </c:spPr>
          <c:marker>
            <c:symbol val="none"/>
          </c:marker>
          <c:cat>
            <c:strRef>
              <c:f>FRA!$A$4:$A$18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FRA!$U$4:$U$18</c:f>
              <c:numCache>
                <c:formatCode>0.0%</c:formatCode>
                <c:ptCount val="15"/>
                <c:pt idx="1">
                  <c:v>0.44220761034657319</c:v>
                </c:pt>
                <c:pt idx="2">
                  <c:v>0.44212399490036169</c:v>
                </c:pt>
                <c:pt idx="3">
                  <c:v>0.4626639904453459</c:v>
                </c:pt>
                <c:pt idx="4">
                  <c:v>0.48163196651010082</c:v>
                </c:pt>
                <c:pt idx="5">
                  <c:v>0.49227262124201504</c:v>
                </c:pt>
                <c:pt idx="6">
                  <c:v>0.51497106000726123</c:v>
                </c:pt>
                <c:pt idx="7">
                  <c:v>0.53154438268086235</c:v>
                </c:pt>
                <c:pt idx="8">
                  <c:v>0.55033212839525991</c:v>
                </c:pt>
                <c:pt idx="9">
                  <c:v>0.54308956855582002</c:v>
                </c:pt>
                <c:pt idx="10">
                  <c:v>0.56201136048422384</c:v>
                </c:pt>
                <c:pt idx="11">
                  <c:v>0.53664254480274576</c:v>
                </c:pt>
                <c:pt idx="12">
                  <c:v>0.49944805508329648</c:v>
                </c:pt>
                <c:pt idx="13">
                  <c:v>0.52405527027027032</c:v>
                </c:pt>
                <c:pt idx="14">
                  <c:v>0.52462321821088864</c:v>
                </c:pt>
              </c:numCache>
            </c:numRef>
          </c:val>
          <c:smooth val="0"/>
          <c:extLst>
            <c:ext xmlns:c16="http://schemas.microsoft.com/office/drawing/2014/chart" uri="{C3380CC4-5D6E-409C-BE32-E72D297353CC}">
              <c16:uniqueId val="{00000001-159C-4012-8E2A-B4474DE67F7B}"/>
            </c:ext>
          </c:extLst>
        </c:ser>
        <c:dLbls>
          <c:showLegendKey val="0"/>
          <c:showVal val="0"/>
          <c:showCatName val="0"/>
          <c:showSerName val="0"/>
          <c:showPercent val="0"/>
          <c:showBubbleSize val="0"/>
        </c:dLbls>
        <c:smooth val="0"/>
        <c:axId val="314583375"/>
        <c:axId val="314582959"/>
      </c:lineChart>
      <c:catAx>
        <c:axId val="314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2959"/>
        <c:crosses val="autoZero"/>
        <c:auto val="1"/>
        <c:lblAlgn val="ctr"/>
        <c:lblOffset val="100"/>
        <c:noMultiLvlLbl val="0"/>
      </c:catAx>
      <c:valAx>
        <c:axId val="31458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2">
                  <a:lumMod val="40000"/>
                  <a:lumOff val="60000"/>
                </a:schemeClr>
              </a:solidFill>
              <a:prstDash val="dash"/>
              <a:round/>
            </a:ln>
            <a:effectLst/>
          </c:spPr>
          <c:marker>
            <c:symbol val="none"/>
          </c:marker>
          <c:cat>
            <c:strRef>
              <c:f>NDL!$A$4:$A$18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NDL!$T$4:$T$18</c:f>
              <c:numCache>
                <c:formatCode>0.0%</c:formatCode>
                <c:ptCount val="15"/>
                <c:pt idx="1">
                  <c:v>0.5066480362196637</c:v>
                </c:pt>
                <c:pt idx="2">
                  <c:v>0.45769898635449813</c:v>
                </c:pt>
                <c:pt idx="3">
                  <c:v>0.45706849211498607</c:v>
                </c:pt>
                <c:pt idx="4">
                  <c:v>0.46145334091653567</c:v>
                </c:pt>
                <c:pt idx="5">
                  <c:v>0.46669341193504599</c:v>
                </c:pt>
                <c:pt idx="6">
                  <c:v>0.4742014576072241</c:v>
                </c:pt>
                <c:pt idx="7">
                  <c:v>0.4830582560814779</c:v>
                </c:pt>
                <c:pt idx="8">
                  <c:v>0.48627090260930617</c:v>
                </c:pt>
                <c:pt idx="9">
                  <c:v>0.43747518924444834</c:v>
                </c:pt>
                <c:pt idx="10">
                  <c:v>0.27181550522587439</c:v>
                </c:pt>
                <c:pt idx="11">
                  <c:v>0.21413333398558623</c:v>
                </c:pt>
                <c:pt idx="12">
                  <c:v>0.1906130185859887</c:v>
                </c:pt>
                <c:pt idx="13">
                  <c:v>0.18179299414493499</c:v>
                </c:pt>
                <c:pt idx="14">
                  <c:v>0.26</c:v>
                </c:pt>
              </c:numCache>
            </c:numRef>
          </c:val>
          <c:smooth val="0"/>
          <c:extLst>
            <c:ext xmlns:c16="http://schemas.microsoft.com/office/drawing/2014/chart" uri="{C3380CC4-5D6E-409C-BE32-E72D297353CC}">
              <c16:uniqueId val="{00000002-9AB6-4280-969B-B943A6939F98}"/>
            </c:ext>
          </c:extLst>
        </c:ser>
        <c:ser>
          <c:idx val="1"/>
          <c:order val="1"/>
          <c:spPr>
            <a:ln w="28575" cap="rnd">
              <a:solidFill>
                <a:schemeClr val="accent2"/>
              </a:solidFill>
              <a:round/>
            </a:ln>
            <a:effectLst/>
          </c:spPr>
          <c:marker>
            <c:symbol val="none"/>
          </c:marker>
          <c:cat>
            <c:strRef>
              <c:f>NDL!$A$4:$A$18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NDL!$U$4:$U$18</c:f>
              <c:numCache>
                <c:formatCode>0.0%</c:formatCode>
                <c:ptCount val="15"/>
                <c:pt idx="1">
                  <c:v>0.5066480362196637</c:v>
                </c:pt>
                <c:pt idx="2">
                  <c:v>0.45769898635449813</c:v>
                </c:pt>
                <c:pt idx="3">
                  <c:v>0.45706849211498607</c:v>
                </c:pt>
                <c:pt idx="4">
                  <c:v>0.46145334091653567</c:v>
                </c:pt>
                <c:pt idx="5">
                  <c:v>0.46669341193504599</c:v>
                </c:pt>
                <c:pt idx="6">
                  <c:v>0.4742014576072241</c:v>
                </c:pt>
                <c:pt idx="7">
                  <c:v>0.4830582560814779</c:v>
                </c:pt>
                <c:pt idx="8">
                  <c:v>0.48627090260930617</c:v>
                </c:pt>
                <c:pt idx="9">
                  <c:v>0.43747518924444834</c:v>
                </c:pt>
                <c:pt idx="10">
                  <c:v>0.27181550522587439</c:v>
                </c:pt>
                <c:pt idx="11">
                  <c:v>0.21413333398558623</c:v>
                </c:pt>
                <c:pt idx="12">
                  <c:v>0.33328845962360198</c:v>
                </c:pt>
                <c:pt idx="13">
                  <c:v>0.42993459403143641</c:v>
                </c:pt>
                <c:pt idx="14">
                  <c:v>0.54341338258924243</c:v>
                </c:pt>
              </c:numCache>
            </c:numRef>
          </c:val>
          <c:smooth val="0"/>
          <c:extLst>
            <c:ext xmlns:c16="http://schemas.microsoft.com/office/drawing/2014/chart" uri="{C3380CC4-5D6E-409C-BE32-E72D297353CC}">
              <c16:uniqueId val="{00000003-9AB6-4280-969B-B943A6939F98}"/>
            </c:ext>
          </c:extLst>
        </c:ser>
        <c:dLbls>
          <c:showLegendKey val="0"/>
          <c:showVal val="0"/>
          <c:showCatName val="0"/>
          <c:showSerName val="0"/>
          <c:showPercent val="0"/>
          <c:showBubbleSize val="0"/>
        </c:dLbls>
        <c:smooth val="0"/>
        <c:axId val="314583375"/>
        <c:axId val="314582959"/>
      </c:lineChart>
      <c:catAx>
        <c:axId val="314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2959"/>
        <c:crosses val="autoZero"/>
        <c:auto val="1"/>
        <c:lblAlgn val="ctr"/>
        <c:lblOffset val="100"/>
        <c:noMultiLvlLbl val="0"/>
      </c:catAx>
      <c:valAx>
        <c:axId val="31458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6565"/>
              </a:solidFill>
              <a:prstDash val="dash"/>
              <a:round/>
            </a:ln>
            <a:effectLst/>
          </c:spPr>
          <c:marker>
            <c:symbol val="none"/>
          </c:marker>
          <c:cat>
            <c:strRef>
              <c:f>USA!$A$4:$A$18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USA!$T$4:$T$18</c:f>
              <c:numCache>
                <c:formatCode>0.0%</c:formatCode>
                <c:ptCount val="15"/>
                <c:pt idx="1">
                  <c:v>0.2594111624974047</c:v>
                </c:pt>
                <c:pt idx="2">
                  <c:v>0.24822441608092588</c:v>
                </c:pt>
                <c:pt idx="3">
                  <c:v>0.26313325395587994</c:v>
                </c:pt>
                <c:pt idx="4">
                  <c:v>0.2662415383757572</c:v>
                </c:pt>
                <c:pt idx="5">
                  <c:v>0.28002967018562697</c:v>
                </c:pt>
                <c:pt idx="6">
                  <c:v>0.29269837735444343</c:v>
                </c:pt>
                <c:pt idx="7">
                  <c:v>0.29686721057095794</c:v>
                </c:pt>
                <c:pt idx="8">
                  <c:v>0.29981625804807843</c:v>
                </c:pt>
                <c:pt idx="9">
                  <c:v>0.31978189347248187</c:v>
                </c:pt>
                <c:pt idx="10">
                  <c:v>0.33559855859339677</c:v>
                </c:pt>
                <c:pt idx="11">
                  <c:v>0.37579076201694323</c:v>
                </c:pt>
                <c:pt idx="12">
                  <c:v>0.35651367333612721</c:v>
                </c:pt>
                <c:pt idx="13">
                  <c:v>0.29605397582054138</c:v>
                </c:pt>
                <c:pt idx="14">
                  <c:v>0.26</c:v>
                </c:pt>
              </c:numCache>
            </c:numRef>
          </c:val>
          <c:smooth val="0"/>
          <c:extLst>
            <c:ext xmlns:c16="http://schemas.microsoft.com/office/drawing/2014/chart" uri="{C3380CC4-5D6E-409C-BE32-E72D297353CC}">
              <c16:uniqueId val="{00000000-C7DE-4E0A-A3B8-9AC32025F920}"/>
            </c:ext>
          </c:extLst>
        </c:ser>
        <c:ser>
          <c:idx val="1"/>
          <c:order val="1"/>
          <c:spPr>
            <a:ln w="28575" cap="rnd">
              <a:solidFill>
                <a:srgbClr val="C00000"/>
              </a:solidFill>
              <a:round/>
            </a:ln>
            <a:effectLst/>
          </c:spPr>
          <c:marker>
            <c:symbol val="none"/>
          </c:marker>
          <c:cat>
            <c:strRef>
              <c:f>USA!$A$4:$A$18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USA!$U$4:$U$18</c:f>
              <c:numCache>
                <c:formatCode>0.0%</c:formatCode>
                <c:ptCount val="15"/>
                <c:pt idx="1">
                  <c:v>0.2594111624974047</c:v>
                </c:pt>
                <c:pt idx="2">
                  <c:v>0.24822441608092588</c:v>
                </c:pt>
                <c:pt idx="3">
                  <c:v>0.26313325395587994</c:v>
                </c:pt>
                <c:pt idx="4">
                  <c:v>0.2662415383757572</c:v>
                </c:pt>
                <c:pt idx="5">
                  <c:v>0.28002967018562697</c:v>
                </c:pt>
                <c:pt idx="6">
                  <c:v>0.29269837735444343</c:v>
                </c:pt>
                <c:pt idx="7">
                  <c:v>0.29686721057095794</c:v>
                </c:pt>
                <c:pt idx="8">
                  <c:v>0.29981625804807843</c:v>
                </c:pt>
                <c:pt idx="9">
                  <c:v>0.31978189347248187</c:v>
                </c:pt>
                <c:pt idx="10">
                  <c:v>0.33559855859339677</c:v>
                </c:pt>
                <c:pt idx="11">
                  <c:v>0.37579076201694323</c:v>
                </c:pt>
                <c:pt idx="12">
                  <c:v>0.39111031042005151</c:v>
                </c:pt>
                <c:pt idx="13">
                  <c:v>0.43546668903247732</c:v>
                </c:pt>
                <c:pt idx="14">
                  <c:v>0.54468705842788756</c:v>
                </c:pt>
              </c:numCache>
            </c:numRef>
          </c:val>
          <c:smooth val="0"/>
          <c:extLst>
            <c:ext xmlns:c16="http://schemas.microsoft.com/office/drawing/2014/chart" uri="{C3380CC4-5D6E-409C-BE32-E72D297353CC}">
              <c16:uniqueId val="{00000001-C7DE-4E0A-A3B8-9AC32025F920}"/>
            </c:ext>
          </c:extLst>
        </c:ser>
        <c:dLbls>
          <c:showLegendKey val="0"/>
          <c:showVal val="0"/>
          <c:showCatName val="0"/>
          <c:showSerName val="0"/>
          <c:showPercent val="0"/>
          <c:showBubbleSize val="0"/>
        </c:dLbls>
        <c:smooth val="0"/>
        <c:axId val="314583375"/>
        <c:axId val="314582959"/>
      </c:lineChart>
      <c:catAx>
        <c:axId val="314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2959"/>
        <c:crosses val="autoZero"/>
        <c:auto val="1"/>
        <c:lblAlgn val="ctr"/>
        <c:lblOffset val="100"/>
        <c:noMultiLvlLbl val="0"/>
      </c:catAx>
      <c:valAx>
        <c:axId val="31458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6">
                  <a:lumMod val="40000"/>
                  <a:lumOff val="60000"/>
                </a:schemeClr>
              </a:solidFill>
              <a:prstDash val="dash"/>
              <a:round/>
            </a:ln>
            <a:effectLst/>
          </c:spPr>
          <c:marker>
            <c:symbol val="none"/>
          </c:marker>
          <c:cat>
            <c:strRef>
              <c:f>BRA!$A$4:$A$18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BRA!$T$4:$T$18</c:f>
              <c:numCache>
                <c:formatCode>0.0%</c:formatCode>
                <c:ptCount val="15"/>
                <c:pt idx="1">
                  <c:v>0.48921796000000001</c:v>
                </c:pt>
                <c:pt idx="2">
                  <c:v>0.48921796000000001</c:v>
                </c:pt>
                <c:pt idx="3">
                  <c:v>0.48097889999999999</c:v>
                </c:pt>
                <c:pt idx="4">
                  <c:v>0.44749116</c:v>
                </c:pt>
                <c:pt idx="5">
                  <c:v>0.46344125000000003</c:v>
                </c:pt>
                <c:pt idx="6">
                  <c:v>0.46875623</c:v>
                </c:pt>
                <c:pt idx="7">
                  <c:v>0.4378783</c:v>
                </c:pt>
                <c:pt idx="8">
                  <c:v>0.49957816999999999</c:v>
                </c:pt>
                <c:pt idx="9">
                  <c:v>0.45399179887375457</c:v>
                </c:pt>
                <c:pt idx="10">
                  <c:v>0.30034454999999999</c:v>
                </c:pt>
                <c:pt idx="11">
                  <c:v>0.22436049</c:v>
                </c:pt>
                <c:pt idx="12">
                  <c:v>0.21458076000000001</c:v>
                </c:pt>
                <c:pt idx="13">
                  <c:v>0.19708729</c:v>
                </c:pt>
                <c:pt idx="14">
                  <c:v>0.26</c:v>
                </c:pt>
              </c:numCache>
            </c:numRef>
          </c:val>
          <c:smooth val="0"/>
          <c:extLst>
            <c:ext xmlns:c16="http://schemas.microsoft.com/office/drawing/2014/chart" uri="{C3380CC4-5D6E-409C-BE32-E72D297353CC}">
              <c16:uniqueId val="{00000002-6A74-4E77-8DD8-2A175315F7E0}"/>
            </c:ext>
          </c:extLst>
        </c:ser>
        <c:ser>
          <c:idx val="1"/>
          <c:order val="1"/>
          <c:spPr>
            <a:ln w="28575" cap="rnd">
              <a:solidFill>
                <a:schemeClr val="accent6">
                  <a:lumMod val="75000"/>
                </a:schemeClr>
              </a:solidFill>
              <a:round/>
            </a:ln>
            <a:effectLst/>
          </c:spPr>
          <c:marker>
            <c:symbol val="none"/>
          </c:marker>
          <c:cat>
            <c:strRef>
              <c:f>BRA!$A$4:$A$18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BRA!$U$4:$U$18</c:f>
              <c:numCache>
                <c:formatCode>0.0%</c:formatCode>
                <c:ptCount val="15"/>
                <c:pt idx="1">
                  <c:v>0.48921796000000001</c:v>
                </c:pt>
                <c:pt idx="2">
                  <c:v>0.48921796000000001</c:v>
                </c:pt>
                <c:pt idx="3">
                  <c:v>0.48097889999999999</c:v>
                </c:pt>
                <c:pt idx="4">
                  <c:v>0.44749116</c:v>
                </c:pt>
                <c:pt idx="5">
                  <c:v>0.46344125000000003</c:v>
                </c:pt>
                <c:pt idx="6">
                  <c:v>0.46875623</c:v>
                </c:pt>
                <c:pt idx="7">
                  <c:v>0.4378783</c:v>
                </c:pt>
                <c:pt idx="8">
                  <c:v>0.49957816999999999</c:v>
                </c:pt>
                <c:pt idx="9">
                  <c:v>0.45399179887375457</c:v>
                </c:pt>
                <c:pt idx="10">
                  <c:v>0.30034454999999999</c:v>
                </c:pt>
                <c:pt idx="11">
                  <c:v>0.22436049</c:v>
                </c:pt>
                <c:pt idx="12">
                  <c:v>0.21458076000000001</c:v>
                </c:pt>
                <c:pt idx="13">
                  <c:v>0.19708729</c:v>
                </c:pt>
                <c:pt idx="14">
                  <c:v>0.46619483088672209</c:v>
                </c:pt>
              </c:numCache>
            </c:numRef>
          </c:val>
          <c:smooth val="0"/>
          <c:extLst>
            <c:ext xmlns:c16="http://schemas.microsoft.com/office/drawing/2014/chart" uri="{C3380CC4-5D6E-409C-BE32-E72D297353CC}">
              <c16:uniqueId val="{00000003-6A74-4E77-8DD8-2A175315F7E0}"/>
            </c:ext>
          </c:extLst>
        </c:ser>
        <c:dLbls>
          <c:showLegendKey val="0"/>
          <c:showVal val="0"/>
          <c:showCatName val="0"/>
          <c:showSerName val="0"/>
          <c:showPercent val="0"/>
          <c:showBubbleSize val="0"/>
        </c:dLbls>
        <c:smooth val="0"/>
        <c:axId val="314583375"/>
        <c:axId val="314582959"/>
      </c:lineChart>
      <c:catAx>
        <c:axId val="314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2959"/>
        <c:crosses val="autoZero"/>
        <c:auto val="1"/>
        <c:lblAlgn val="ctr"/>
        <c:lblOffset val="100"/>
        <c:noMultiLvlLbl val="0"/>
      </c:catAx>
      <c:valAx>
        <c:axId val="31458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CC3399"/>
              </a:solidFill>
              <a:prstDash val="dash"/>
              <a:round/>
            </a:ln>
            <a:effectLst/>
          </c:spPr>
          <c:marker>
            <c:symbol val="none"/>
          </c:marker>
          <c:cat>
            <c:strRef>
              <c:f>ITA!$A$4:$A$18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ITA!$T$4:$T$18</c:f>
              <c:numCache>
                <c:formatCode>0.0%</c:formatCode>
                <c:ptCount val="15"/>
                <c:pt idx="1">
                  <c:v>0.42</c:v>
                </c:pt>
                <c:pt idx="2">
                  <c:v>0.42</c:v>
                </c:pt>
                <c:pt idx="3">
                  <c:v>0.42</c:v>
                </c:pt>
                <c:pt idx="4">
                  <c:v>0.42</c:v>
                </c:pt>
                <c:pt idx="5">
                  <c:v>0.43</c:v>
                </c:pt>
                <c:pt idx="6">
                  <c:v>0.45</c:v>
                </c:pt>
                <c:pt idx="7">
                  <c:v>0.47</c:v>
                </c:pt>
                <c:pt idx="8">
                  <c:v>0.49</c:v>
                </c:pt>
                <c:pt idx="9">
                  <c:v>0.5</c:v>
                </c:pt>
                <c:pt idx="10">
                  <c:v>0.43</c:v>
                </c:pt>
                <c:pt idx="11">
                  <c:v>0.36</c:v>
                </c:pt>
                <c:pt idx="12">
                  <c:v>0.3</c:v>
                </c:pt>
                <c:pt idx="13">
                  <c:v>0.24</c:v>
                </c:pt>
                <c:pt idx="14">
                  <c:v>0.26</c:v>
                </c:pt>
              </c:numCache>
            </c:numRef>
          </c:val>
          <c:smooth val="0"/>
          <c:extLst>
            <c:ext xmlns:c16="http://schemas.microsoft.com/office/drawing/2014/chart" uri="{C3380CC4-5D6E-409C-BE32-E72D297353CC}">
              <c16:uniqueId val="{00000002-8685-457E-BCA1-1D5C946DB8E6}"/>
            </c:ext>
          </c:extLst>
        </c:ser>
        <c:ser>
          <c:idx val="1"/>
          <c:order val="1"/>
          <c:spPr>
            <a:ln w="28575" cap="rnd">
              <a:solidFill>
                <a:srgbClr val="800080"/>
              </a:solidFill>
              <a:round/>
            </a:ln>
            <a:effectLst/>
          </c:spPr>
          <c:marker>
            <c:symbol val="none"/>
          </c:marker>
          <c:cat>
            <c:strRef>
              <c:f>ITA!$A$4:$A$18</c:f>
              <c:strCache>
                <c:ptCount val="15"/>
                <c:pt idx="0">
                  <c:v>P0-P10</c:v>
                </c:pt>
                <c:pt idx="1">
                  <c:v>P10-P20</c:v>
                </c:pt>
                <c:pt idx="2">
                  <c:v>P20-P30</c:v>
                </c:pt>
                <c:pt idx="3">
                  <c:v>P30-P40</c:v>
                </c:pt>
                <c:pt idx="4">
                  <c:v>P40-P50</c:v>
                </c:pt>
                <c:pt idx="5">
                  <c:v>P50-P60</c:v>
                </c:pt>
                <c:pt idx="6">
                  <c:v>P60-P70</c:v>
                </c:pt>
                <c:pt idx="7">
                  <c:v>P70-P80</c:v>
                </c:pt>
                <c:pt idx="8">
                  <c:v>P80-P90</c:v>
                </c:pt>
                <c:pt idx="9">
                  <c:v>P90-P99</c:v>
                </c:pt>
                <c:pt idx="10">
                  <c:v>P99-P99.9</c:v>
                </c:pt>
                <c:pt idx="11">
                  <c:v>P99.9-P99.99</c:v>
                </c:pt>
                <c:pt idx="12">
                  <c:v>P99.99-P99.999</c:v>
                </c:pt>
                <c:pt idx="13">
                  <c:v>P99.999-Billionaires</c:v>
                </c:pt>
                <c:pt idx="14">
                  <c:v>Billionaires</c:v>
                </c:pt>
              </c:strCache>
            </c:strRef>
          </c:cat>
          <c:val>
            <c:numRef>
              <c:f>ITA!$U$4:$U$18</c:f>
              <c:numCache>
                <c:formatCode>0.0%</c:formatCode>
                <c:ptCount val="15"/>
                <c:pt idx="1">
                  <c:v>0.42</c:v>
                </c:pt>
                <c:pt idx="2">
                  <c:v>0.42</c:v>
                </c:pt>
                <c:pt idx="3">
                  <c:v>0.42</c:v>
                </c:pt>
                <c:pt idx="4">
                  <c:v>0.42</c:v>
                </c:pt>
                <c:pt idx="5">
                  <c:v>0.43</c:v>
                </c:pt>
                <c:pt idx="6">
                  <c:v>0.45</c:v>
                </c:pt>
                <c:pt idx="7">
                  <c:v>0.47</c:v>
                </c:pt>
                <c:pt idx="8">
                  <c:v>0.49</c:v>
                </c:pt>
                <c:pt idx="9">
                  <c:v>0.5</c:v>
                </c:pt>
                <c:pt idx="10">
                  <c:v>0.43</c:v>
                </c:pt>
                <c:pt idx="11">
                  <c:v>0.36</c:v>
                </c:pt>
                <c:pt idx="12">
                  <c:v>0.3</c:v>
                </c:pt>
                <c:pt idx="13">
                  <c:v>0.26507392399807506</c:v>
                </c:pt>
                <c:pt idx="14">
                  <c:v>0.68500000000000005</c:v>
                </c:pt>
              </c:numCache>
            </c:numRef>
          </c:val>
          <c:smooth val="0"/>
          <c:extLst>
            <c:ext xmlns:c16="http://schemas.microsoft.com/office/drawing/2014/chart" uri="{C3380CC4-5D6E-409C-BE32-E72D297353CC}">
              <c16:uniqueId val="{00000003-8685-457E-BCA1-1D5C946DB8E6}"/>
            </c:ext>
          </c:extLst>
        </c:ser>
        <c:dLbls>
          <c:showLegendKey val="0"/>
          <c:showVal val="0"/>
          <c:showCatName val="0"/>
          <c:showSerName val="0"/>
          <c:showPercent val="0"/>
          <c:showBubbleSize val="0"/>
        </c:dLbls>
        <c:smooth val="0"/>
        <c:axId val="314583375"/>
        <c:axId val="314582959"/>
      </c:lineChart>
      <c:catAx>
        <c:axId val="314583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2959"/>
        <c:crosses val="autoZero"/>
        <c:auto val="1"/>
        <c:lblAlgn val="ctr"/>
        <c:lblOffset val="100"/>
        <c:noMultiLvlLbl val="0"/>
      </c:catAx>
      <c:valAx>
        <c:axId val="314582959"/>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4583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22</xdr:col>
      <xdr:colOff>325426</xdr:colOff>
      <xdr:row>1</xdr:row>
      <xdr:rowOff>37601</xdr:rowOff>
    </xdr:from>
    <xdr:to>
      <xdr:col>33</xdr:col>
      <xdr:colOff>733425</xdr:colOff>
      <xdr:row>23</xdr:row>
      <xdr:rowOff>140496</xdr:rowOff>
    </xdr:to>
    <xdr:graphicFrame macro="">
      <xdr:nvGraphicFramePr>
        <xdr:cNvPr id="6" name="Graphique 5">
          <a:extLst>
            <a:ext uri="{FF2B5EF4-FFF2-40B4-BE49-F238E27FC236}">
              <a16:creationId xmlns:a16="http://schemas.microsoft.com/office/drawing/2014/main" id="{13E1C901-3768-48E0-BBEA-254CCA101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299413</xdr:colOff>
      <xdr:row>1</xdr:row>
      <xdr:rowOff>28181</xdr:rowOff>
    </xdr:from>
    <xdr:to>
      <xdr:col>28</xdr:col>
      <xdr:colOff>78849</xdr:colOff>
      <xdr:row>24</xdr:row>
      <xdr:rowOff>37796</xdr:rowOff>
    </xdr:to>
    <xdr:graphicFrame macro="">
      <xdr:nvGraphicFramePr>
        <xdr:cNvPr id="2" name="Graphique 1">
          <a:extLst>
            <a:ext uri="{FF2B5EF4-FFF2-40B4-BE49-F238E27FC236}">
              <a16:creationId xmlns:a16="http://schemas.microsoft.com/office/drawing/2014/main" id="{DA8C2AE7-FB04-4103-B723-2BFDA7F68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22</xdr:col>
      <xdr:colOff>430990</xdr:colOff>
      <xdr:row>0</xdr:row>
      <xdr:rowOff>178873</xdr:rowOff>
    </xdr:from>
    <xdr:to>
      <xdr:col>29</xdr:col>
      <xdr:colOff>647700</xdr:colOff>
      <xdr:row>24</xdr:row>
      <xdr:rowOff>55861</xdr:rowOff>
    </xdr:to>
    <xdr:graphicFrame macro="">
      <xdr:nvGraphicFramePr>
        <xdr:cNvPr id="2" name="Graphique 1">
          <a:extLst>
            <a:ext uri="{FF2B5EF4-FFF2-40B4-BE49-F238E27FC236}">
              <a16:creationId xmlns:a16="http://schemas.microsoft.com/office/drawing/2014/main" id="{5D9D0E77-B0AD-44CE-8B97-9491BB519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22</xdr:col>
      <xdr:colOff>339681</xdr:colOff>
      <xdr:row>1</xdr:row>
      <xdr:rowOff>8473</xdr:rowOff>
    </xdr:from>
    <xdr:to>
      <xdr:col>28</xdr:col>
      <xdr:colOff>122928</xdr:colOff>
      <xdr:row>24</xdr:row>
      <xdr:rowOff>18088</xdr:rowOff>
    </xdr:to>
    <xdr:graphicFrame macro="">
      <xdr:nvGraphicFramePr>
        <xdr:cNvPr id="2" name="Graphique 1">
          <a:extLst>
            <a:ext uri="{FF2B5EF4-FFF2-40B4-BE49-F238E27FC236}">
              <a16:creationId xmlns:a16="http://schemas.microsoft.com/office/drawing/2014/main" id="{5C4B1CA9-B5D2-4FD7-A954-872A4DF93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22</xdr:col>
      <xdr:colOff>364592</xdr:colOff>
      <xdr:row>1</xdr:row>
      <xdr:rowOff>27229</xdr:rowOff>
    </xdr:from>
    <xdr:to>
      <xdr:col>28</xdr:col>
      <xdr:colOff>155459</xdr:colOff>
      <xdr:row>24</xdr:row>
      <xdr:rowOff>34939</xdr:rowOff>
    </xdr:to>
    <xdr:graphicFrame macro="">
      <xdr:nvGraphicFramePr>
        <xdr:cNvPr id="2" name="Graphique 1">
          <a:extLst>
            <a:ext uri="{FF2B5EF4-FFF2-40B4-BE49-F238E27FC236}">
              <a16:creationId xmlns:a16="http://schemas.microsoft.com/office/drawing/2014/main" id="{85300771-29F8-4788-B9AD-60944ECCC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67E3-ED89-40FD-A6A8-5FC44FD01F6F}">
  <dimension ref="A2:C61"/>
  <sheetViews>
    <sheetView tabSelected="1" zoomScale="115" zoomScaleNormal="115" workbookViewId="0">
      <selection activeCell="K17" sqref="K17"/>
    </sheetView>
  </sheetViews>
  <sheetFormatPr baseColWidth="10" defaultRowHeight="14.4"/>
  <cols>
    <col min="1" max="1" width="12.44140625" customWidth="1"/>
  </cols>
  <sheetData>
    <row r="2" spans="1:1">
      <c r="A2" s="43" t="s">
        <v>161</v>
      </c>
    </row>
    <row r="4" spans="1:1" ht="21">
      <c r="A4" s="56" t="s">
        <v>75</v>
      </c>
    </row>
    <row r="6" spans="1:1">
      <c r="A6" t="s">
        <v>213</v>
      </c>
    </row>
    <row r="8" spans="1:1">
      <c r="A8" s="48" t="s">
        <v>106</v>
      </c>
    </row>
    <row r="9" spans="1:1" s="85" customFormat="1">
      <c r="A9" s="48" t="s">
        <v>493</v>
      </c>
    </row>
    <row r="10" spans="1:1">
      <c r="A10" s="48" t="s">
        <v>212</v>
      </c>
    </row>
    <row r="11" spans="1:1">
      <c r="A11" s="48" t="s">
        <v>194</v>
      </c>
    </row>
    <row r="12" spans="1:1">
      <c r="A12" s="48" t="s">
        <v>107</v>
      </c>
    </row>
    <row r="13" spans="1:1">
      <c r="A13" s="55" t="s">
        <v>108</v>
      </c>
    </row>
    <row r="14" spans="1:1">
      <c r="A14" s="48" t="s">
        <v>139</v>
      </c>
    </row>
    <row r="16" spans="1:1" ht="21">
      <c r="A16" s="56" t="s">
        <v>101</v>
      </c>
    </row>
    <row r="17" spans="1:3" ht="15.6" customHeight="1">
      <c r="A17" s="56"/>
    </row>
    <row r="18" spans="1:3">
      <c r="A18" t="s">
        <v>102</v>
      </c>
    </row>
    <row r="20" spans="1:3">
      <c r="B20" t="s">
        <v>162</v>
      </c>
    </row>
    <row r="21" spans="1:3">
      <c r="B21" t="s">
        <v>104</v>
      </c>
    </row>
    <row r="23" spans="1:3">
      <c r="B23" t="s">
        <v>163</v>
      </c>
    </row>
    <row r="25" spans="1:3">
      <c r="C25" s="43" t="s">
        <v>153</v>
      </c>
    </row>
    <row r="26" spans="1:3" s="85" customFormat="1">
      <c r="C26" s="55" t="s">
        <v>247</v>
      </c>
    </row>
    <row r="27" spans="1:3" s="85" customFormat="1">
      <c r="C27" s="55" t="s">
        <v>412</v>
      </c>
    </row>
    <row r="28" spans="1:3" s="85" customFormat="1">
      <c r="C28" s="55" t="s">
        <v>248</v>
      </c>
    </row>
    <row r="29" spans="1:3" s="85" customFormat="1">
      <c r="C29" s="55"/>
    </row>
    <row r="30" spans="1:3" s="85" customFormat="1">
      <c r="C30" s="43" t="s">
        <v>246</v>
      </c>
    </row>
    <row r="31" spans="1:3">
      <c r="C31" t="s">
        <v>151</v>
      </c>
    </row>
    <row r="32" spans="1:3" s="85" customFormat="1">
      <c r="C32" s="85" t="s">
        <v>155</v>
      </c>
    </row>
    <row r="33" spans="2:3" s="85" customFormat="1">
      <c r="C33" s="85" t="s">
        <v>411</v>
      </c>
    </row>
    <row r="34" spans="2:3" s="85" customFormat="1">
      <c r="C34" s="85" t="s">
        <v>152</v>
      </c>
    </row>
    <row r="35" spans="2:3" s="85" customFormat="1">
      <c r="C35" s="85" t="s">
        <v>413</v>
      </c>
    </row>
    <row r="36" spans="2:3" s="85" customFormat="1">
      <c r="C36" s="85" t="s">
        <v>414</v>
      </c>
    </row>
    <row r="38" spans="2:3">
      <c r="C38" t="s">
        <v>154</v>
      </c>
    </row>
    <row r="39" spans="2:3">
      <c r="C39" s="55" t="s">
        <v>244</v>
      </c>
    </row>
    <row r="40" spans="2:3">
      <c r="C40" t="s">
        <v>140</v>
      </c>
    </row>
    <row r="42" spans="2:3">
      <c r="B42" t="s">
        <v>172</v>
      </c>
    </row>
    <row r="43" spans="2:3">
      <c r="B43" s="55" t="s">
        <v>173</v>
      </c>
    </row>
    <row r="44" spans="2:3" s="85" customFormat="1">
      <c r="B44" s="55"/>
    </row>
    <row r="45" spans="2:3" s="85" customFormat="1">
      <c r="B45" s="85" t="s">
        <v>171</v>
      </c>
    </row>
    <row r="46" spans="2:3">
      <c r="B46" t="s">
        <v>170</v>
      </c>
    </row>
    <row r="47" spans="2:3" s="85" customFormat="1">
      <c r="B47" s="85" t="s">
        <v>245</v>
      </c>
    </row>
    <row r="48" spans="2:3">
      <c r="B48" t="s">
        <v>275</v>
      </c>
    </row>
    <row r="49" spans="1:2" s="85" customFormat="1">
      <c r="B49" s="85" t="s">
        <v>276</v>
      </c>
    </row>
    <row r="50" spans="1:2" s="85" customFormat="1"/>
    <row r="51" spans="1:2">
      <c r="A51" t="s">
        <v>103</v>
      </c>
    </row>
    <row r="53" spans="1:2" ht="21">
      <c r="A53" s="56" t="s">
        <v>156</v>
      </c>
    </row>
    <row r="55" spans="1:2">
      <c r="A55" t="s">
        <v>158</v>
      </c>
    </row>
    <row r="56" spans="1:2">
      <c r="A56" t="s">
        <v>157</v>
      </c>
    </row>
    <row r="57" spans="1:2">
      <c r="A57" t="s">
        <v>159</v>
      </c>
    </row>
    <row r="59" spans="1:2" ht="21">
      <c r="A59" s="56" t="s">
        <v>160</v>
      </c>
    </row>
    <row r="61" spans="1:2">
      <c r="A61" t="s">
        <v>496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2F3BD-2B74-4271-922F-DB105769CAD1}">
  <sheetPr codeName="Feuil6">
    <tabColor theme="4" tint="-0.249977111117893"/>
  </sheetPr>
  <dimension ref="A1:Z34"/>
  <sheetViews>
    <sheetView zoomScale="85" zoomScaleNormal="85" workbookViewId="0">
      <selection activeCell="I30" sqref="I30"/>
    </sheetView>
  </sheetViews>
  <sheetFormatPr baseColWidth="10" defaultRowHeight="14.4"/>
  <cols>
    <col min="1" max="2" width="11.44140625" customWidth="1"/>
    <col min="3" max="3" width="11.44140625" style="85" customWidth="1"/>
    <col min="4" max="9" width="11.44140625" customWidth="1"/>
    <col min="10" max="11" width="11.44140625" style="85" customWidth="1"/>
    <col min="12" max="12" width="11.44140625" style="85"/>
    <col min="13" max="14" width="11.44140625" style="85" customWidth="1"/>
    <col min="15" max="16" width="11.44140625" customWidth="1"/>
    <col min="17" max="19" width="11.44140625" style="85" customWidth="1"/>
    <col min="20" max="22" width="11.44140625" customWidth="1"/>
  </cols>
  <sheetData>
    <row r="1" spans="1:26" s="28" customFormat="1" ht="15" customHeight="1">
      <c r="A1" s="29"/>
      <c r="B1" s="29"/>
      <c r="C1" s="29"/>
      <c r="D1" s="29"/>
      <c r="E1" s="29"/>
      <c r="F1" s="29"/>
      <c r="G1" s="29"/>
      <c r="H1" s="29"/>
      <c r="I1" s="29"/>
      <c r="J1" s="29"/>
      <c r="K1" s="29"/>
      <c r="L1" s="29"/>
      <c r="M1" s="29"/>
      <c r="N1" s="29"/>
      <c r="O1" s="29"/>
      <c r="P1" s="29"/>
      <c r="Q1" s="29"/>
      <c r="R1" s="29"/>
      <c r="S1" s="29"/>
      <c r="T1" s="29"/>
      <c r="U1" s="29"/>
      <c r="V1" s="29"/>
    </row>
    <row r="2" spans="1:26" s="28" customFormat="1" ht="15" customHeight="1">
      <c r="B2" s="275" t="s">
        <v>134</v>
      </c>
      <c r="C2" s="275"/>
      <c r="D2" s="275"/>
      <c r="E2" s="275"/>
      <c r="F2" s="275"/>
      <c r="G2" s="275"/>
      <c r="H2" s="277" t="s">
        <v>126</v>
      </c>
      <c r="I2" s="277"/>
      <c r="J2" s="277"/>
      <c r="K2" s="277"/>
      <c r="L2" s="278" t="s">
        <v>131</v>
      </c>
      <c r="M2" s="278"/>
      <c r="N2" s="278"/>
      <c r="O2" s="278"/>
      <c r="P2" s="278"/>
      <c r="Q2" s="278"/>
      <c r="R2" s="278"/>
      <c r="S2" s="278"/>
      <c r="T2" s="278"/>
      <c r="U2" s="278"/>
      <c r="V2" s="278"/>
      <c r="W2" s="274"/>
      <c r="X2" s="274"/>
      <c r="Y2" s="274"/>
    </row>
    <row r="3" spans="1:26" ht="45" customHeight="1">
      <c r="A3" s="39" t="s">
        <v>7</v>
      </c>
      <c r="B3" s="45" t="s">
        <v>175</v>
      </c>
      <c r="C3" s="45" t="s">
        <v>93</v>
      </c>
      <c r="D3" s="77" t="s">
        <v>17</v>
      </c>
      <c r="E3" s="77" t="s">
        <v>16</v>
      </c>
      <c r="F3" s="267" t="s">
        <v>54</v>
      </c>
      <c r="G3" s="267" t="s">
        <v>55</v>
      </c>
      <c r="H3" s="75" t="s">
        <v>59</v>
      </c>
      <c r="I3" s="161" t="s">
        <v>272</v>
      </c>
      <c r="J3" s="161" t="s">
        <v>273</v>
      </c>
      <c r="K3" s="161" t="s">
        <v>271</v>
      </c>
      <c r="L3" s="150" t="s">
        <v>274</v>
      </c>
      <c r="M3" s="77" t="s">
        <v>17</v>
      </c>
      <c r="N3" s="77" t="s">
        <v>16</v>
      </c>
      <c r="O3" s="45" t="s">
        <v>178</v>
      </c>
      <c r="P3" s="39" t="s">
        <v>176</v>
      </c>
      <c r="Q3" s="39" t="s">
        <v>177</v>
      </c>
      <c r="R3" s="39" t="s">
        <v>137</v>
      </c>
      <c r="S3" s="39" t="s">
        <v>174</v>
      </c>
      <c r="T3" s="45" t="s">
        <v>128</v>
      </c>
      <c r="U3" s="39" t="s">
        <v>127</v>
      </c>
      <c r="V3" s="45" t="s">
        <v>179</v>
      </c>
      <c r="W3" s="42"/>
      <c r="X3" s="42"/>
      <c r="Y3" s="42"/>
      <c r="Z3" s="44"/>
    </row>
    <row r="4" spans="1:26" ht="15" customHeight="1">
      <c r="A4" s="38" t="s">
        <v>18</v>
      </c>
      <c r="B4" s="108">
        <f>'Bach et al. (2025)'!C4-'Bach et al. (2025)'!C5</f>
        <v>3783411</v>
      </c>
      <c r="C4" s="24">
        <f>('Bach et al. (2025)'!F4-'Bach et al. (2025)'!F5)/100</f>
        <v>1.5000000000000568E-3</v>
      </c>
      <c r="D4" s="52"/>
      <c r="E4" s="52"/>
      <c r="F4" s="268">
        <f>'Insee (2026)'!C91</f>
        <v>0.58519002386338148</v>
      </c>
      <c r="G4" s="269"/>
      <c r="H4" s="76"/>
      <c r="I4" s="76"/>
      <c r="J4" s="76"/>
      <c r="K4" s="76"/>
      <c r="L4" s="151"/>
      <c r="M4" s="76"/>
      <c r="N4" s="76"/>
      <c r="P4" s="5"/>
      <c r="Q4" s="5"/>
      <c r="R4" s="5"/>
      <c r="S4" s="5"/>
      <c r="T4" s="64"/>
      <c r="U4" s="65"/>
      <c r="W4" s="37"/>
      <c r="X4" s="40"/>
      <c r="Y4" s="34"/>
    </row>
    <row r="5" spans="1:26" s="85" customFormat="1" ht="15" customHeight="1">
      <c r="A5" s="38" t="s">
        <v>19</v>
      </c>
      <c r="B5" s="108">
        <f>'Bach et al. (2025)'!C5-'Bach et al. (2025)'!C6</f>
        <v>3783612</v>
      </c>
      <c r="C5" s="24">
        <f>('Bach et al. (2025)'!F5-'Bach et al. (2025)'!F6)/100</f>
        <v>2.0999999999999942E-2</v>
      </c>
      <c r="D5" s="52"/>
      <c r="E5" s="52"/>
      <c r="F5" s="96">
        <f>'Insee (2026)'!E91</f>
        <v>0.44220761034657319</v>
      </c>
      <c r="G5" s="269"/>
      <c r="H5" s="76"/>
      <c r="I5" s="76"/>
      <c r="J5" s="76"/>
      <c r="K5" s="76"/>
      <c r="L5" s="151"/>
      <c r="M5" s="76"/>
      <c r="N5" s="76"/>
      <c r="P5" s="5"/>
      <c r="Q5" s="5"/>
      <c r="R5" s="5"/>
      <c r="S5" s="5"/>
      <c r="T5" s="64">
        <f t="shared" ref="T5:T17" si="0">F5</f>
        <v>0.44220761034657319</v>
      </c>
      <c r="U5" s="65">
        <f>T5</f>
        <v>0.44220761034657319</v>
      </c>
      <c r="W5" s="37"/>
      <c r="X5" s="40"/>
      <c r="Y5" s="34"/>
    </row>
    <row r="6" spans="1:26" s="85" customFormat="1" ht="15" customHeight="1">
      <c r="A6" s="38" t="s">
        <v>20</v>
      </c>
      <c r="B6" s="108">
        <f>'Bach et al. (2025)'!C6-'Bach et al. (2025)'!C7</f>
        <v>3783029</v>
      </c>
      <c r="C6" s="24">
        <f>('Bach et al. (2025)'!F6-'Bach et al. (2025)'!F7)/100</f>
        <v>3.7099999999999939E-2</v>
      </c>
      <c r="D6" s="52"/>
      <c r="E6" s="52"/>
      <c r="F6" s="96">
        <f>'Insee (2026)'!G91</f>
        <v>0.44212399490036169</v>
      </c>
      <c r="G6" s="269"/>
      <c r="H6" s="76"/>
      <c r="I6" s="76"/>
      <c r="J6" s="76"/>
      <c r="K6" s="76"/>
      <c r="L6" s="151"/>
      <c r="M6" s="76"/>
      <c r="N6" s="76"/>
      <c r="P6" s="5"/>
      <c r="Q6" s="5"/>
      <c r="R6" s="5"/>
      <c r="S6" s="5"/>
      <c r="T6" s="64">
        <f t="shared" si="0"/>
        <v>0.44212399490036169</v>
      </c>
      <c r="U6" s="65">
        <f t="shared" ref="U6:U8" si="1">T6</f>
        <v>0.44212399490036169</v>
      </c>
      <c r="W6" s="37"/>
      <c r="X6" s="40"/>
      <c r="Y6" s="34"/>
    </row>
    <row r="7" spans="1:26" s="85" customFormat="1" ht="15" customHeight="1">
      <c r="A7" s="38" t="s">
        <v>21</v>
      </c>
      <c r="B7" s="108">
        <f>'Bach et al. (2025)'!C7-'Bach et al. (2025)'!C8</f>
        <v>3783555</v>
      </c>
      <c r="C7" s="24">
        <f>('Bach et al. (2025)'!F7-'Bach et al. (2025)'!F8)/100</f>
        <v>4.8599999999999997E-2</v>
      </c>
      <c r="D7" s="52"/>
      <c r="E7" s="52"/>
      <c r="F7" s="96">
        <f>'Insee (2026)'!I91</f>
        <v>0.4626639904453459</v>
      </c>
      <c r="G7" s="269"/>
      <c r="H7" s="76"/>
      <c r="I7" s="76"/>
      <c r="J7" s="76"/>
      <c r="K7" s="76"/>
      <c r="L7" s="151"/>
      <c r="M7" s="76"/>
      <c r="N7" s="76"/>
      <c r="P7" s="5"/>
      <c r="Q7" s="5"/>
      <c r="R7" s="5"/>
      <c r="S7" s="5"/>
      <c r="T7" s="64">
        <f t="shared" si="0"/>
        <v>0.4626639904453459</v>
      </c>
      <c r="U7" s="65">
        <f t="shared" si="1"/>
        <v>0.4626639904453459</v>
      </c>
      <c r="W7" s="37"/>
      <c r="X7" s="40"/>
      <c r="Y7" s="34"/>
    </row>
    <row r="8" spans="1:26" s="85" customFormat="1" ht="15" customHeight="1">
      <c r="A8" s="38" t="s">
        <v>22</v>
      </c>
      <c r="B8" s="108">
        <f>'Bach et al. (2025)'!C8-'Bach et al. (2025)'!C9</f>
        <v>3783954</v>
      </c>
      <c r="C8" s="24">
        <f>('Bach et al. (2025)'!F8-'Bach et al. (2025)'!F9)/100</f>
        <v>6.2000000000000027E-2</v>
      </c>
      <c r="D8" s="52"/>
      <c r="E8" s="52"/>
      <c r="F8" s="96">
        <f>'Insee (2026)'!K91</f>
        <v>0.48163196651010082</v>
      </c>
      <c r="G8" s="269"/>
      <c r="H8" s="76"/>
      <c r="I8" s="76"/>
      <c r="J8" s="76"/>
      <c r="K8" s="76"/>
      <c r="L8" s="151"/>
      <c r="M8" s="76"/>
      <c r="N8" s="76"/>
      <c r="P8" s="5"/>
      <c r="Q8" s="5"/>
      <c r="R8" s="5"/>
      <c r="S8" s="5"/>
      <c r="T8" s="64">
        <f t="shared" si="0"/>
        <v>0.48163196651010082</v>
      </c>
      <c r="U8" s="65">
        <f t="shared" si="1"/>
        <v>0.48163196651010082</v>
      </c>
      <c r="W8" s="37"/>
      <c r="X8" s="40"/>
      <c r="Y8" s="34"/>
    </row>
    <row r="9" spans="1:26" ht="15" customHeight="1">
      <c r="A9" s="38" t="s">
        <v>23</v>
      </c>
      <c r="B9" s="108">
        <f>'Bach et al. (2025)'!C9-'Bach et al. (2025)'!C10</f>
        <v>3782935</v>
      </c>
      <c r="C9" s="24">
        <f>('Bach et al. (2025)'!F9-'Bach et al. (2025)'!F10)/100</f>
        <v>7.3599999999999999E-2</v>
      </c>
      <c r="D9" s="52"/>
      <c r="E9" s="52"/>
      <c r="F9" s="96">
        <f>'Insee (2026)'!M91</f>
        <v>0.49227262124201504</v>
      </c>
      <c r="G9" s="269"/>
      <c r="H9" s="76"/>
      <c r="I9" s="76"/>
      <c r="J9" s="76"/>
      <c r="K9" s="76"/>
      <c r="L9" s="151"/>
      <c r="M9" s="76"/>
      <c r="N9" s="76"/>
      <c r="P9" s="5"/>
      <c r="Q9" s="5"/>
      <c r="R9" s="5"/>
      <c r="S9" s="5"/>
      <c r="T9" s="64">
        <f t="shared" si="0"/>
        <v>0.49227262124201504</v>
      </c>
      <c r="U9" s="65">
        <f>T9</f>
        <v>0.49227262124201504</v>
      </c>
      <c r="W9" s="37"/>
      <c r="X9" s="40"/>
      <c r="Y9" s="34"/>
    </row>
    <row r="10" spans="1:26" s="85" customFormat="1" ht="15" customHeight="1">
      <c r="A10" s="38" t="s">
        <v>24</v>
      </c>
      <c r="B10" s="108">
        <f>'Bach et al. (2025)'!C10-'Bach et al. (2025)'!C11</f>
        <v>3783286</v>
      </c>
      <c r="C10" s="24">
        <f>('Bach et al. (2025)'!F10-'Bach et al. (2025)'!F11)/100</f>
        <v>9.1500000000000054E-2</v>
      </c>
      <c r="D10" s="52"/>
      <c r="E10" s="52"/>
      <c r="F10" s="96">
        <f>'Insee (2026)'!O91</f>
        <v>0.51497106000726123</v>
      </c>
      <c r="G10" s="269"/>
      <c r="H10" s="76"/>
      <c r="I10" s="76"/>
      <c r="J10" s="76"/>
      <c r="K10" s="76"/>
      <c r="L10" s="151"/>
      <c r="M10" s="76"/>
      <c r="N10" s="76"/>
      <c r="P10" s="5"/>
      <c r="Q10" s="5"/>
      <c r="R10" s="5"/>
      <c r="S10" s="5"/>
      <c r="T10" s="64">
        <f t="shared" si="0"/>
        <v>0.51497106000726123</v>
      </c>
      <c r="U10" s="65">
        <f t="shared" ref="U10:U12" si="2">T10</f>
        <v>0.51497106000726123</v>
      </c>
      <c r="W10" s="37"/>
      <c r="X10" s="40"/>
      <c r="Y10" s="34"/>
    </row>
    <row r="11" spans="1:26" s="85" customFormat="1" ht="15" customHeight="1">
      <c r="A11" s="38" t="s">
        <v>25</v>
      </c>
      <c r="B11" s="108">
        <f>'Bach et al. (2025)'!C11-'Bach et al. (2025)'!C12</f>
        <v>3783032</v>
      </c>
      <c r="C11" s="24">
        <f>('Bach et al. (2025)'!F11-'Bach et al. (2025)'!F12)/100</f>
        <v>0.11699999999999995</v>
      </c>
      <c r="D11" s="52"/>
      <c r="E11" s="52"/>
      <c r="F11" s="96">
        <f>'Insee (2026)'!Q91</f>
        <v>0.53154438268086235</v>
      </c>
      <c r="G11" s="269"/>
      <c r="H11" s="76"/>
      <c r="I11" s="76"/>
      <c r="J11" s="76"/>
      <c r="K11" s="76"/>
      <c r="L11" s="151"/>
      <c r="M11" s="76"/>
      <c r="N11" s="76"/>
      <c r="P11" s="5"/>
      <c r="Q11" s="5"/>
      <c r="R11" s="5"/>
      <c r="S11" s="5"/>
      <c r="T11" s="64">
        <f t="shared" si="0"/>
        <v>0.53154438268086235</v>
      </c>
      <c r="U11" s="65">
        <f t="shared" si="2"/>
        <v>0.53154438268086235</v>
      </c>
      <c r="W11" s="37"/>
      <c r="X11" s="40"/>
      <c r="Y11" s="34"/>
    </row>
    <row r="12" spans="1:26" s="85" customFormat="1" ht="15" customHeight="1">
      <c r="A12" s="38" t="s">
        <v>26</v>
      </c>
      <c r="B12" s="108">
        <f>'Bach et al. (2025)'!C12-'Bach et al. (2025)'!C13</f>
        <v>3783370</v>
      </c>
      <c r="C12" s="24">
        <f>('Bach et al. (2025)'!F12-'Bach et al. (2025)'!F13)/100</f>
        <v>0.15860000000000007</v>
      </c>
      <c r="D12" s="51"/>
      <c r="E12" s="52"/>
      <c r="F12" s="96">
        <f>'Insee (2026)'!S91</f>
        <v>0.55033212839525991</v>
      </c>
      <c r="G12" s="269"/>
      <c r="H12" s="76"/>
      <c r="I12" s="76"/>
      <c r="J12" s="76"/>
      <c r="K12" s="76"/>
      <c r="L12" s="151"/>
      <c r="M12" s="76"/>
      <c r="N12" s="76"/>
      <c r="P12" s="5"/>
      <c r="Q12" s="5"/>
      <c r="R12" s="5"/>
      <c r="S12" s="5"/>
      <c r="T12" s="64">
        <f t="shared" si="0"/>
        <v>0.55033212839525991</v>
      </c>
      <c r="U12" s="65">
        <f t="shared" si="2"/>
        <v>0.55033212839525991</v>
      </c>
      <c r="W12" s="37"/>
      <c r="X12" s="40"/>
      <c r="Y12" s="34"/>
    </row>
    <row r="13" spans="1:26" ht="15" customHeight="1">
      <c r="A13" s="38" t="s">
        <v>27</v>
      </c>
      <c r="B13" s="108">
        <f>'Bach et al. (2025)'!C13-'Bach et al. (2025)'!C15</f>
        <v>3404985</v>
      </c>
      <c r="C13" s="24">
        <f>('Bach et al. (2025)'!F13-'Bach et al. (2025)'!F15)/100</f>
        <v>0.25079999999999997</v>
      </c>
      <c r="D13" s="51"/>
      <c r="E13" s="52"/>
      <c r="F13" s="96">
        <f xml:space="preserve"> SUMPRODUCT('Bach et al. (2025)'!AA4:AA12,'Bach et al. (2025)'!I4:I12)/SUM('Bach et al. (2025)'!I4:I12)*1 + 'Insee (2026)'!U91*0</f>
        <v>0.54308956855582002</v>
      </c>
      <c r="G13" s="269"/>
      <c r="H13" s="76"/>
      <c r="I13" s="76"/>
      <c r="J13" s="76"/>
      <c r="K13" s="76"/>
      <c r="L13" s="151"/>
      <c r="M13" s="76"/>
      <c r="N13" s="76"/>
      <c r="P13" s="5"/>
      <c r="Q13" s="5"/>
      <c r="R13" s="5"/>
      <c r="S13" s="5"/>
      <c r="T13" s="64">
        <f t="shared" si="0"/>
        <v>0.54308956855582002</v>
      </c>
      <c r="U13" s="65">
        <f>T13</f>
        <v>0.54308956855582002</v>
      </c>
      <c r="W13" s="37"/>
      <c r="X13" s="40"/>
      <c r="Y13" s="34"/>
    </row>
    <row r="14" spans="1:26" ht="15" customHeight="1">
      <c r="A14" s="38" t="s">
        <v>28</v>
      </c>
      <c r="B14" s="22">
        <f>'Bach et al. (2025)'!C15 - 'Bach et al. (2025)'!C16</f>
        <v>340500</v>
      </c>
      <c r="C14" s="24">
        <f>('Bach et al. (2025)'!F15-'Bach et al. (2025)'!F16)/100</f>
        <v>7.6399999999999996E-2</v>
      </c>
      <c r="D14" s="51">
        <f>('Bach et al. (2025)'!C15*'Bach et al. (2025)'!E15 - 'Bach et al. (2025)'!E16*'Bach et al. (2025)'!C16)/('Bach et al. (2025)'!C15-'Bach et al. (2025)'!C16)</f>
        <v>279445.99118942732</v>
      </c>
      <c r="E14" s="51">
        <f>'Bach et al. (2025)'!D15</f>
        <v>180000</v>
      </c>
      <c r="F14" s="270">
        <f xml:space="preserve"> SUMPRODUCT('Bach et al. (2025)'!AA13:AA21,'Bach et al. (2025)'!I13:I21)/SUM('Bach et al. (2025)'!I13:I21)</f>
        <v>0.56201136048422384</v>
      </c>
      <c r="G14" s="269">
        <f>(SUMPRODUCT('Bach et al. (2025)'!K13:K21,'Bach et al. (2025)'!I13:I21) + SUMPRODUCT('Bach et al. (2025)'!L13:L21,'Bach et al. (2025)'!I13:I21) + SUMPRODUCT('Bach et al. (2025)'!N13:N21,'Bach et al. (2025)'!I13:I21) + SUMPRODUCT('Bach et al. (2025)'!X13:X21,'Bach et al. (2025)'!I13:I21))/SUM('Bach et al. (2025)'!I13:I21)</f>
        <v>0.24326655935587399</v>
      </c>
      <c r="H14" s="96">
        <v>0.13</v>
      </c>
      <c r="I14" s="96">
        <f>WID!O5</f>
        <v>3.1988820813529939E-2</v>
      </c>
      <c r="J14" s="96">
        <f>WID!O36</f>
        <v>2.3686217993555081E-2</v>
      </c>
      <c r="K14" s="96">
        <f>WID!O$66</f>
        <v>5.452234777918008E-3</v>
      </c>
      <c r="L14" s="152">
        <f>H14*G14</f>
        <v>3.1624652716263621E-2</v>
      </c>
      <c r="M14" s="159">
        <f t="shared" ref="M14:N18" si="3">D14*(1+I14)^9</f>
        <v>370999.0679554565</v>
      </c>
      <c r="N14" s="159">
        <f t="shared" si="3"/>
        <v>222215.43031424173</v>
      </c>
      <c r="O14" s="89">
        <f>(N14/H14)/1000000</f>
        <v>1.7093494639557054</v>
      </c>
      <c r="P14" s="98">
        <f>M14/(M14-N14)</f>
        <v>2.4935475018436133</v>
      </c>
      <c r="Q14" s="98">
        <f>P14*(1-(N14/N15)^(P14-1))</f>
        <v>2.2288296809307693</v>
      </c>
      <c r="R14" s="99">
        <f>MIN(1,MAX((M$22^(-Q14+1)-O15^(-Q14+1))/(O14^(-Q14+1)-O15^(-Q14+1)),0))</f>
        <v>0</v>
      </c>
      <c r="S14" s="162">
        <f>MIN(1,MAX((M$22^(-Q14)-O15^(-Q14))/(O14^(-Q14)-O15^(-Q14)),0))*B14*(1+K14)^9</f>
        <v>0</v>
      </c>
      <c r="T14" s="64">
        <f t="shared" si="0"/>
        <v>0.56201136048422384</v>
      </c>
      <c r="U14" s="65">
        <f>F14+MAX(0,M$23/H14-G14)*R14</f>
        <v>0.56201136048422384</v>
      </c>
      <c r="V14" s="164">
        <f>(U14-T14)*M14*B14*(1+K14)^9/1000000</f>
        <v>0</v>
      </c>
      <c r="W14" s="37"/>
      <c r="X14" s="40"/>
      <c r="Y14" s="34"/>
    </row>
    <row r="15" spans="1:26" ht="15" customHeight="1">
      <c r="A15" s="38" t="s">
        <v>29</v>
      </c>
      <c r="B15" s="22">
        <f>'Bach et al. (2025)'!C16 - 'Bach et al. (2025)'!C17</f>
        <v>34050</v>
      </c>
      <c r="C15" s="24">
        <f>('Bach et al. (2025)'!F16-'Bach et al. (2025)'!F17)/100</f>
        <v>2.8800000000000003E-2</v>
      </c>
      <c r="D15" s="51">
        <f>('Bach et al. (2025)'!C16*'Bach et al. (2025)'!E16 - 'Bach et al. (2025)'!E17*'Bach et al. (2025)'!C17)/('Bach et al. (2025)'!C16-'Bach et al. (2025)'!C17)</f>
        <v>1052864.3171806168</v>
      </c>
      <c r="E15" s="51">
        <f>'Bach et al. (2025)'!D16</f>
        <v>626000</v>
      </c>
      <c r="F15" s="270">
        <f xml:space="preserve"> SUMPRODUCT('Bach et al. (2025)'!AA22:AA30, 'Bach et al. (2025)'!I22:I30)/ SUM('Bach et al. (2025)'!I22:I30)</f>
        <v>0.53664254480274576</v>
      </c>
      <c r="G15" s="269">
        <f>(SUMPRODUCT('Bach et al. (2025)'!K22:K30,'Bach et al. (2025)'!I22:I30) + SUMPRODUCT('Bach et al. (2025)'!L22:L30,'Bach et al. (2025)'!I22:I30) + SUMPRODUCT('Bach et al. (2025)'!N22:N30,'Bach et al. (2025)'!I22:I30)  + SUMPRODUCT('Bach et al. (2025)'!X22:X30,'Bach et al. (2025)'!I22:I30) )/SUM('Bach et al. (2025)'!I22:I30)</f>
        <v>0.23590773894193987</v>
      </c>
      <c r="H15" s="96">
        <v>0.108</v>
      </c>
      <c r="I15" s="96">
        <f>WID!O6</f>
        <v>5.1621534096552013E-2</v>
      </c>
      <c r="J15" s="96">
        <f>WID!O37</f>
        <v>5.3136388737166973E-2</v>
      </c>
      <c r="K15" s="96">
        <f>WID!O$66</f>
        <v>5.452234777918008E-3</v>
      </c>
      <c r="L15" s="152">
        <f t="shared" ref="L15:L18" si="4">H15*G15</f>
        <v>2.5478035805729504E-2</v>
      </c>
      <c r="M15" s="159">
        <f t="shared" si="3"/>
        <v>1656180.4068797808</v>
      </c>
      <c r="N15" s="159">
        <f t="shared" si="3"/>
        <v>997552.82991401909</v>
      </c>
      <c r="O15" s="89">
        <f t="shared" ref="O15:O18" si="5">(N15/H15)/1000000</f>
        <v>9.23660027698166</v>
      </c>
      <c r="P15" s="98">
        <f>M15/(M15-N15)</f>
        <v>2.5145931704069477</v>
      </c>
      <c r="Q15" s="98">
        <f t="shared" ref="Q15:Q17" si="6">P15*(1-(N15/N16)^(P15-1))</f>
        <v>2.2606245337993567</v>
      </c>
      <c r="R15" s="99">
        <f>MIN(1,MAX((M$22^(-Q15+1)-O16^(-Q15+1))/(O15^(-Q15+1)-O16^(-Q15+1)),0))</f>
        <v>0</v>
      </c>
      <c r="S15" s="162">
        <f>MIN(1,MAX((M$22^(-Q15)-O16^(-Q15))/(O15^(-Q15)-O16^(-Q15)),0))*B15*(1+K15)^9</f>
        <v>0</v>
      </c>
      <c r="T15" s="64">
        <f t="shared" si="0"/>
        <v>0.53664254480274576</v>
      </c>
      <c r="U15" s="65">
        <f>F15+MAX(0,M$23/H15-G15)*R15</f>
        <v>0.53664254480274576</v>
      </c>
      <c r="V15" s="164">
        <f>(U15-T15)*M15*B15*(1+K15)^9/1000000</f>
        <v>0</v>
      </c>
      <c r="W15" s="37"/>
      <c r="X15" s="40"/>
      <c r="Y15" s="34"/>
    </row>
    <row r="16" spans="1:26" ht="15" customHeight="1">
      <c r="A16" s="38" t="s">
        <v>8</v>
      </c>
      <c r="B16" s="22">
        <f>'Bach et al. (2025)'!C17 - 'Bach et al. (2025)'!C18</f>
        <v>3405</v>
      </c>
      <c r="C16" s="24">
        <f>('Bach et al. (2025)'!F17-'Bach et al. (2025)'!F18)/100</f>
        <v>1.34E-2</v>
      </c>
      <c r="D16" s="54">
        <f>('Bach et al. (2025)'!C17*'Bach et al. (2025)'!E17 - 'Bach et al. (2025)'!E18*'Bach et al. (2025)'!C18)/('Bach et al. (2025)'!C17-'Bach et al. (2025)'!C18)</f>
        <v>4892164.7577092508</v>
      </c>
      <c r="E16" s="51">
        <f>'Bach et al. (2025)'!D17</f>
        <v>2592000</v>
      </c>
      <c r="F16" s="96">
        <f xml:space="preserve"> SUMPRODUCT('Bach et al. (2025)'!AA31:AA39,'Bach et al. (2025)'!I31:I39)/SUM('Bach et al. (2025)'!I31:I39)</f>
        <v>0.45859222435220254</v>
      </c>
      <c r="G16" s="96">
        <f>(SUMPRODUCT('Bach et al. (2025)'!K31:K39,'Bach et al. (2025)'!I31:I39) +SUMPRODUCT('Bach et al. (2025)'!L31:L39,'Bach et al. (2025)'!I31:I39) + SUMPRODUCT('Bach et al. (2025)'!N31:N39,'Bach et al. (2025)'!I31:I39) + + SUMPRODUCT('Bach et al. (2025)'!X31:X39,'Bach et al. (2025)'!I31:I39))/SUM('Bach et al. (2025)'!I31:I39)</f>
        <v>0.16326935047832869</v>
      </c>
      <c r="H16" s="96">
        <v>8.3000000000000004E-2</v>
      </c>
      <c r="I16" s="96">
        <f>WID!O7</f>
        <v>6.7228318747607929E-2</v>
      </c>
      <c r="J16" s="96">
        <f>WID!O38</f>
        <v>6.406053093993247E-2</v>
      </c>
      <c r="K16" s="96">
        <f>WID!O$66</f>
        <v>5.452234777918008E-3</v>
      </c>
      <c r="L16" s="152">
        <f t="shared" si="4"/>
        <v>1.3551356089701282E-2</v>
      </c>
      <c r="M16" s="159">
        <f t="shared" si="3"/>
        <v>8786524.8313944284</v>
      </c>
      <c r="N16" s="159">
        <f t="shared" si="3"/>
        <v>4532439.3935598843</v>
      </c>
      <c r="O16" s="89">
        <f t="shared" si="5"/>
        <v>54.607703536866076</v>
      </c>
      <c r="P16" s="98">
        <f>M16/(M16-N16)</f>
        <v>2.0654321498223203</v>
      </c>
      <c r="Q16" s="98">
        <f t="shared" si="6"/>
        <v>1.8302844816851287</v>
      </c>
      <c r="R16" s="99">
        <f>MIN(1,MAX((M$22^(-Q16+1)-O17^(-Q16+1))/(O16^(-Q16+1)-O17^(-Q16+1)),0))</f>
        <v>0.52585225635814559</v>
      </c>
      <c r="S16" s="162">
        <f>MIN(1,MAX((M$22^(-Q16)-O17^(-Q16))/(O16^(-Q16)-O17^(-Q16)),0))*B16*(1+K16)^9</f>
        <v>1134.2491891316806</v>
      </c>
      <c r="T16" s="64">
        <f t="shared" si="0"/>
        <v>0.45859222435220254</v>
      </c>
      <c r="U16" s="65">
        <f>F16+MAX(0,M$23/H16-G16)*R16</f>
        <v>0.49944805508329648</v>
      </c>
      <c r="V16" s="164">
        <f>(U16-T16)*M16*B16*(1+K16)^9/1000000</f>
        <v>1283.6342491406804</v>
      </c>
      <c r="W16" s="37"/>
      <c r="X16" s="40"/>
      <c r="Y16" s="34"/>
    </row>
    <row r="17" spans="1:25" s="85" customFormat="1" ht="15" customHeight="1">
      <c r="A17" s="38" t="s">
        <v>193</v>
      </c>
      <c r="B17" s="22">
        <f>'Bach et al. (2025)'!C18 - 'Bach et al. (2025)'!C19</f>
        <v>303</v>
      </c>
      <c r="C17" s="24">
        <f>('Bach et al. (2025)'!F18-'Bach et al. (2025)'!F19)/100</f>
        <v>6.5999999999999991E-3</v>
      </c>
      <c r="D17" s="54">
        <f>('Bach et al. (2025)'!C18*'Bach et al. (2025)'!E18 - 'Bach et al. (2025)'!E19*'Bach et al. (2025)'!C19)/('Bach et al. (2025)'!C18-'Bach et al. (2025)'!C19)</f>
        <v>27015277.227722771</v>
      </c>
      <c r="E17" s="51">
        <f>'Bach et al. (2025)'!D18</f>
        <v>14876000</v>
      </c>
      <c r="F17" s="96">
        <f xml:space="preserve"> AVERAGE('Bach et al. (2025)'!AA40:AA44)</f>
        <v>0.32722838847721719</v>
      </c>
      <c r="G17" s="96">
        <f xml:space="preserve"> AVERAGE('Bach et al. (2025)'!K40:K44) + AVERAGE('Bach et al. (2025)'!L40:L44) + AVERAGE('Bach et al. (2025)'!N40:N44) + + AVERAGE('Bach et al. (2025)'!X40:X44)</f>
        <v>7.3443388477217139E-2</v>
      </c>
      <c r="H17" s="96">
        <v>7.3999999999999996E-2</v>
      </c>
      <c r="I17" s="96">
        <f>WID!O8</f>
        <v>0.10834128077179117</v>
      </c>
      <c r="J17" s="96">
        <f>WID!O39</f>
        <v>9.9163811673651514E-2</v>
      </c>
      <c r="K17" s="96">
        <f>WID!O$66</f>
        <v>5.452234777918008E-3</v>
      </c>
      <c r="L17" s="152">
        <f t="shared" si="4"/>
        <v>5.4348107473140683E-3</v>
      </c>
      <c r="M17" s="159">
        <f t="shared" si="3"/>
        <v>68182199.988809556</v>
      </c>
      <c r="N17" s="159">
        <f t="shared" si="3"/>
        <v>34837578.696328811</v>
      </c>
      <c r="O17" s="89">
        <f t="shared" si="5"/>
        <v>470.77809049092991</v>
      </c>
      <c r="P17" s="98">
        <f>M17/(M17-N17)</f>
        <v>2.0447735600519397</v>
      </c>
      <c r="Q17" s="98">
        <f t="shared" si="6"/>
        <v>1.5809387611677876</v>
      </c>
      <c r="R17" s="99">
        <f>MIN(1,MAX((M$22^(-Q17+1)-O18^(-Q17+1))/(O17^(-Q17+1)-O18^(-Q17+1)),0))</f>
        <v>1</v>
      </c>
      <c r="S17" s="162">
        <f>MIN(1,MAX((M$22^(-Q17)-O18^(-Q17))/(O17^(-Q17)-O18^(-Q17)),0))*B17*(1+K17)^9</f>
        <v>318.19666399993014</v>
      </c>
      <c r="T17" s="64">
        <f t="shared" si="0"/>
        <v>0.32722838847721719</v>
      </c>
      <c r="U17" s="65">
        <f>F17+MAX(0,M$23/H17-G17)*R17</f>
        <v>0.52405527027027032</v>
      </c>
      <c r="V17" s="164">
        <f>(U17-T17)*M17*B17*(1+K17)^9/1000000</f>
        <v>4270.2278105358464</v>
      </c>
      <c r="W17" s="37"/>
      <c r="X17" s="40"/>
      <c r="Y17" s="34"/>
    </row>
    <row r="18" spans="1:25" ht="15" customHeight="1">
      <c r="A18" s="38" t="s">
        <v>195</v>
      </c>
      <c r="B18" s="22">
        <f>'Bach et al. (2025)'!C19</f>
        <v>75</v>
      </c>
      <c r="C18" s="24">
        <f>'Bach et al. (2025)'!F19/100</f>
        <v>1.3100000000000001E-2</v>
      </c>
      <c r="D18" s="74">
        <f>'Bach et al. (2025)'!E19</f>
        <v>217289000</v>
      </c>
      <c r="E18" s="51">
        <f>'Bach et al. (2025)'!D19</f>
        <v>61540000</v>
      </c>
      <c r="F18" s="96">
        <f>'Bach et al. (2025)'!AA45</f>
        <v>0.25752106750339704</v>
      </c>
      <c r="G18" s="96">
        <f xml:space="preserve"> 'Bach et al. (2025)'!K45 + 'Bach et al. (2025)'!L45 + 'Bach et al. (2025)'!N45 + 'Bach et al. (2025)'!X45</f>
        <v>2.1091067503397044E-2</v>
      </c>
      <c r="H18" s="96">
        <v>7.0000000000000007E-2</v>
      </c>
      <c r="I18" s="96">
        <f>WID!O8</f>
        <v>0.10834128077179117</v>
      </c>
      <c r="J18" s="96">
        <f>WID!O39</f>
        <v>9.9163811673651514E-2</v>
      </c>
      <c r="K18" s="96">
        <f>WID!O$66</f>
        <v>5.452234777918008E-3</v>
      </c>
      <c r="L18" s="152">
        <f t="shared" si="4"/>
        <v>1.4763747252377933E-3</v>
      </c>
      <c r="M18" s="160">
        <f t="shared" si="3"/>
        <v>548402369.83262217</v>
      </c>
      <c r="N18" s="160">
        <f t="shared" si="3"/>
        <v>144118351.23501444</v>
      </c>
      <c r="O18" s="89">
        <f t="shared" si="5"/>
        <v>2058.8335890716344</v>
      </c>
      <c r="P18" s="98">
        <f>M18/(M18-N18)</f>
        <v>1.3564779823227651</v>
      </c>
      <c r="Q18" s="98"/>
      <c r="R18" s="99">
        <f>IF(M$22&lt;=O18, 1, (O18/M$22)^(P18-1))</f>
        <v>1</v>
      </c>
      <c r="S18" s="163">
        <f>IF(M$22&lt;=O18, 1, (O18/M$22)^P18)*B18*(1+K18)^9</f>
        <v>78.761550495032225</v>
      </c>
      <c r="T18" s="64">
        <v>0.26</v>
      </c>
      <c r="U18" s="65">
        <f>T18+MAX(0,M$23/H18-G18)*R18</f>
        <v>0.52462321821088864</v>
      </c>
      <c r="V18" s="164">
        <f>(U18-T18)*M18*B18*(1+K18)^9/1000000</f>
        <v>11429.876206231269</v>
      </c>
      <c r="W18" s="37"/>
      <c r="X18" s="40"/>
      <c r="Y18" s="34"/>
    </row>
    <row r="19" spans="1:25" ht="15" customHeight="1">
      <c r="A19" s="38"/>
      <c r="F19" s="271"/>
      <c r="G19" s="272"/>
      <c r="H19" s="94"/>
      <c r="Q19" s="97"/>
      <c r="R19" s="97"/>
      <c r="S19" s="72">
        <f>SUM(S14:S18)</f>
        <v>1531.2074036266431</v>
      </c>
      <c r="V19" s="72">
        <f>SUM(V14:V18)</f>
        <v>16983.738265907796</v>
      </c>
      <c r="W19" s="37"/>
      <c r="X19" s="40"/>
      <c r="Y19" s="34"/>
    </row>
    <row r="20" spans="1:25" ht="15" customHeight="1">
      <c r="B20" s="6" t="s">
        <v>337</v>
      </c>
      <c r="C20" s="6"/>
      <c r="D20" s="6"/>
      <c r="E20" s="6"/>
      <c r="F20" s="6"/>
      <c r="G20" s="6"/>
      <c r="H20" s="95"/>
      <c r="V20" s="46"/>
      <c r="W20" s="37"/>
      <c r="X20" s="40"/>
      <c r="Y20" s="33"/>
    </row>
    <row r="21" spans="1:25" ht="15" customHeight="1">
      <c r="B21" t="s">
        <v>340</v>
      </c>
      <c r="G21" s="34"/>
      <c r="L21" s="276" t="s">
        <v>60</v>
      </c>
      <c r="M21" s="276"/>
      <c r="T21" s="276" t="s">
        <v>207</v>
      </c>
      <c r="U21" s="276"/>
      <c r="V21" s="276"/>
      <c r="W21" s="37"/>
      <c r="X21" s="40"/>
      <c r="Y21" s="33"/>
    </row>
    <row r="22" spans="1:25" ht="15" customHeight="1">
      <c r="B22" t="s">
        <v>343</v>
      </c>
      <c r="G22" s="34"/>
      <c r="L22" s="38" t="s">
        <v>57</v>
      </c>
      <c r="M22" s="3">
        <v>100</v>
      </c>
      <c r="T22" s="119">
        <f>+V19</f>
        <v>16983.738265907796</v>
      </c>
      <c r="U22" s="5">
        <v>0.02</v>
      </c>
      <c r="V22" s="5">
        <v>0.03</v>
      </c>
      <c r="W22" s="37"/>
      <c r="X22" s="40"/>
      <c r="Y22" s="33"/>
    </row>
    <row r="23" spans="1:25" ht="15" customHeight="1">
      <c r="D23" s="31"/>
      <c r="E23" s="31"/>
      <c r="F23" s="31"/>
      <c r="G23" s="34"/>
      <c r="I23" s="107"/>
      <c r="L23" s="38" t="s">
        <v>58</v>
      </c>
      <c r="M23" s="9">
        <v>0.02</v>
      </c>
      <c r="T23" s="22">
        <v>100</v>
      </c>
      <c r="U23" s="66">
        <f t="dataTable" ref="U23:V24" dt2D="1" dtr="1" r1="M23" r2="M22"/>
        <v>16983.738265907796</v>
      </c>
      <c r="V23" s="66">
        <v>28076.522816203</v>
      </c>
      <c r="W23" s="37"/>
      <c r="X23" s="40"/>
      <c r="Y23" s="33"/>
    </row>
    <row r="24" spans="1:25" ht="15" customHeight="1">
      <c r="D24" s="3"/>
      <c r="E24" s="3"/>
      <c r="F24" s="10"/>
      <c r="G24" s="32"/>
      <c r="I24" s="107"/>
      <c r="T24" s="22">
        <v>1000</v>
      </c>
      <c r="U24" s="66">
        <v>13070.686827883683</v>
      </c>
      <c r="V24" s="66">
        <v>20367.647263003084</v>
      </c>
      <c r="W24" s="40"/>
      <c r="X24" s="40"/>
      <c r="Y24" s="33"/>
    </row>
    <row r="25" spans="1:25" ht="14.4" customHeight="1">
      <c r="D25" s="9"/>
      <c r="E25" s="9"/>
      <c r="F25" s="9"/>
      <c r="G25" s="32"/>
      <c r="I25" s="107"/>
      <c r="W25" s="40"/>
      <c r="X25" s="40"/>
      <c r="Y25" s="33"/>
    </row>
    <row r="26" spans="1:25">
      <c r="A26" s="36"/>
      <c r="B26" s="35"/>
      <c r="C26" s="35"/>
      <c r="D26" s="35"/>
      <c r="E26" s="197"/>
      <c r="F26" s="35"/>
      <c r="G26" s="32"/>
      <c r="H26" s="26"/>
      <c r="I26" s="107"/>
      <c r="W26" s="40"/>
      <c r="X26" s="40"/>
      <c r="Y26" s="33"/>
    </row>
    <row r="27" spans="1:25">
      <c r="A27" s="43"/>
      <c r="B27" s="43"/>
      <c r="C27" s="43"/>
      <c r="D27" s="43"/>
      <c r="E27" s="43"/>
      <c r="F27" s="43"/>
      <c r="G27" s="43"/>
      <c r="H27" s="26"/>
      <c r="I27" s="107"/>
      <c r="K27" s="43"/>
      <c r="L27" s="43"/>
      <c r="M27" s="43"/>
      <c r="N27" s="43"/>
      <c r="O27" s="43"/>
      <c r="P27" s="43"/>
      <c r="Q27" s="43"/>
      <c r="R27" s="43"/>
      <c r="S27" s="43"/>
      <c r="T27" s="43"/>
      <c r="U27" s="43"/>
      <c r="V27" s="43"/>
    </row>
    <row r="28" spans="1:25">
      <c r="D28" s="81"/>
      <c r="H28" s="26"/>
      <c r="I28" s="107"/>
    </row>
    <row r="29" spans="1:25">
      <c r="B29" s="202"/>
    </row>
    <row r="30" spans="1:25">
      <c r="A30" s="41"/>
      <c r="B30" s="43"/>
      <c r="C30" s="187"/>
      <c r="D30" s="43"/>
      <c r="E30" s="43"/>
      <c r="F30" s="43"/>
      <c r="G30" s="43"/>
      <c r="H30" s="43"/>
      <c r="I30" s="43"/>
      <c r="J30" s="43"/>
      <c r="K30" s="43"/>
      <c r="L30" s="43"/>
      <c r="M30" s="43"/>
      <c r="N30" s="43"/>
      <c r="O30" s="43"/>
      <c r="P30" s="43"/>
      <c r="Q30" s="43"/>
      <c r="R30" s="43"/>
      <c r="S30" s="43"/>
      <c r="T30" s="43"/>
      <c r="U30" s="43"/>
      <c r="V30" s="43"/>
    </row>
    <row r="31" spans="1:25">
      <c r="A31" s="43"/>
      <c r="B31" s="43"/>
      <c r="C31" s="43"/>
      <c r="D31" s="43"/>
      <c r="E31" s="43"/>
      <c r="F31" s="43"/>
      <c r="G31" s="43"/>
      <c r="H31" s="43"/>
      <c r="I31" s="43"/>
      <c r="J31" s="43"/>
      <c r="K31" s="43"/>
      <c r="L31" s="43"/>
      <c r="M31" s="43"/>
      <c r="N31" s="43"/>
      <c r="O31" s="43"/>
      <c r="P31" s="43"/>
      <c r="Q31" s="43"/>
      <c r="R31" s="43"/>
      <c r="S31" s="43"/>
      <c r="T31" s="43"/>
      <c r="U31" s="43"/>
      <c r="V31" s="43"/>
    </row>
    <row r="32" spans="1:25">
      <c r="A32" s="43"/>
      <c r="B32" s="43"/>
      <c r="C32" s="43"/>
      <c r="D32" s="43"/>
      <c r="E32" s="43"/>
      <c r="F32" s="43"/>
      <c r="G32" s="43"/>
      <c r="V32" s="43"/>
    </row>
    <row r="33" spans="1:22">
      <c r="A33" s="43"/>
      <c r="B33" s="43"/>
      <c r="C33" s="43"/>
      <c r="D33" s="43"/>
      <c r="E33" s="43"/>
      <c r="F33" s="43"/>
      <c r="G33" s="43"/>
      <c r="H33" s="47"/>
      <c r="I33" s="47"/>
      <c r="J33" s="47"/>
      <c r="K33" s="47"/>
      <c r="L33" s="47"/>
      <c r="M33" s="47"/>
      <c r="N33" s="47"/>
      <c r="O33" s="47"/>
      <c r="P33" s="47"/>
      <c r="Q33" s="47"/>
      <c r="R33" s="47"/>
      <c r="S33" s="47"/>
      <c r="T33" s="47"/>
      <c r="U33" s="47"/>
      <c r="V33" s="43"/>
    </row>
    <row r="34" spans="1:22">
      <c r="H34" s="43"/>
      <c r="I34" s="43"/>
      <c r="J34" s="43"/>
      <c r="K34" s="43"/>
      <c r="L34" s="43"/>
      <c r="M34" s="43"/>
      <c r="N34" s="43"/>
      <c r="O34" s="43"/>
      <c r="P34" s="43"/>
      <c r="Q34" s="43"/>
      <c r="R34" s="43"/>
      <c r="S34" s="43"/>
      <c r="T34" s="43"/>
      <c r="U34" s="43"/>
    </row>
  </sheetData>
  <mergeCells count="6">
    <mergeCell ref="W2:Y2"/>
    <mergeCell ref="B2:G2"/>
    <mergeCell ref="T21:V21"/>
    <mergeCell ref="H2:K2"/>
    <mergeCell ref="L2:V2"/>
    <mergeCell ref="L21:M21"/>
  </mergeCells>
  <pageMargins left="0.7" right="0.7" top="0.75" bottom="0.75" header="0.3" footer="0.3"/>
  <pageSetup paperSize="9" orientation="portrait" r:id="rId1"/>
  <ignoredErrors>
    <ignoredError sqref="G4 G9 G15:G18 F14:F18"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5188E-3A99-448A-8F7F-E68564FA703B}">
  <sheetPr>
    <tabColor theme="5"/>
  </sheetPr>
  <dimension ref="A1:V34"/>
  <sheetViews>
    <sheetView zoomScaleNormal="100" workbookViewId="0">
      <selection activeCell="F6" sqref="F6"/>
    </sheetView>
  </sheetViews>
  <sheetFormatPr baseColWidth="10" defaultRowHeight="14.4"/>
  <cols>
    <col min="2" max="2" width="11.44140625" customWidth="1"/>
    <col min="3" max="3" width="11.44140625" style="85" customWidth="1"/>
    <col min="4" max="6" width="11.44140625" customWidth="1"/>
    <col min="9" max="10" width="11.44140625" style="85"/>
    <col min="12" max="12" width="11.44140625" style="85"/>
    <col min="15" max="17" width="11.44140625" style="85"/>
    <col min="19" max="19" width="11.44140625" style="85"/>
  </cols>
  <sheetData>
    <row r="1" spans="1:22" ht="15" customHeight="1">
      <c r="L1" s="29"/>
    </row>
    <row r="2" spans="1:22" ht="15" customHeight="1">
      <c r="A2" s="28"/>
      <c r="B2" s="275" t="s">
        <v>133</v>
      </c>
      <c r="C2" s="275"/>
      <c r="D2" s="275"/>
      <c r="E2" s="275"/>
      <c r="F2" s="275"/>
      <c r="G2" s="275"/>
      <c r="H2" s="277" t="s">
        <v>126</v>
      </c>
      <c r="I2" s="277"/>
      <c r="J2" s="277"/>
      <c r="K2" s="277"/>
      <c r="L2" s="278" t="s">
        <v>132</v>
      </c>
      <c r="M2" s="278"/>
      <c r="N2" s="278"/>
      <c r="O2" s="278"/>
      <c r="P2" s="278"/>
      <c r="Q2" s="278"/>
      <c r="R2" s="278"/>
      <c r="S2" s="278"/>
      <c r="T2" s="278"/>
      <c r="U2" s="278"/>
      <c r="V2" s="278"/>
    </row>
    <row r="3" spans="1:22" ht="45" customHeight="1">
      <c r="A3" s="39" t="s">
        <v>7</v>
      </c>
      <c r="B3" s="45" t="s">
        <v>175</v>
      </c>
      <c r="C3" s="45" t="s">
        <v>93</v>
      </c>
      <c r="D3" s="77" t="s">
        <v>17</v>
      </c>
      <c r="E3" s="77" t="s">
        <v>16</v>
      </c>
      <c r="F3" s="42" t="s">
        <v>54</v>
      </c>
      <c r="G3" s="42" t="s">
        <v>55</v>
      </c>
      <c r="H3" s="75" t="s">
        <v>59</v>
      </c>
      <c r="I3" s="161" t="s">
        <v>272</v>
      </c>
      <c r="J3" s="161" t="s">
        <v>273</v>
      </c>
      <c r="K3" s="161" t="s">
        <v>271</v>
      </c>
      <c r="L3" s="150" t="s">
        <v>274</v>
      </c>
      <c r="M3" s="77" t="s">
        <v>17</v>
      </c>
      <c r="N3" s="77" t="s">
        <v>16</v>
      </c>
      <c r="O3" s="105" t="s">
        <v>178</v>
      </c>
      <c r="P3" s="39" t="s">
        <v>176</v>
      </c>
      <c r="Q3" s="39" t="s">
        <v>177</v>
      </c>
      <c r="R3" s="39" t="s">
        <v>137</v>
      </c>
      <c r="S3" s="39" t="s">
        <v>174</v>
      </c>
      <c r="T3" s="105" t="s">
        <v>128</v>
      </c>
      <c r="U3" s="39" t="s">
        <v>127</v>
      </c>
      <c r="V3" s="105" t="s">
        <v>179</v>
      </c>
    </row>
    <row r="4" spans="1:22" ht="15" customHeight="1">
      <c r="A4" s="38" t="s">
        <v>18</v>
      </c>
      <c r="B4" s="112">
        <f>'Bruil et al. (2025)'!J5/5</f>
        <v>1333236.8</v>
      </c>
      <c r="C4" s="20">
        <f>'Bruil et al. (2025)'!$M$5*('Bach et al. (2025)'!F4-'Bach et al. (2025)'!F5)/('Bach et al. (2025)'!$F$4-'Bach et al. (2025)'!$F$9)</f>
        <v>1.8948296122209887E-3</v>
      </c>
      <c r="D4" s="62"/>
      <c r="E4" s="62"/>
      <c r="G4" s="8"/>
      <c r="H4" s="22"/>
      <c r="I4" s="22"/>
      <c r="J4" s="22"/>
      <c r="K4" s="22"/>
      <c r="L4" s="151"/>
      <c r="M4" s="76"/>
      <c r="N4" s="76"/>
      <c r="P4" s="5"/>
      <c r="Q4" s="5"/>
      <c r="R4" s="5"/>
      <c r="S4" s="5"/>
      <c r="T4" s="64"/>
      <c r="U4" s="65"/>
      <c r="V4" s="85"/>
    </row>
    <row r="5" spans="1:22" s="85" customFormat="1" ht="15" customHeight="1">
      <c r="A5" s="38" t="s">
        <v>19</v>
      </c>
      <c r="B5" s="112">
        <f>'Bruil et al. (2025)'!J5/5</f>
        <v>1333236.8</v>
      </c>
      <c r="C5" s="20">
        <f>'Bruil et al. (2025)'!$M$5*('Bach et al. (2025)'!F5-'Bach et al. (2025)'!F6)/('Bach et al. (2025)'!$F$4-'Bach et al. (2025)'!$F$9)</f>
        <v>2.6527614571092768E-2</v>
      </c>
      <c r="D5" s="62"/>
      <c r="E5" s="62"/>
      <c r="F5" s="20">
        <f>'Bruil et al. (2025)'!G4</f>
        <v>0.5066480362196637</v>
      </c>
      <c r="G5" s="8"/>
      <c r="H5" s="22"/>
      <c r="I5" s="22"/>
      <c r="J5" s="22"/>
      <c r="K5" s="22"/>
      <c r="L5" s="151"/>
      <c r="M5" s="76"/>
      <c r="N5" s="76"/>
      <c r="P5" s="5"/>
      <c r="Q5" s="5"/>
      <c r="R5" s="5"/>
      <c r="S5" s="5"/>
      <c r="T5" s="111">
        <f t="shared" ref="T5:T17" si="0">F5</f>
        <v>0.5066480362196637</v>
      </c>
      <c r="U5" s="60">
        <f>T5</f>
        <v>0.5066480362196637</v>
      </c>
    </row>
    <row r="6" spans="1:22" s="85" customFormat="1" ht="15" customHeight="1">
      <c r="A6" s="38" t="s">
        <v>20</v>
      </c>
      <c r="B6" s="112">
        <f>'Bruil et al. (2025)'!J5/5</f>
        <v>1333236.8</v>
      </c>
      <c r="C6" s="20">
        <f>'Bruil et al. (2025)'!$M$5*('Bach et al. (2025)'!F6-'Bach et al. (2025)'!F7)/('Bach et al. (2025)'!$F$4-'Bach et al. (2025)'!$F$9)</f>
        <v>4.68654524089306E-2</v>
      </c>
      <c r="D6" s="62"/>
      <c r="E6" s="62"/>
      <c r="F6" s="20">
        <f>'Bruil et al. (2025)'!G5</f>
        <v>0.45769898635449813</v>
      </c>
      <c r="G6" s="8"/>
      <c r="H6" s="22"/>
      <c r="I6" s="22"/>
      <c r="J6" s="22"/>
      <c r="K6" s="22"/>
      <c r="L6" s="151"/>
      <c r="M6" s="76"/>
      <c r="N6" s="76"/>
      <c r="P6" s="5"/>
      <c r="Q6" s="5"/>
      <c r="R6" s="5"/>
      <c r="S6" s="5"/>
      <c r="T6" s="111">
        <f t="shared" si="0"/>
        <v>0.45769898635449813</v>
      </c>
      <c r="U6" s="60">
        <f t="shared" ref="U6:U8" si="1">T6</f>
        <v>0.45769898635449813</v>
      </c>
    </row>
    <row r="7" spans="1:22" s="85" customFormat="1" ht="15" customHeight="1">
      <c r="A7" s="38" t="s">
        <v>21</v>
      </c>
      <c r="B7" s="112">
        <f>'Bruil et al. (2025)'!J5/5</f>
        <v>1333236.8</v>
      </c>
      <c r="C7" s="20">
        <f>'Bruil et al. (2025)'!$M$5*('Bach et al. (2025)'!F7-'Bach et al. (2025)'!F8)/('Bach et al. (2025)'!$F$4-'Bach et al. (2025)'!$F$9)</f>
        <v>6.1392479435957707E-2</v>
      </c>
      <c r="D7" s="62"/>
      <c r="E7" s="62"/>
      <c r="F7" s="20">
        <f>'Bruil et al. (2025)'!G6</f>
        <v>0.45706849211498607</v>
      </c>
      <c r="G7" s="8"/>
      <c r="H7" s="22"/>
      <c r="I7" s="22"/>
      <c r="J7" s="22"/>
      <c r="K7" s="22"/>
      <c r="L7" s="151"/>
      <c r="M7" s="76"/>
      <c r="N7" s="76"/>
      <c r="P7" s="5"/>
      <c r="Q7" s="5"/>
      <c r="R7" s="5"/>
      <c r="S7" s="5"/>
      <c r="T7" s="111">
        <f t="shared" si="0"/>
        <v>0.45706849211498607</v>
      </c>
      <c r="U7" s="60">
        <f t="shared" si="1"/>
        <v>0.45706849211498607</v>
      </c>
    </row>
    <row r="8" spans="1:22" s="85" customFormat="1" ht="15" customHeight="1">
      <c r="A8" s="38" t="s">
        <v>22</v>
      </c>
      <c r="B8" s="112">
        <f>'Bruil et al. (2025)'!J5/5</f>
        <v>1333236.8</v>
      </c>
      <c r="C8" s="20">
        <f>'Bruil et al. (2025)'!$M$5*('Bach et al. (2025)'!F8-'Bach et al. (2025)'!F9)/('Bach et al. (2025)'!$F$4-'Bach et al. (2025)'!$F$9)</f>
        <v>7.8319623971797939E-2</v>
      </c>
      <c r="D8" s="62"/>
      <c r="E8" s="62"/>
      <c r="F8" s="20">
        <f>'Bruil et al. (2025)'!G7</f>
        <v>0.46145334091653567</v>
      </c>
      <c r="G8" s="8"/>
      <c r="H8" s="22"/>
      <c r="I8" s="22"/>
      <c r="J8" s="22"/>
      <c r="K8" s="22"/>
      <c r="L8" s="151"/>
      <c r="M8" s="76"/>
      <c r="N8" s="76"/>
      <c r="P8" s="5"/>
      <c r="Q8" s="5"/>
      <c r="R8" s="5"/>
      <c r="S8" s="5"/>
      <c r="T8" s="111">
        <f t="shared" si="0"/>
        <v>0.46145334091653567</v>
      </c>
      <c r="U8" s="60">
        <f t="shared" si="1"/>
        <v>0.46145334091653567</v>
      </c>
    </row>
    <row r="9" spans="1:22" ht="15" customHeight="1">
      <c r="A9" s="38" t="s">
        <v>23</v>
      </c>
      <c r="B9" s="112">
        <f>'Bruil et al. (2025)'!J6/4</f>
        <v>1333236.75</v>
      </c>
      <c r="C9" s="20">
        <f>'Bruil et al. (2025)'!$M$6*('Bach et al. (2025)'!F9-'Bach et al. (2025)'!F10)/('Bach et al. (2025)'!$F$9-'Bach et al. (2025)'!$F$13)</f>
        <v>7.231404583616971E-2</v>
      </c>
      <c r="D9" s="62"/>
      <c r="E9" s="62"/>
      <c r="F9" s="20">
        <f>'Bruil et al. (2025)'!G8</f>
        <v>0.46669341193504599</v>
      </c>
      <c r="G9" s="8"/>
      <c r="H9" s="22"/>
      <c r="I9" s="22"/>
      <c r="J9" s="22"/>
      <c r="K9" s="22"/>
      <c r="L9" s="151"/>
      <c r="M9" s="76"/>
      <c r="N9" s="76"/>
      <c r="P9" s="5"/>
      <c r="Q9" s="5"/>
      <c r="R9" s="5"/>
      <c r="S9" s="5"/>
      <c r="T9" s="111">
        <f t="shared" si="0"/>
        <v>0.46669341193504599</v>
      </c>
      <c r="U9" s="60">
        <f>T9</f>
        <v>0.46669341193504599</v>
      </c>
      <c r="V9" s="85"/>
    </row>
    <row r="10" spans="1:22" s="85" customFormat="1" ht="15" customHeight="1">
      <c r="A10" s="38" t="s">
        <v>24</v>
      </c>
      <c r="B10" s="112">
        <f>'Bruil et al. (2025)'!J6/4</f>
        <v>1333236.75</v>
      </c>
      <c r="C10" s="20">
        <f>'Bruil et al. (2025)'!$M$6*('Bach et al. (2025)'!F10-'Bach et al. (2025)'!F11)/('Bach et al. (2025)'!$F$9-'Bach et al. (2025)'!$F$13)</f>
        <v>8.9901293396868656E-2</v>
      </c>
      <c r="D10" s="62"/>
      <c r="E10" s="62"/>
      <c r="F10" s="20">
        <f>'Bruil et al. (2025)'!G9</f>
        <v>0.4742014576072241</v>
      </c>
      <c r="G10" s="8"/>
      <c r="H10" s="22"/>
      <c r="I10" s="22"/>
      <c r="J10" s="22"/>
      <c r="K10" s="22"/>
      <c r="L10" s="151"/>
      <c r="M10" s="76"/>
      <c r="N10" s="76"/>
      <c r="P10" s="5"/>
      <c r="Q10" s="5"/>
      <c r="R10" s="5"/>
      <c r="S10" s="5"/>
      <c r="T10" s="111">
        <f t="shared" si="0"/>
        <v>0.4742014576072241</v>
      </c>
      <c r="U10" s="60">
        <f t="shared" ref="U10:U12" si="2">T10</f>
        <v>0.4742014576072241</v>
      </c>
    </row>
    <row r="11" spans="1:22" s="85" customFormat="1" ht="15" customHeight="1">
      <c r="A11" s="38" t="s">
        <v>25</v>
      </c>
      <c r="B11" s="112">
        <f>'Bruil et al. (2025)'!J6/4</f>
        <v>1333236.75</v>
      </c>
      <c r="C11" s="20">
        <f>'Bruil et al. (2025)'!$M$6*('Bach et al. (2025)'!F11-'Bach et al. (2025)'!F12)/('Bach et al. (2025)'!$F$9-'Bach et al. (2025)'!$F$13)</f>
        <v>0.11495575221238931</v>
      </c>
      <c r="D11" s="62"/>
      <c r="E11" s="62"/>
      <c r="F11" s="20">
        <f>'Bruil et al. (2025)'!G10</f>
        <v>0.4830582560814779</v>
      </c>
      <c r="G11" s="8"/>
      <c r="H11" s="22"/>
      <c r="I11" s="22"/>
      <c r="J11" s="22"/>
      <c r="K11" s="22"/>
      <c r="L11" s="151"/>
      <c r="M11" s="76"/>
      <c r="N11" s="76"/>
      <c r="P11" s="5"/>
      <c r="Q11" s="5"/>
      <c r="R11" s="5"/>
      <c r="S11" s="5"/>
      <c r="T11" s="111">
        <f t="shared" si="0"/>
        <v>0.4830582560814779</v>
      </c>
      <c r="U11" s="60">
        <f t="shared" si="2"/>
        <v>0.4830582560814779</v>
      </c>
    </row>
    <row r="12" spans="1:22" s="85" customFormat="1" ht="15" customHeight="1">
      <c r="A12" s="38" t="s">
        <v>26</v>
      </c>
      <c r="B12" s="112">
        <f>'Bruil et al. (2025)'!J6/4</f>
        <v>1333236.75</v>
      </c>
      <c r="C12" s="20">
        <f>'Bruil et al. (2025)'!$M$6*('Bach et al. (2025)'!F12-'Bach et al. (2025)'!F13)/('Bach et al. (2025)'!$F$9-'Bach et al. (2025)'!$F$13)</f>
        <v>0.15582890855457229</v>
      </c>
      <c r="D12" s="62"/>
      <c r="E12" s="62"/>
      <c r="F12" s="20">
        <f>'Bruil et al. (2025)'!G11</f>
        <v>0.48627090260930617</v>
      </c>
      <c r="G12" s="8"/>
      <c r="H12" s="22"/>
      <c r="I12" s="22"/>
      <c r="J12" s="22"/>
      <c r="K12" s="22"/>
      <c r="L12" s="151"/>
      <c r="M12" s="76"/>
      <c r="N12" s="76"/>
      <c r="P12" s="5"/>
      <c r="Q12" s="5"/>
      <c r="R12" s="5"/>
      <c r="S12" s="5"/>
      <c r="T12" s="111">
        <f t="shared" si="0"/>
        <v>0.48627090260930617</v>
      </c>
      <c r="U12" s="60">
        <f t="shared" si="2"/>
        <v>0.48627090260930617</v>
      </c>
    </row>
    <row r="13" spans="1:22" ht="15" customHeight="1">
      <c r="A13" s="38" t="s">
        <v>27</v>
      </c>
      <c r="B13" s="112">
        <f>'Bruil et al. (2025)'!J7-'Bruil et al. (2025)'!J8</f>
        <v>1199913</v>
      </c>
      <c r="C13" s="20">
        <f>'Bruil et al. (2025)'!M7-'Bruil et al. (2025)'!M8</f>
        <v>0.21199999999999999</v>
      </c>
      <c r="D13" s="62"/>
      <c r="E13" s="62"/>
      <c r="F13" s="20">
        <f>'Bruil et al. (2025)'!G12</f>
        <v>0.43747518924444834</v>
      </c>
      <c r="G13" s="8"/>
      <c r="H13" s="22"/>
      <c r="I13" s="22"/>
      <c r="J13" s="22"/>
      <c r="K13" s="22"/>
      <c r="L13" s="151"/>
      <c r="M13" s="76"/>
      <c r="N13" s="76"/>
      <c r="P13" s="5"/>
      <c r="Q13" s="5"/>
      <c r="R13" s="5"/>
      <c r="S13" s="5"/>
      <c r="T13" s="111">
        <f t="shared" si="0"/>
        <v>0.43747518924444834</v>
      </c>
      <c r="U13" s="60">
        <f>T13</f>
        <v>0.43747518924444834</v>
      </c>
      <c r="V13" s="85"/>
    </row>
    <row r="14" spans="1:22" ht="15" customHeight="1">
      <c r="A14" s="38" t="s">
        <v>28</v>
      </c>
      <c r="B14" s="112">
        <f>'Bruil et al. (2025)'!J8-'Bruil et al. (2025)'!J9</f>
        <v>119991</v>
      </c>
      <c r="C14" s="20">
        <f>'Bruil et al. (2025)'!M8-'Bruil et al. (2025)'!M9</f>
        <v>7.9999999999999988E-2</v>
      </c>
      <c r="D14" s="62">
        <f>('Bruil et al. (2025)'!L8*'Bruil et al. (2025)'!J8-'Bruil et al. (2025)'!L9*'Bruil et al. (2025)'!J9)/('Bruil et al. (2025)'!J8-'Bruil et al. (2025)'!J9)</f>
        <v>395560.72587110702</v>
      </c>
      <c r="E14" s="62">
        <f>'Bruil et al. (2025)'!K8</f>
        <v>226162</v>
      </c>
      <c r="F14" s="20">
        <f>'Bruil et al. (2025)'!G13</f>
        <v>0.27181550522587439</v>
      </c>
      <c r="G14" s="20">
        <f>'Bruil et al. (2025)'!C13</f>
        <v>0.112275580459926</v>
      </c>
      <c r="H14" s="96">
        <v>0.13</v>
      </c>
      <c r="I14" s="96">
        <f>WID!O15</f>
        <v>5.2374180986976215E-2</v>
      </c>
      <c r="J14" s="96">
        <f>WID!O46</f>
        <v>5.2430927660569226E-2</v>
      </c>
      <c r="K14" s="20">
        <f>WID!O$68</f>
        <v>1.0294291033525527E-2</v>
      </c>
      <c r="L14" s="152">
        <f>H14*G14</f>
        <v>1.4595825459790381E-2</v>
      </c>
      <c r="M14" s="159">
        <f>D14*(1+I14)^9</f>
        <v>626245.79966620111</v>
      </c>
      <c r="N14" s="159">
        <f>E14*(1+J14)^9</f>
        <v>358230.08450106235</v>
      </c>
      <c r="O14" s="89">
        <f>(N14/H14)/1000000</f>
        <v>2.7556160346235563</v>
      </c>
      <c r="P14" s="98">
        <f>M14/(M14-N14)</f>
        <v>2.3366010432647117</v>
      </c>
      <c r="Q14" s="98">
        <f>P14*(1-(N14/N15)^(P14-1))</f>
        <v>1.9986133128952874</v>
      </c>
      <c r="R14" s="99">
        <f>MIN(1,MAX((M$22^(-Q14+1)-O15^(-Q14+1))/(O14^(-Q14+1)-O15^(-Q14+1)),0))</f>
        <v>0</v>
      </c>
      <c r="S14" s="162">
        <f>MIN(1,MAX((M$22^(-Q14)-O15^(-Q14))/(O14^(-Q14)-O15^(-Q14)),0))*B14*(1+K14)^9</f>
        <v>0</v>
      </c>
      <c r="T14" s="111">
        <f t="shared" si="0"/>
        <v>0.27181550522587439</v>
      </c>
      <c r="U14" s="60">
        <f>F14+MAX(0,M$23/H14-G14)*R14</f>
        <v>0.27181550522587439</v>
      </c>
      <c r="V14" s="164">
        <f>(U14-T14)*M14*B14*(1+K14)^9/1000000</f>
        <v>0</v>
      </c>
    </row>
    <row r="15" spans="1:22" ht="15" customHeight="1">
      <c r="A15" s="38" t="s">
        <v>29</v>
      </c>
      <c r="B15" s="112">
        <f>'Bruil et al. (2025)'!J9-'Bruil et al. (2025)'!J10</f>
        <v>11999</v>
      </c>
      <c r="C15" s="20">
        <f>'Bruil et al. (2025)'!M9-'Bruil et al. (2025)'!M10</f>
        <v>3.5999999999999997E-2</v>
      </c>
      <c r="D15" s="62">
        <f>('Bruil et al. (2025)'!L9*'Bruil et al. (2025)'!J9-'Bruil et al. (2025)'!L10*'Bruil et al. (2025)'!J10)/('Bruil et al. (2025)'!J9-'Bruil et al. (2025)'!J10)</f>
        <v>1780094.097341445</v>
      </c>
      <c r="E15" s="62">
        <f>'Bruil et al. (2025)'!K9</f>
        <v>1023879</v>
      </c>
      <c r="F15" s="20">
        <f>'Bruil et al. (2025)'!G14</f>
        <v>0.21413333398558623</v>
      </c>
      <c r="G15" s="20">
        <f>'Bruil et al. (2025)'!C14</f>
        <v>6.18723823742399E-2</v>
      </c>
      <c r="H15" s="96">
        <v>0.108</v>
      </c>
      <c r="I15" s="96">
        <f>WID!O16</f>
        <v>4.4324266203125129E-2</v>
      </c>
      <c r="J15" s="96">
        <f>WID!O47</f>
        <v>4.5024033244391193E-2</v>
      </c>
      <c r="K15" s="20">
        <f>WID!O$68</f>
        <v>1.0294291033525527E-2</v>
      </c>
      <c r="L15" s="152">
        <f t="shared" ref="L15:L18" si="3">H15*G15</f>
        <v>6.6822172964179092E-3</v>
      </c>
      <c r="M15" s="159">
        <f t="shared" ref="M15:M18" si="4">D15*(1+I15)^9</f>
        <v>2630033.5321973893</v>
      </c>
      <c r="N15" s="159">
        <f t="shared" ref="N15:N18" si="5">E15*(1+J15)^9</f>
        <v>1521896.5796325987</v>
      </c>
      <c r="O15" s="89">
        <f t="shared" ref="O15:O18" si="6">(N15/H15)/1000000</f>
        <v>14.091634996598136</v>
      </c>
      <c r="P15" s="98">
        <f>M15/(M15-N15)</f>
        <v>2.3733831148849953</v>
      </c>
      <c r="Q15" s="98">
        <f t="shared" ref="Q15:Q17" si="7">P15*(1-(N15/N16)^(P15-1))</f>
        <v>2.0478618170217007</v>
      </c>
      <c r="R15" s="99">
        <f>MIN(1,MAX((M$22^(-Q15+1)-O16^(-Q15+1))/(O15^(-Q15+1)-O16^(-Q15+1)),0))</f>
        <v>0</v>
      </c>
      <c r="S15" s="162">
        <f t="shared" ref="S15:S17" si="8">MIN(1,MAX((M$22^(-Q15)-O16^(-Q15))/(O15^(-Q15)-O16^(-Q15)),0))*B15*(1+K15)^9</f>
        <v>0</v>
      </c>
      <c r="T15" s="111">
        <f t="shared" si="0"/>
        <v>0.21413333398558623</v>
      </c>
      <c r="U15" s="60">
        <f>F15+MAX(0,M$23/H15-G15)*R15</f>
        <v>0.21413333398558623</v>
      </c>
      <c r="V15" s="164">
        <f t="shared" ref="V15:V18" si="9">(U15-T15)*M15*B15*(1+K15)^9/1000000</f>
        <v>0</v>
      </c>
    </row>
    <row r="16" spans="1:22" ht="15" customHeight="1">
      <c r="A16" s="38" t="s">
        <v>8</v>
      </c>
      <c r="B16" s="112">
        <f>'Bruil et al. (2025)'!J10-'Bruil et al. (2025)'!J11</f>
        <v>1200</v>
      </c>
      <c r="C16" s="20">
        <f>'Bruil et al. (2025)'!M10-'Bruil et al. (2025)'!M11</f>
        <v>1.6E-2</v>
      </c>
      <c r="D16" s="62">
        <f>('Bruil et al. (2025)'!L10*'Bruil et al. (2025)'!J10-'Bruil et al. (2025)'!L11*'Bruil et al. (2025)'!J11)/('Bruil et al. (2025)'!J10-'Bruil et al. (2025)'!J11)</f>
        <v>7606596.0483333329</v>
      </c>
      <c r="E16" s="62">
        <f>'Bruil et al. (2025)'!K10</f>
        <v>4372218</v>
      </c>
      <c r="F16" s="20">
        <f>'Bruil et al. (2025)'!G15</f>
        <v>0.1906130185859887</v>
      </c>
      <c r="G16" s="20">
        <f>'Bruil et al. (2025)'!C15</f>
        <v>4.4620931902958703E-2</v>
      </c>
      <c r="H16" s="96">
        <v>8.3000000000000004E-2</v>
      </c>
      <c r="I16" s="96">
        <f>WID!O17</f>
        <v>4.6466517123606277E-2</v>
      </c>
      <c r="J16" s="96">
        <f>WID!O48</f>
        <v>4.4427469339446857E-2</v>
      </c>
      <c r="K16" s="20">
        <f>WID!O$68</f>
        <v>1.0294291033525527E-2</v>
      </c>
      <c r="L16" s="152">
        <f t="shared" si="3"/>
        <v>3.7035373479455728E-3</v>
      </c>
      <c r="M16" s="159">
        <f t="shared" si="4"/>
        <v>11447703.904953305</v>
      </c>
      <c r="N16" s="159">
        <f t="shared" si="5"/>
        <v>6465563.4560158988</v>
      </c>
      <c r="O16" s="89">
        <f t="shared" si="6"/>
        <v>77.898354891757819</v>
      </c>
      <c r="P16" s="98">
        <f>M16/(M16-N16)</f>
        <v>2.2977481310055961</v>
      </c>
      <c r="Q16" s="98">
        <f t="shared" si="7"/>
        <v>1.930749442962638</v>
      </c>
      <c r="R16" s="99">
        <f>MIN(1,MAX((M$22^(-Q16+1)-O17^(-Q16+1))/(O16^(-Q16+1)-O17^(-Q16+1)),0))</f>
        <v>0.72666454426102223</v>
      </c>
      <c r="S16" s="162">
        <f t="shared" si="8"/>
        <v>784.63366388216991</v>
      </c>
      <c r="T16" s="111">
        <f t="shared" si="0"/>
        <v>0.1906130185859887</v>
      </c>
      <c r="U16" s="60">
        <f>F16+MAX(0,M$23/H16-G16)*R16</f>
        <v>0.33328845962360198</v>
      </c>
      <c r="V16" s="164">
        <f t="shared" si="9"/>
        <v>2149.2154188074751</v>
      </c>
    </row>
    <row r="17" spans="1:22" s="85" customFormat="1" ht="15" customHeight="1">
      <c r="A17" s="38" t="s">
        <v>193</v>
      </c>
      <c r="B17" s="112">
        <f>'Bruil et al. (2025)'!J11-'Bruil et al. (2025)'!J12</f>
        <v>120</v>
      </c>
      <c r="C17" s="20">
        <f>'Bruil et al. (2025)'!M11-'Bruil et al. (2025)'!M12</f>
        <v>6.000000000000001E-3</v>
      </c>
      <c r="D17" s="62">
        <f>('Bruil et al. (2025)'!L11*'Bruil et al. (2025)'!J11-'Bruil et al. (2025)'!L12*'Bruil et al. (2025)'!J12)/('Bruil et al. (2025)'!J11-'Bruil et al. (2025)'!J12)</f>
        <v>32324144.550000001</v>
      </c>
      <c r="E17" s="62">
        <f>'Bruil et al. (2025)'!K11</f>
        <v>18828918</v>
      </c>
      <c r="F17" s="20">
        <f>'Bruil et al. (2025)'!G16</f>
        <v>0.18179299414493499</v>
      </c>
      <c r="G17" s="20">
        <f>'Bruil et al. (2025)'!C16</f>
        <v>2.2128670383768902E-2</v>
      </c>
      <c r="H17" s="96">
        <v>7.3999999999999996E-2</v>
      </c>
      <c r="I17" s="96">
        <f>WID!O18</f>
        <v>3.6261401702052831E-2</v>
      </c>
      <c r="J17" s="96">
        <f>WID!O49</f>
        <v>3.9027330446761654E-2</v>
      </c>
      <c r="K17" s="20">
        <f>WID!O$68</f>
        <v>1.0294291033525527E-2</v>
      </c>
      <c r="L17" s="152">
        <f t="shared" si="3"/>
        <v>1.6375216083988986E-3</v>
      </c>
      <c r="M17" s="159">
        <f t="shared" si="4"/>
        <v>44540074.414910331</v>
      </c>
      <c r="N17" s="159">
        <f t="shared" si="5"/>
        <v>26574683.821830183</v>
      </c>
      <c r="O17" s="89">
        <f t="shared" si="6"/>
        <v>359.11734894365117</v>
      </c>
      <c r="P17" s="98">
        <f>M17/(M17-N17)</f>
        <v>2.4792154773448751</v>
      </c>
      <c r="Q17" s="98">
        <f t="shared" si="7"/>
        <v>2.2331689541972684</v>
      </c>
      <c r="R17" s="99">
        <f>MIN(1,MAX((M$22^(-Q17+1)-O18^(-Q17+1))/(O17^(-Q17+1)-O18^(-Q17+1)),0))</f>
        <v>1</v>
      </c>
      <c r="S17" s="162">
        <f t="shared" si="8"/>
        <v>131.58680314765448</v>
      </c>
      <c r="T17" s="111">
        <f t="shared" si="0"/>
        <v>0.18179299414493499</v>
      </c>
      <c r="U17" s="60">
        <f>F17+MAX(0,M$23/H17-G17)*R17</f>
        <v>0.42993459403143641</v>
      </c>
      <c r="V17" s="164">
        <f t="shared" si="9"/>
        <v>1454.3296298387334</v>
      </c>
    </row>
    <row r="18" spans="1:22" ht="15" customHeight="1">
      <c r="A18" s="38" t="s">
        <v>195</v>
      </c>
      <c r="B18" s="112">
        <f>'Bruil et al. (2025)'!J12</f>
        <v>14</v>
      </c>
      <c r="C18" s="20">
        <f>'Bruil et al. (2025)'!M12</f>
        <v>3.0000000000000001E-3</v>
      </c>
      <c r="D18" s="78">
        <f>'Bruil et al. (2025)'!L12</f>
        <v>111562388</v>
      </c>
      <c r="E18" s="62">
        <f>'Bruil et al. (2025)'!K12</f>
        <v>89761129</v>
      </c>
      <c r="F18" s="20">
        <f>'Bruil et al. (2025)'!G17</f>
        <v>0.16443377239026136</v>
      </c>
      <c r="G18" s="20">
        <f>'Bruil et al. (2025)'!C17</f>
        <v>2.30090312504326E-3</v>
      </c>
      <c r="H18" s="96">
        <v>7.0000000000000007E-2</v>
      </c>
      <c r="I18" s="96">
        <f>WID!O18</f>
        <v>3.6261401702052831E-2</v>
      </c>
      <c r="J18" s="96">
        <f>WID!O49</f>
        <v>3.9027330446761654E-2</v>
      </c>
      <c r="K18" s="20">
        <f>WID!O$68</f>
        <v>1.0294291033525527E-2</v>
      </c>
      <c r="L18" s="152">
        <f t="shared" si="3"/>
        <v>1.6106321875302822E-4</v>
      </c>
      <c r="M18" s="159">
        <f t="shared" si="4"/>
        <v>153724008.24835128</v>
      </c>
      <c r="N18" s="159">
        <f t="shared" si="5"/>
        <v>126686707.25877675</v>
      </c>
      <c r="O18" s="89">
        <f t="shared" si="6"/>
        <v>1809.8101036968105</v>
      </c>
      <c r="P18" s="98">
        <f>M18/(M18-N18)</f>
        <v>5.6856269901950149</v>
      </c>
      <c r="Q18" s="98"/>
      <c r="R18" s="99">
        <f>IF(M$22&lt;=O18, 1, (O18/M$22)^(P18-1))</f>
        <v>1</v>
      </c>
      <c r="S18" s="163">
        <f>IF(M$22&lt;=O18, 1, (O18/M$22)^P18)*B18*(1+K18)^9</f>
        <v>15.351793700559689</v>
      </c>
      <c r="T18" s="111">
        <v>0.26</v>
      </c>
      <c r="U18" s="60">
        <f>T18+MAX(0,M$23/H18-G18)*R18</f>
        <v>0.54341338258924243</v>
      </c>
      <c r="V18" s="164">
        <f t="shared" si="9"/>
        <v>668.8383687932203</v>
      </c>
    </row>
    <row r="19" spans="1:22" ht="15" customHeight="1">
      <c r="A19" s="38"/>
      <c r="G19" s="34"/>
      <c r="H19" s="94"/>
      <c r="I19" s="94"/>
      <c r="J19" s="94"/>
      <c r="S19" s="100">
        <f>SUM(S14:S18)</f>
        <v>931.57226073038407</v>
      </c>
      <c r="V19" s="50">
        <f>SUM(V14:V18)</f>
        <v>4272.3834174394287</v>
      </c>
    </row>
    <row r="20" spans="1:22" ht="15" customHeight="1">
      <c r="B20" s="6" t="s">
        <v>100</v>
      </c>
      <c r="C20" s="6"/>
      <c r="D20" s="6"/>
      <c r="E20" s="6"/>
      <c r="F20" s="6"/>
      <c r="G20" s="6"/>
      <c r="H20" s="95"/>
      <c r="I20" s="95"/>
      <c r="J20" s="95"/>
    </row>
    <row r="21" spans="1:22" ht="15" customHeight="1">
      <c r="B21" t="s">
        <v>341</v>
      </c>
      <c r="G21" s="34"/>
      <c r="L21" s="276" t="s">
        <v>60</v>
      </c>
      <c r="M21" s="276"/>
      <c r="O21" s="3"/>
      <c r="P21" s="3"/>
      <c r="Q21" s="3"/>
      <c r="T21" s="276" t="s">
        <v>207</v>
      </c>
      <c r="U21" s="276"/>
      <c r="V21" s="276"/>
    </row>
    <row r="22" spans="1:22" ht="15" customHeight="1">
      <c r="D22" s="31"/>
      <c r="E22" s="31"/>
      <c r="F22" s="31"/>
      <c r="G22" s="34"/>
      <c r="L22" s="38" t="s">
        <v>57</v>
      </c>
      <c r="M22" s="3">
        <v>100</v>
      </c>
      <c r="O22" s="10"/>
      <c r="P22" s="10"/>
      <c r="Q22" s="10"/>
      <c r="T22" s="119">
        <f>+V19</f>
        <v>4272.3834174394287</v>
      </c>
      <c r="U22" s="5">
        <v>0.02</v>
      </c>
      <c r="V22" s="5">
        <v>0.03</v>
      </c>
    </row>
    <row r="23" spans="1:22" ht="15" customHeight="1">
      <c r="D23" s="3"/>
      <c r="E23" s="3"/>
      <c r="F23" s="3"/>
      <c r="G23" s="34"/>
      <c r="L23" s="38" t="s">
        <v>58</v>
      </c>
      <c r="M23" s="10">
        <v>0.02</v>
      </c>
      <c r="T23" s="22">
        <v>100</v>
      </c>
      <c r="U23" s="66">
        <f t="dataTable" ref="U23:V24" dt2D="1" dtr="1" r1="M23" r2="M22"/>
        <v>4272.3834174394287</v>
      </c>
      <c r="V23" s="66">
        <v>6720.352491302363</v>
      </c>
    </row>
    <row r="24" spans="1:22" ht="15" customHeight="1">
      <c r="D24" s="10"/>
      <c r="E24" s="10"/>
      <c r="F24" s="10"/>
      <c r="G24" s="32"/>
      <c r="T24" s="22">
        <v>1000</v>
      </c>
      <c r="U24" s="66">
        <v>915.87085762606876</v>
      </c>
      <c r="V24" s="66">
        <v>1387.5361635151992</v>
      </c>
    </row>
    <row r="27" spans="1:22">
      <c r="L27" s="43"/>
    </row>
    <row r="30" spans="1:22">
      <c r="L30" s="43"/>
    </row>
    <row r="31" spans="1:22">
      <c r="L31" s="43"/>
    </row>
    <row r="33" spans="12:12">
      <c r="L33" s="47"/>
    </row>
    <row r="34" spans="12:12">
      <c r="L34" s="43"/>
    </row>
  </sheetData>
  <mergeCells count="5">
    <mergeCell ref="L21:M21"/>
    <mergeCell ref="B2:G2"/>
    <mergeCell ref="H2:K2"/>
    <mergeCell ref="T21:V21"/>
    <mergeCell ref="L2:V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33BE4-AA32-4C69-9C41-A44C9BCF9157}">
  <sheetPr>
    <tabColor rgb="FFC00000"/>
  </sheetPr>
  <dimension ref="A1:V34"/>
  <sheetViews>
    <sheetView zoomScaleNormal="100" workbookViewId="0">
      <selection activeCell="R32" sqref="Q32:R32"/>
    </sheetView>
  </sheetViews>
  <sheetFormatPr baseColWidth="10" defaultRowHeight="14.4"/>
  <cols>
    <col min="2" max="2" width="11.44140625" customWidth="1"/>
    <col min="3" max="3" width="11.44140625" style="85" customWidth="1"/>
    <col min="4" max="6" width="11.44140625" customWidth="1"/>
    <col min="7" max="7" width="11.44140625" style="85" customWidth="1"/>
    <col min="9" max="9" width="11.44140625" style="85"/>
    <col min="11" max="12" width="11.44140625" style="85"/>
    <col min="14" max="15" width="11.44140625" style="85"/>
    <col min="17" max="17" width="11.44140625" style="85"/>
    <col min="19" max="19" width="11.44140625" style="85"/>
  </cols>
  <sheetData>
    <row r="1" spans="1:22" ht="15" customHeight="1">
      <c r="L1" s="29"/>
    </row>
    <row r="2" spans="1:22" ht="15" customHeight="1">
      <c r="A2" s="28"/>
      <c r="B2" s="275" t="s">
        <v>420</v>
      </c>
      <c r="C2" s="275"/>
      <c r="D2" s="275"/>
      <c r="E2" s="275"/>
      <c r="F2" s="275"/>
      <c r="G2" s="275"/>
      <c r="H2" s="277" t="s">
        <v>126</v>
      </c>
      <c r="I2" s="277"/>
      <c r="J2" s="277"/>
      <c r="K2" s="277"/>
      <c r="L2" s="278" t="s">
        <v>131</v>
      </c>
      <c r="M2" s="278"/>
      <c r="N2" s="278"/>
      <c r="O2" s="278"/>
      <c r="P2" s="278"/>
      <c r="Q2" s="278"/>
      <c r="R2" s="278"/>
      <c r="S2" s="278"/>
      <c r="T2" s="278"/>
      <c r="U2" s="278"/>
      <c r="V2" s="278"/>
    </row>
    <row r="3" spans="1:22" ht="45" customHeight="1">
      <c r="A3" s="39" t="s">
        <v>7</v>
      </c>
      <c r="B3" s="45" t="s">
        <v>175</v>
      </c>
      <c r="C3" s="45" t="s">
        <v>93</v>
      </c>
      <c r="D3" s="77" t="s">
        <v>17</v>
      </c>
      <c r="E3" s="77" t="s">
        <v>16</v>
      </c>
      <c r="F3" s="42" t="s">
        <v>54</v>
      </c>
      <c r="G3" s="42" t="s">
        <v>55</v>
      </c>
      <c r="H3" s="75" t="s">
        <v>59</v>
      </c>
      <c r="I3" s="161" t="s">
        <v>272</v>
      </c>
      <c r="J3" s="161" t="s">
        <v>273</v>
      </c>
      <c r="K3" s="161" t="s">
        <v>271</v>
      </c>
      <c r="L3" s="150" t="s">
        <v>274</v>
      </c>
      <c r="M3" s="77" t="s">
        <v>17</v>
      </c>
      <c r="N3" s="77" t="s">
        <v>16</v>
      </c>
      <c r="O3" s="105" t="s">
        <v>178</v>
      </c>
      <c r="P3" s="39" t="s">
        <v>176</v>
      </c>
      <c r="Q3" s="39" t="s">
        <v>177</v>
      </c>
      <c r="R3" s="39" t="s">
        <v>137</v>
      </c>
      <c r="S3" s="39" t="s">
        <v>174</v>
      </c>
      <c r="T3" s="105" t="s">
        <v>128</v>
      </c>
      <c r="U3" s="39" t="s">
        <v>127</v>
      </c>
      <c r="V3" s="105" t="s">
        <v>179</v>
      </c>
    </row>
    <row r="4" spans="1:22" ht="15" customHeight="1">
      <c r="A4" s="38" t="s">
        <v>18</v>
      </c>
      <c r="B4" s="108">
        <f>SUM('Piketty, Saez, Zucman (2018)'!C4:C13)</f>
        <v>18271113</v>
      </c>
      <c r="C4" s="24">
        <f>SUM('Piketty, Saez, Zucman (2018)'!E4:E13)</f>
        <v>4.600000029313378E-3</v>
      </c>
      <c r="E4" s="62"/>
      <c r="F4" s="8">
        <f>SUMPRODUCT('Piketty, Saez, Zucman (2018)'!H4:H13, 'Piketty, Saez, Zucman (2018)'!$F4:$F13)/SUM('Piketty, Saez, Zucman (2018)'!$F4:$F13) + R21*SUMPRODUCT('Piketty, Saez, Zucman (2018)'!O4:O13, 'Piketty, Saez, Zucman (2018)'!$F4:$F13)/SUM('Piketty, Saez, Zucman (2018)'!$F4:$F13)</f>
        <v>0.39046204538580831</v>
      </c>
      <c r="G4" s="8"/>
      <c r="H4" s="8"/>
      <c r="I4" s="8"/>
      <c r="J4" s="8"/>
      <c r="K4" s="8"/>
      <c r="L4" s="151"/>
      <c r="M4" s="76"/>
      <c r="N4" s="76"/>
      <c r="P4" s="5"/>
      <c r="Q4" s="5"/>
      <c r="R4" s="5"/>
      <c r="S4" s="5"/>
      <c r="T4" s="64"/>
      <c r="U4" s="65"/>
      <c r="V4" s="85"/>
    </row>
    <row r="5" spans="1:22" s="85" customFormat="1" ht="15" customHeight="1">
      <c r="A5" s="38" t="s">
        <v>19</v>
      </c>
      <c r="B5" s="108">
        <f>SUM('Piketty, Saez, Zucman (2018)'!C14:C23)</f>
        <v>18273171</v>
      </c>
      <c r="C5" s="24">
        <f>SUM('Piketty, Saez, Zucman (2018)'!E14:E23)</f>
        <v>1.3119999843183905E-2</v>
      </c>
      <c r="E5" s="62"/>
      <c r="F5" s="8">
        <f>SUMPRODUCT('Piketty, Saez, Zucman (2018)'!H14:H23, 'Piketty, Saez, Zucman (2018)'!$F14:$F23)/SUM('Piketty, Saez, Zucman (2018)'!$F14:$F23) + R21*SUMPRODUCT('Piketty, Saez, Zucman (2018)'!O14:O23, 'Piketty, Saez, Zucman (2018)'!$F14:$F23)/SUM('Piketty, Saez, Zucman (2018)'!$F14:$F23)</f>
        <v>0.2594111624974047</v>
      </c>
      <c r="G5" s="8"/>
      <c r="H5" s="5"/>
      <c r="I5" s="5"/>
      <c r="J5" s="5"/>
      <c r="K5" s="5"/>
      <c r="L5" s="151"/>
      <c r="M5" s="76"/>
      <c r="N5" s="76"/>
      <c r="P5" s="5"/>
      <c r="Q5" s="5"/>
      <c r="R5" s="5"/>
      <c r="S5" s="5"/>
      <c r="T5" s="59">
        <f t="shared" ref="T5:T17" si="0">F5</f>
        <v>0.2594111624974047</v>
      </c>
      <c r="U5" s="61">
        <f>T5</f>
        <v>0.2594111624974047</v>
      </c>
    </row>
    <row r="6" spans="1:22" s="85" customFormat="1" ht="15" customHeight="1">
      <c r="A6" s="38" t="s">
        <v>20</v>
      </c>
      <c r="B6" s="102">
        <f>SUM('Piketty, Saez, Zucman (2018)'!C24:C33)</f>
        <v>18272267</v>
      </c>
      <c r="C6" s="109">
        <f>SUM('Piketty, Saez, Zucman (2018)'!E24:E33)</f>
        <v>2.0890000043436885E-2</v>
      </c>
      <c r="D6" s="62"/>
      <c r="E6" s="62"/>
      <c r="F6" s="8">
        <f>SUMPRODUCT('Piketty, Saez, Zucman (2018)'!H24:H33, 'Piketty, Saez, Zucman (2018)'!$F24:$F33)/SUM('Piketty, Saez, Zucman (2018)'!$F24:$F33) +  R21*SUMPRODUCT('Piketty, Saez, Zucman (2018)'!O24:O33, 'Piketty, Saez, Zucman (2018)'!$F24:$F33)/SUM('Piketty, Saez, Zucman (2018)'!$F24:$F33)</f>
        <v>0.24822441608092588</v>
      </c>
      <c r="H6" s="5"/>
      <c r="I6" s="5"/>
      <c r="J6" s="5"/>
      <c r="K6" s="5"/>
      <c r="L6" s="151"/>
      <c r="M6" s="76"/>
      <c r="N6" s="76"/>
      <c r="P6" s="5"/>
      <c r="Q6" s="5"/>
      <c r="R6" s="5"/>
      <c r="S6" s="5"/>
      <c r="T6" s="59">
        <f t="shared" si="0"/>
        <v>0.24822441608092588</v>
      </c>
      <c r="U6" s="61">
        <f t="shared" ref="U6:U8" si="1">T6</f>
        <v>0.24822441608092588</v>
      </c>
    </row>
    <row r="7" spans="1:22" s="85" customFormat="1" ht="15" customHeight="1">
      <c r="A7" s="38" t="s">
        <v>21</v>
      </c>
      <c r="B7" s="102">
        <f>SUM('Piketty, Saez, Zucman (2018)'!C34:C43)</f>
        <v>18271128</v>
      </c>
      <c r="C7" s="109">
        <f>SUM('Piketty, Saez, Zucman (2018)'!E34:E43)</f>
        <v>2.9329999815672636E-2</v>
      </c>
      <c r="D7" s="62"/>
      <c r="E7" s="62"/>
      <c r="F7" s="8">
        <f>SUMPRODUCT('Piketty, Saez, Zucman (2018)'!H34:H43, 'Piketty, Saez, Zucman (2018)'!$F34:$F43)/SUM('Piketty, Saez, Zucman (2018)'!$F34:$F43) +  R21*SUMPRODUCT('Piketty, Saez, Zucman (2018)'!O34:O43, 'Piketty, Saez, Zucman (2018)'!$F34:$F43)/SUM('Piketty, Saez, Zucman (2018)'!$F34:$F43)</f>
        <v>0.26313325395587994</v>
      </c>
      <c r="G7" s="8"/>
      <c r="H7" s="8"/>
      <c r="I7" s="8"/>
      <c r="J7" s="5"/>
      <c r="K7" s="5"/>
      <c r="L7" s="151"/>
      <c r="M7" s="76"/>
      <c r="N7" s="76"/>
      <c r="P7" s="5"/>
      <c r="Q7" s="5"/>
      <c r="R7" s="5"/>
      <c r="S7" s="5"/>
      <c r="T7" s="59">
        <f t="shared" si="0"/>
        <v>0.26313325395587994</v>
      </c>
      <c r="U7" s="61">
        <f t="shared" si="1"/>
        <v>0.26313325395587994</v>
      </c>
    </row>
    <row r="8" spans="1:22" s="85" customFormat="1" ht="15" customHeight="1">
      <c r="A8" s="38" t="s">
        <v>22</v>
      </c>
      <c r="B8" s="102">
        <f>SUM('Piketty, Saez, Zucman (2018)'!C44:C53)</f>
        <v>18272260</v>
      </c>
      <c r="C8" s="109">
        <f>SUM('Piketty, Saez, Zucman (2018)'!E44:E53)</f>
        <v>3.9209999609738588E-2</v>
      </c>
      <c r="D8" s="62"/>
      <c r="E8" s="62"/>
      <c r="F8" s="8">
        <f>SUMPRODUCT('Piketty, Saez, Zucman (2018)'!H44:H53, 'Piketty, Saez, Zucman (2018)'!$F44:$F53)/SUM('Piketty, Saez, Zucman (2018)'!$F44:$F53) +  R21*SUMPRODUCT('Piketty, Saez, Zucman (2018)'!O44:O53, 'Piketty, Saez, Zucman (2018)'!$F44:$F53)/SUM('Piketty, Saez, Zucman (2018)'!$F44:$F53)</f>
        <v>0.2662415383757572</v>
      </c>
      <c r="G8" s="8"/>
      <c r="H8" s="5"/>
      <c r="I8" s="5"/>
      <c r="J8" s="5"/>
      <c r="K8" s="5"/>
      <c r="L8" s="151"/>
      <c r="M8" s="76"/>
      <c r="N8" s="76"/>
      <c r="P8" s="5"/>
      <c r="Q8" s="5"/>
      <c r="R8" s="5"/>
      <c r="S8" s="5"/>
      <c r="T8" s="59">
        <f t="shared" si="0"/>
        <v>0.2662415383757572</v>
      </c>
      <c r="U8" s="61">
        <f t="shared" si="1"/>
        <v>0.2662415383757572</v>
      </c>
    </row>
    <row r="9" spans="1:22" ht="15" customHeight="1">
      <c r="A9" s="38" t="s">
        <v>23</v>
      </c>
      <c r="B9" s="102">
        <f>SUM('Piketty, Saez, Zucman (2018)'!C54:C63)</f>
        <v>18271308</v>
      </c>
      <c r="C9" s="109">
        <f>SUM('Piketty, Saez, Zucman (2018)'!E54:E63)</f>
        <v>5.1059999037533998E-2</v>
      </c>
      <c r="D9" s="110"/>
      <c r="E9" s="62"/>
      <c r="F9" s="8">
        <f>SUMPRODUCT('Piketty, Saez, Zucman (2018)'!H54:H63, 'Piketty, Saez, Zucman (2018)'!$F54:$F63)/SUM('Piketty, Saez, Zucman (2018)'!$F54:$F63) + R21*SUMPRODUCT('Piketty, Saez, Zucman (2018)'!O54:O63, 'Piketty, Saez, Zucman (2018)'!$F54:$F63)/SUM('Piketty, Saez, Zucman (2018)'!$F54:$F63)</f>
        <v>0.28002967018562697</v>
      </c>
      <c r="G9" s="8"/>
      <c r="H9" s="5"/>
      <c r="I9" s="5"/>
      <c r="J9" s="5"/>
      <c r="K9" s="5"/>
      <c r="L9" s="151"/>
      <c r="M9" s="76"/>
      <c r="N9" s="76"/>
      <c r="P9" s="5"/>
      <c r="Q9" s="5"/>
      <c r="R9" s="5"/>
      <c r="S9" s="5"/>
      <c r="T9" s="59">
        <f t="shared" si="0"/>
        <v>0.28002967018562697</v>
      </c>
      <c r="U9" s="61">
        <f>T9</f>
        <v>0.28002967018562697</v>
      </c>
      <c r="V9" s="85"/>
    </row>
    <row r="10" spans="1:22" s="85" customFormat="1" ht="15" customHeight="1">
      <c r="A10" s="38" t="s">
        <v>24</v>
      </c>
      <c r="B10" s="102">
        <f>SUM('Piketty, Saez, Zucman (2018)'!C64:C73)</f>
        <v>18273673</v>
      </c>
      <c r="C10" s="109">
        <f>SUM('Piketty, Saez, Zucman (2018)'!E64:E73)</f>
        <v>7.1349999867379665E-2</v>
      </c>
      <c r="D10" s="110"/>
      <c r="E10" s="62"/>
      <c r="F10" s="8">
        <f>SUMPRODUCT('Piketty, Saez, Zucman (2018)'!H64:H73, 'Piketty, Saez, Zucman (2018)'!$F64:$F73)/SUM('Piketty, Saez, Zucman (2018)'!$F64:$F73) + R21*SUMPRODUCT('Piketty, Saez, Zucman (2018)'!O64:O73, 'Piketty, Saez, Zucman (2018)'!$F64:$F73)/SUM('Piketty, Saez, Zucman (2018)'!$F64:$F73)</f>
        <v>0.29269837735444343</v>
      </c>
      <c r="G10" s="8"/>
      <c r="H10" s="5"/>
      <c r="I10" s="5"/>
      <c r="J10" s="5"/>
      <c r="K10" s="5"/>
      <c r="L10" s="151"/>
      <c r="M10" s="76"/>
      <c r="N10" s="76"/>
      <c r="P10" s="5"/>
      <c r="Q10" s="5"/>
      <c r="R10" s="5"/>
      <c r="S10" s="5"/>
      <c r="T10" s="59">
        <f t="shared" si="0"/>
        <v>0.29269837735444343</v>
      </c>
      <c r="U10" s="61">
        <f t="shared" ref="U10:U12" si="2">T10</f>
        <v>0.29269837735444343</v>
      </c>
    </row>
    <row r="11" spans="1:22" s="85" customFormat="1" ht="15" customHeight="1">
      <c r="A11" s="38" t="s">
        <v>25</v>
      </c>
      <c r="B11" s="102">
        <f>SUM('Piketty, Saez, Zucman (2018)'!C74:C83)</f>
        <v>18271441</v>
      </c>
      <c r="C11" s="109">
        <f>SUM('Piketty, Saez, Zucman (2018)'!E74:E83)</f>
        <v>0.10443999990820885</v>
      </c>
      <c r="D11" s="110"/>
      <c r="E11" s="62"/>
      <c r="F11" s="8">
        <f>SUMPRODUCT('Piketty, Saez, Zucman (2018)'!H74:H83, 'Piketty, Saez, Zucman (2018)'!$F74:$F83)/SUM('Piketty, Saez, Zucman (2018)'!$F74:$F83) + R21*SUMPRODUCT('Piketty, Saez, Zucman (2018)'!O74:O83, 'Piketty, Saez, Zucman (2018)'!$F74:$F83)/SUM('Piketty, Saez, Zucman (2018)'!$F74:$F83)</f>
        <v>0.29686721057095794</v>
      </c>
      <c r="G11" s="8"/>
      <c r="H11" s="5"/>
      <c r="I11" s="5"/>
      <c r="J11" s="5"/>
      <c r="K11" s="5"/>
      <c r="L11" s="151"/>
      <c r="M11" s="76"/>
      <c r="N11" s="76"/>
      <c r="P11" s="5"/>
      <c r="Q11" s="5"/>
      <c r="R11" s="5"/>
      <c r="S11" s="5"/>
      <c r="T11" s="59">
        <f t="shared" si="0"/>
        <v>0.29686721057095794</v>
      </c>
      <c r="U11" s="61">
        <f t="shared" si="2"/>
        <v>0.29686721057095794</v>
      </c>
    </row>
    <row r="12" spans="1:22" s="85" customFormat="1" ht="15" customHeight="1">
      <c r="A12" s="38" t="s">
        <v>26</v>
      </c>
      <c r="B12" s="89">
        <f>SUM('Piketty, Saez, Zucman (2018)'!C84:C93)</f>
        <v>18272475</v>
      </c>
      <c r="C12" s="90">
        <f>SUM('Piketty, Saez, Zucman (2018)'!E84:E93)</f>
        <v>0.15636000037193298</v>
      </c>
      <c r="D12" s="110"/>
      <c r="E12" s="62"/>
      <c r="F12" s="8">
        <f>SUMPRODUCT('Piketty, Saez, Zucman (2018)'!H84:H93, 'Piketty, Saez, Zucman (2018)'!$F84:$F93)/SUM('Piketty, Saez, Zucman (2018)'!$F84:$F93) + R21*SUMPRODUCT('Piketty, Saez, Zucman (2018)'!O84:O93, 'Piketty, Saez, Zucman (2018)'!$F84:$F93)/SUM('Piketty, Saez, Zucman (2018)'!$F84:$F93)</f>
        <v>0.29981625804807843</v>
      </c>
      <c r="G12" s="8"/>
      <c r="H12" s="5"/>
      <c r="I12" s="5"/>
      <c r="J12" s="5"/>
      <c r="K12" s="5"/>
      <c r="L12" s="151"/>
      <c r="M12" s="76"/>
      <c r="N12" s="76"/>
      <c r="P12" s="5"/>
      <c r="Q12" s="5"/>
      <c r="R12" s="5"/>
      <c r="S12" s="5"/>
      <c r="T12" s="59">
        <f t="shared" si="0"/>
        <v>0.29981625804807843</v>
      </c>
      <c r="U12" s="61">
        <f t="shared" si="2"/>
        <v>0.29981625804807843</v>
      </c>
    </row>
    <row r="13" spans="1:22" ht="15" customHeight="1">
      <c r="A13" s="38" t="s">
        <v>27</v>
      </c>
      <c r="B13" s="102">
        <f>SUM('Piketty, Saez, Zucman (2018)'!C94:C102)</f>
        <v>16445819</v>
      </c>
      <c r="C13" s="109">
        <f>SUM('Piketty, Saez, Zucman (2018)'!E94:E102)</f>
        <v>0.2888100016862154</v>
      </c>
      <c r="D13" s="62"/>
      <c r="E13" s="62"/>
      <c r="F13" s="8">
        <f>SUMPRODUCT('Piketty, Saez, Zucman (2018)'!H94:H102, 'Piketty, Saez, Zucman (2018)'!$F94:$F102)/SUM('Piketty, Saez, Zucman (2018)'!$F94:$F102) + R21*SUMPRODUCT('Piketty, Saez, Zucman (2018)'!O94:O102, 'Piketty, Saez, Zucman (2018)'!$F94:$F102)/SUM('Piketty, Saez, Zucman (2018)'!$F94:$F102)</f>
        <v>0.31978189347248187</v>
      </c>
      <c r="G13" s="8"/>
      <c r="H13" s="5"/>
      <c r="I13" s="5"/>
      <c r="J13" s="5"/>
      <c r="K13" s="5"/>
      <c r="L13" s="151"/>
      <c r="M13" s="76"/>
      <c r="N13" s="76"/>
      <c r="P13" s="5"/>
      <c r="Q13" s="5"/>
      <c r="R13" s="5"/>
      <c r="S13" s="5"/>
      <c r="T13" s="59">
        <f t="shared" si="0"/>
        <v>0.31978189347248187</v>
      </c>
      <c r="U13" s="61">
        <f>T13</f>
        <v>0.31978189347248187</v>
      </c>
      <c r="V13" s="85"/>
    </row>
    <row r="14" spans="1:22" ht="15" customHeight="1">
      <c r="A14" s="38" t="s">
        <v>28</v>
      </c>
      <c r="B14" s="102">
        <f>SUM('Piketty, Saez, Zucman (2018)'!C103:C111)</f>
        <v>1644714</v>
      </c>
      <c r="C14" s="109">
        <f>SUM('Piketty, Saez, Zucman (2018)'!E103:E111)</f>
        <v>0.1122199990786612</v>
      </c>
      <c r="D14" s="62">
        <f>AVERAGE('Piketty, Saez, Zucman (2018)'!$F103:$F111)</f>
        <v>1652421.3333333333</v>
      </c>
      <c r="E14" s="62">
        <f>'Piketty, Saez, Zucman (2018)'!D103</f>
        <v>979000</v>
      </c>
      <c r="F14" s="20">
        <f>SUMPRODUCT('Piketty, Saez, Zucman (2018)'!H103:H111, 'Piketty, Saez, Zucman (2018)'!$F103:$F111)/SUM('Piketty, Saez, Zucman (2018)'!$F103:$F111) + R21*SUMPRODUCT('Piketty, Saez, Zucman (2018)'!O103:O111, 'Piketty, Saez, Zucman (2018)'!$F103:$F111)/SUM('Piketty, Saez, Zucman (2018)'!$F103:$F111)</f>
        <v>0.33559855859339677</v>
      </c>
      <c r="G14" s="20">
        <f>SUMPRODUCT('Piketty, Saez, Zucman (2018)'!L103:L111, 'Piketty, Saez, Zucman (2018)'!$F103:$F111)/SUM('Piketty, Saez, Zucman (2018)'!$F103:$F111)</f>
        <v>0.20279506579377435</v>
      </c>
      <c r="H14" s="96">
        <v>0.13</v>
      </c>
      <c r="I14" s="96">
        <f>WID!O10</f>
        <v>5.3230665114281539E-2</v>
      </c>
      <c r="J14" s="20">
        <f>WID!O10</f>
        <v>5.3230665114281539E-2</v>
      </c>
      <c r="K14" s="20">
        <f>WID!O$67</f>
        <v>9.2025445775048009E-3</v>
      </c>
      <c r="L14" s="152">
        <f>H14*G14</f>
        <v>2.6363358553190667E-2</v>
      </c>
      <c r="M14" s="159">
        <f>D14*(1+I14)^1</f>
        <v>1740380.8199556945</v>
      </c>
      <c r="N14" s="159">
        <f>E14*(1+J14)</f>
        <v>1031112.8211468817</v>
      </c>
      <c r="O14" s="89">
        <f>(N14/H14)/1000000</f>
        <v>7.9316370857452432</v>
      </c>
      <c r="P14" s="98">
        <f>M14/(M14-N14)</f>
        <v>2.4537703983241799</v>
      </c>
      <c r="Q14" s="98">
        <f>P14*(1-(N14/N15)^(P14-1))</f>
        <v>2.1727892123657027</v>
      </c>
      <c r="R14" s="99">
        <f>MIN(1,MAX((M$22^(-Q14+1)-O15^(-Q14+1))/(O14^(-Q14+1)-O15^(-Q14+1)),0))</f>
        <v>0</v>
      </c>
      <c r="S14" s="162">
        <f>MIN(1,MAX((M$22^(-Q14)-O15^(-Q14))/(O14^(-Q14)-O15^(-Q14)),0))*B14*(1+K14)^1</f>
        <v>0</v>
      </c>
      <c r="T14" s="59">
        <f t="shared" si="0"/>
        <v>0.33559855859339677</v>
      </c>
      <c r="U14" s="61">
        <f>F14+MAX(0,M$23/H14-G14)*R14</f>
        <v>0.33559855859339677</v>
      </c>
      <c r="V14" s="164">
        <f>(U14-T14)*M14*B14*(1+K14)/1000000</f>
        <v>0</v>
      </c>
    </row>
    <row r="15" spans="1:22" ht="15" customHeight="1">
      <c r="A15" s="38" t="s">
        <v>29</v>
      </c>
      <c r="B15" s="102">
        <f>SUM('Piketty, Saez, Zucman (2018)'!C112:C120)</f>
        <v>164455</v>
      </c>
      <c r="C15" s="109">
        <f>SUM('Piketty, Saez, Zucman (2018)'!E112:E120)</f>
        <v>5.3910000948235393E-2</v>
      </c>
      <c r="D15" s="62">
        <f>AVERAGE('Piketty, Saez, Zucman (2018)'!$F112:$F120)</f>
        <v>7936218.555555556</v>
      </c>
      <c r="E15" s="62">
        <f>'Piketty, Saez, Zucman (2018)'!D112</f>
        <v>4280000</v>
      </c>
      <c r="F15" s="20">
        <f>SUMPRODUCT('Piketty, Saez, Zucman (2018)'!H112:H120, 'Piketty, Saez, Zucman (2018)'!$F112:$F120)/SUM('Piketty, Saez, Zucman (2018)'!$F112:$F120) + R21*SUMPRODUCT('Piketty, Saez, Zucman (2018)'!O112:O120, 'Piketty, Saez, Zucman (2018)'!$F112:$F120)/SUM('Piketty, Saez, Zucman (2018)'!$F112:$F120)</f>
        <v>0.37579076201694323</v>
      </c>
      <c r="G15" s="20">
        <f>SUMPRODUCT('Piketty, Saez, Zucman (2018)'!L112:L120, 'Piketty, Saez, Zucman (2018)'!$F112:$F120)/SUM('Piketty, Saez, Zucman (2018)'!$F112:$F120)</f>
        <v>0.23315598767480794</v>
      </c>
      <c r="H15" s="96">
        <v>0.108</v>
      </c>
      <c r="I15" s="96">
        <f>WID!O11</f>
        <v>6.9676855940272286E-2</v>
      </c>
      <c r="J15" s="206">
        <f>WID!O11</f>
        <v>6.9676855940272286E-2</v>
      </c>
      <c r="K15" s="20">
        <f>WID!O$67</f>
        <v>9.2025445775048009E-3</v>
      </c>
      <c r="L15" s="152">
        <f t="shared" ref="L15:L18" si="3">H15*G15</f>
        <v>2.5180846668879257E-2</v>
      </c>
      <c r="M15" s="159">
        <f t="shared" ref="M15:M18" si="4">D15*(1+I15)^1</f>
        <v>8489189.3125615157</v>
      </c>
      <c r="N15" s="159">
        <f t="shared" ref="N15:N18" si="5">E15*(1+J15)</f>
        <v>4578216.9434243655</v>
      </c>
      <c r="O15" s="89">
        <f t="shared" ref="O15:O18" si="6">(N15/H15)/1000000</f>
        <v>42.390897624299683</v>
      </c>
      <c r="P15" s="98">
        <f>M15/(M15-N15)</f>
        <v>2.1706083580525077</v>
      </c>
      <c r="Q15" s="98">
        <f t="shared" ref="Q15:Q17" si="7">P15*(1-(N15/N16)^(P15-1))</f>
        <v>1.8692501146464657</v>
      </c>
      <c r="R15" s="99">
        <f>MIN(1,MAX((M$22^(-Q15+1)-O16^(-Q15+1))/(O15^(-Q15+1)-O16^(-Q15+1)),0))</f>
        <v>0.3560179862233398</v>
      </c>
      <c r="S15" s="162">
        <f t="shared" ref="S15:S16" si="8">MIN(1,MAX((M$22^(-Q15)-O16^(-Q15))/(O15^(-Q15)-O16^(-Q15)),0))*B15*(1+K15)^1</f>
        <v>29809.438957405953</v>
      </c>
      <c r="T15" s="59">
        <f t="shared" si="0"/>
        <v>0.37579076201694323</v>
      </c>
      <c r="U15" s="61">
        <f>F15+MAX(0,M$23/H15-G15)*R15</f>
        <v>0.37579076201694323</v>
      </c>
      <c r="V15" s="164">
        <f t="shared" ref="V15:V18" si="9">(U15-T15)*M15*B15*(1+K15)/1000000</f>
        <v>0</v>
      </c>
    </row>
    <row r="16" spans="1:22" ht="15" customHeight="1">
      <c r="A16" s="38" t="s">
        <v>8</v>
      </c>
      <c r="B16" s="102">
        <f>SUM('Piketty, Saez, Zucman (2018)'!C121:C129)</f>
        <v>16442</v>
      </c>
      <c r="C16" s="109">
        <f>SUM('Piketty, Saez, Zucman (2018)'!E121:E129)</f>
        <v>2.8790000011213124E-2</v>
      </c>
      <c r="D16" s="97">
        <f>AVERAGE('Piketty, Saez, Zucman (2018)'!$F121:$F129)</f>
        <v>42405659.555555552</v>
      </c>
      <c r="E16" s="62">
        <f>'Piketty, Saez, Zucman (2018)'!D121</f>
        <v>22800000</v>
      </c>
      <c r="F16" s="20">
        <f>SUMPRODUCT('Piketty, Saez, Zucman (2018)'!H121:H129, 'Piketty, Saez, Zucman (2018)'!$F121:$F129)/SUM('Piketty, Saez, Zucman (2018)'!$F121:$F129) + R21*SUMPRODUCT('Piketty, Saez, Zucman (2018)'!O121:O129, 'Piketty, Saez, Zucman (2018)'!$F121:$F129)/SUM('Piketty, Saez, Zucman (2018)'!$F121:$F129)</f>
        <v>0.35651367333612721</v>
      </c>
      <c r="G16" s="20">
        <f>SUMPRODUCT('Piketty, Saez, Zucman (2018)'!L121:L129, 'Piketty, Saez, Zucman (2018)'!$F121:$F129)/SUM('Piketty, Saez, Zucman (2018)'!$F121:$F129)</f>
        <v>0.20636721833776245</v>
      </c>
      <c r="H16" s="96">
        <v>8.3000000000000004E-2</v>
      </c>
      <c r="I16" s="96">
        <f>WID!O12</f>
        <v>8.4639075850964085E-2</v>
      </c>
      <c r="J16" s="206">
        <f>WID!O12</f>
        <v>8.4639075850964085E-2</v>
      </c>
      <c r="K16" s="20">
        <f>WID!O$67</f>
        <v>9.2025445775048009E-3</v>
      </c>
      <c r="L16" s="152">
        <f t="shared" si="3"/>
        <v>1.7128479122034284E-2</v>
      </c>
      <c r="M16" s="159">
        <f t="shared" si="4"/>
        <v>45994835.391188376</v>
      </c>
      <c r="N16" s="159">
        <f t="shared" si="5"/>
        <v>24729770.929401983</v>
      </c>
      <c r="O16" s="89">
        <f t="shared" si="6"/>
        <v>297.94904734219256</v>
      </c>
      <c r="P16" s="98">
        <f>M16/(M16-N16)</f>
        <v>2.1629295069310377</v>
      </c>
      <c r="Q16" s="98">
        <f t="shared" si="7"/>
        <v>1.8546144634006099</v>
      </c>
      <c r="R16" s="99">
        <f>MIN(1,MAX((M$22^(-Q16+1)-O17^(-Q16+1))/(O16^(-Q16+1)-O17^(-Q16+1)),0))</f>
        <v>1</v>
      </c>
      <c r="S16" s="162">
        <f t="shared" si="8"/>
        <v>16593.308237943333</v>
      </c>
      <c r="T16" s="59">
        <f t="shared" si="0"/>
        <v>0.35651367333612721</v>
      </c>
      <c r="U16" s="61">
        <f>F16+MAX(0,M$23/H16-G16)*R16</f>
        <v>0.39111031042005151</v>
      </c>
      <c r="V16" s="164">
        <f t="shared" si="9"/>
        <v>26404.377643237065</v>
      </c>
    </row>
    <row r="17" spans="1:22" s="85" customFormat="1" ht="15" customHeight="1">
      <c r="A17" s="38" t="s">
        <v>193</v>
      </c>
      <c r="B17" s="102">
        <f>'Piketty, Saez, Zucman (2018)'!C130</f>
        <v>1431</v>
      </c>
      <c r="C17" s="109">
        <f>'Piketty, Saez, Zucman (2018)'!E130</f>
        <v>9.8500000312924385E-3</v>
      </c>
      <c r="D17" s="97">
        <f>'Piketty, Saez, Zucman (2018)'!F130</f>
        <v>166643920</v>
      </c>
      <c r="E17" s="62">
        <f>'Piketty, Saez, Zucman (2018)'!D130</f>
        <v>119000000</v>
      </c>
      <c r="F17" s="20">
        <f>'Piketty, Saez, Zucman (2018)'!H130 + R21*'Piketty, Saez, Zucman (2018)'!O130</f>
        <v>0.29605397582054138</v>
      </c>
      <c r="G17" s="20">
        <f>'Piketty, Saez, Zucman (2018)'!L130</f>
        <v>0.13085755705833435</v>
      </c>
      <c r="H17" s="96">
        <v>7.3999999999999996E-2</v>
      </c>
      <c r="I17" s="96">
        <f>WID!O13</f>
        <v>0.10965318286575365</v>
      </c>
      <c r="J17" s="206">
        <f>WID!O13</f>
        <v>0.10965318286575365</v>
      </c>
      <c r="K17" s="20">
        <f>WID!O$67</f>
        <v>9.2025445775048009E-3</v>
      </c>
      <c r="L17" s="152">
        <f t="shared" si="3"/>
        <v>9.6834592223167416E-3</v>
      </c>
      <c r="M17" s="159">
        <f t="shared" si="4"/>
        <v>184916956.23322603</v>
      </c>
      <c r="N17" s="159">
        <f t="shared" si="5"/>
        <v>132048728.76102468</v>
      </c>
      <c r="O17" s="89">
        <f t="shared" si="6"/>
        <v>1784.4422805543877</v>
      </c>
      <c r="P17" s="98">
        <f>M17/(M17-N17)</f>
        <v>3.4976954037367198</v>
      </c>
      <c r="Q17" s="98">
        <f t="shared" si="7"/>
        <v>-0.30326200591906077</v>
      </c>
      <c r="R17" s="99">
        <f>MIN(1,MAX((M$22^(-Q17+1)-O18^(-Q17+1))/(O17^(-Q17+1)-O18^(-Q17+1)),0))</f>
        <v>1</v>
      </c>
      <c r="S17" s="162">
        <f>MIN(1,MAX((M$22^(-Q17)-O18^(-Q17))/(O17^(-Q17)-O18^(-Q17)),0))*B17*(1+K17)^1</f>
        <v>1444.1688412904093</v>
      </c>
      <c r="T17" s="59">
        <f t="shared" si="0"/>
        <v>0.29605397582054138</v>
      </c>
      <c r="U17" s="61">
        <f>F17+MAX(0,M$23/H17-G17)*R17</f>
        <v>0.43546668903247732</v>
      </c>
      <c r="V17" s="164">
        <f t="shared" si="9"/>
        <v>37230.347194565518</v>
      </c>
    </row>
    <row r="18" spans="1:22" ht="15" customHeight="1">
      <c r="A18" s="38" t="s">
        <v>195</v>
      </c>
      <c r="B18" s="102">
        <f>'Piketty, Saez, Zucman (2018)'!C131</f>
        <v>411</v>
      </c>
      <c r="C18" s="109">
        <f>D18*B18/(D14*B14/C14)</f>
        <v>6.7196796572715342E-3</v>
      </c>
      <c r="D18" s="78">
        <f>'Balkir et al. (2025)'!D10</f>
        <v>395956675.74931878</v>
      </c>
      <c r="E18" s="78">
        <f>D18/3.44</f>
        <v>115103684.81084849</v>
      </c>
      <c r="F18" s="20">
        <f>'Balkir et al. (2025)'!F10</f>
        <v>0.27186661216479113</v>
      </c>
      <c r="G18" s="20">
        <f>'Balkir et al. (2025)'!G10*('Piketty, Saez, Zucman (2018)'!L130)/('Piketty, Saez, Zucman (2018)'!L130+'Piketty, Saez, Zucman (2018)'!K130)</f>
        <v>0.12347620687823493</v>
      </c>
      <c r="H18" s="96">
        <v>4.9000000000000002E-2</v>
      </c>
      <c r="I18" s="96">
        <f>WID!O13</f>
        <v>0.10965318286575365</v>
      </c>
      <c r="J18" s="206">
        <f>WID!O13</f>
        <v>0.10965318286575365</v>
      </c>
      <c r="K18" s="20">
        <f>WID!O$67</f>
        <v>9.2025445775048009E-3</v>
      </c>
      <c r="L18" s="152">
        <f t="shared" si="3"/>
        <v>6.0503341370335122E-3</v>
      </c>
      <c r="M18" s="159">
        <f t="shared" si="4"/>
        <v>439374585.52217478</v>
      </c>
      <c r="N18" s="159">
        <f t="shared" si="5"/>
        <v>127725170.20993453</v>
      </c>
      <c r="O18" s="89">
        <f t="shared" si="6"/>
        <v>2606.6361267333577</v>
      </c>
      <c r="P18" s="98">
        <f>M18/(M18-N18)</f>
        <v>1.4098360655737705</v>
      </c>
      <c r="Q18" s="98"/>
      <c r="R18" s="99">
        <f>IF(M$22&lt;=O18, 1, (O18/M$22)^(P18-1))</f>
        <v>1</v>
      </c>
      <c r="S18" s="163">
        <f>IF(M$22&lt;=O18, 1, (O18/M$22)^P18)*B18*(1+K18)^1</f>
        <v>414.78224582135448</v>
      </c>
      <c r="T18" s="59">
        <v>0.26</v>
      </c>
      <c r="U18" s="61">
        <f>T18+MAX(0,M$23/H18-G18)*R18</f>
        <v>0.54468705842788756</v>
      </c>
      <c r="V18" s="164">
        <f t="shared" si="9"/>
        <v>51882.729574688638</v>
      </c>
    </row>
    <row r="19" spans="1:22" ht="15" customHeight="1">
      <c r="A19" s="38"/>
      <c r="H19" s="94"/>
      <c r="I19" s="94"/>
      <c r="P19" s="85"/>
      <c r="Q19" s="97"/>
      <c r="R19" s="97"/>
      <c r="S19" s="80">
        <f>SUM(S14:S18)</f>
        <v>48261.698282461053</v>
      </c>
      <c r="T19" s="85"/>
      <c r="U19" s="85"/>
      <c r="V19" s="72">
        <f>SUM(V14:V18)</f>
        <v>115517.45441249122</v>
      </c>
    </row>
    <row r="20" spans="1:22" ht="15" customHeight="1">
      <c r="B20" s="6" t="s">
        <v>421</v>
      </c>
      <c r="C20" s="6"/>
      <c r="D20" s="6"/>
      <c r="E20" s="6"/>
      <c r="F20" s="6"/>
      <c r="G20" s="6"/>
      <c r="H20" s="95"/>
      <c r="I20" s="95"/>
    </row>
    <row r="21" spans="1:22" ht="15" customHeight="1">
      <c r="B21" t="s">
        <v>342</v>
      </c>
      <c r="H21" s="7"/>
      <c r="I21" s="7"/>
      <c r="L21" s="276" t="s">
        <v>60</v>
      </c>
      <c r="M21" s="276"/>
      <c r="N21" s="10"/>
      <c r="O21" s="276" t="s">
        <v>422</v>
      </c>
      <c r="P21" s="276"/>
      <c r="Q21" s="276"/>
      <c r="R21" s="238">
        <v>0</v>
      </c>
      <c r="T21" s="276" t="s">
        <v>207</v>
      </c>
      <c r="U21" s="276"/>
      <c r="V21" s="276"/>
    </row>
    <row r="22" spans="1:22" ht="15" customHeight="1">
      <c r="B22" t="s">
        <v>138</v>
      </c>
      <c r="D22" s="31"/>
      <c r="E22" s="31"/>
      <c r="F22" s="31"/>
      <c r="G22" s="31"/>
      <c r="H22" s="7"/>
      <c r="I22" s="7"/>
      <c r="L22" s="38" t="s">
        <v>57</v>
      </c>
      <c r="M22" s="3">
        <v>100</v>
      </c>
      <c r="N22" s="3"/>
      <c r="O22" s="3"/>
      <c r="Q22" s="10"/>
      <c r="T22" s="119">
        <f>+V19</f>
        <v>115517.45441249122</v>
      </c>
      <c r="U22" s="5">
        <v>0.02</v>
      </c>
      <c r="V22" s="5">
        <v>0.03</v>
      </c>
    </row>
    <row r="23" spans="1:22" ht="15" customHeight="1">
      <c r="D23" s="3"/>
      <c r="E23" s="3"/>
      <c r="F23" s="3"/>
      <c r="G23" s="3"/>
      <c r="H23" s="7"/>
      <c r="I23" s="7"/>
      <c r="L23" s="38" t="s">
        <v>58</v>
      </c>
      <c r="M23" s="10">
        <v>0.02</v>
      </c>
      <c r="N23" s="10"/>
      <c r="O23" s="10"/>
      <c r="T23" s="22">
        <v>100</v>
      </c>
      <c r="U23" s="66">
        <f t="dataTable" ref="U23:V24" dt2D="1" dtr="1" r1="M23" r2="M22"/>
        <v>115517.45441249122</v>
      </c>
      <c r="V23" s="66">
        <v>303133.47023756121</v>
      </c>
    </row>
    <row r="24" spans="1:22" ht="15" customHeight="1">
      <c r="F24" s="10"/>
      <c r="G24" s="10"/>
      <c r="H24" s="7"/>
      <c r="I24" s="7"/>
      <c r="T24" s="22">
        <v>1000</v>
      </c>
      <c r="U24" s="66">
        <v>93787.937355232134</v>
      </c>
      <c r="V24" s="66">
        <v>183348.84909528514</v>
      </c>
    </row>
    <row r="25" spans="1:22">
      <c r="H25" s="7"/>
      <c r="I25" s="7"/>
    </row>
    <row r="26" spans="1:22">
      <c r="H26" s="7"/>
      <c r="I26" s="7"/>
    </row>
    <row r="27" spans="1:22">
      <c r="L27" s="43"/>
    </row>
    <row r="30" spans="1:22">
      <c r="L30" s="43"/>
    </row>
    <row r="31" spans="1:22">
      <c r="L31" s="43"/>
    </row>
    <row r="33" spans="12:12">
      <c r="L33" s="47"/>
    </row>
    <row r="34" spans="12:12">
      <c r="L34" s="43"/>
    </row>
  </sheetData>
  <mergeCells count="6">
    <mergeCell ref="B2:G2"/>
    <mergeCell ref="T21:V21"/>
    <mergeCell ref="L2:V2"/>
    <mergeCell ref="L21:M21"/>
    <mergeCell ref="H2:K2"/>
    <mergeCell ref="O21:Q21"/>
  </mergeCells>
  <pageMargins left="0.7" right="0.7" top="0.75" bottom="0.75" header="0.3" footer="0.3"/>
  <pageSetup paperSize="9" orientation="portrait" r:id="rId1"/>
  <ignoredErrors>
    <ignoredError sqref="B4:C16 G14:G16 C17 D14:D16 F18 F4:F17"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C97FE-0BF4-4C8A-932D-485C69046A3F}">
  <sheetPr codeName="Feuil4">
    <tabColor theme="9" tint="-0.249977111117893"/>
  </sheetPr>
  <dimension ref="A1:V37"/>
  <sheetViews>
    <sheetView zoomScaleNormal="100" workbookViewId="0">
      <selection activeCell="I26" sqref="I26"/>
    </sheetView>
  </sheetViews>
  <sheetFormatPr baseColWidth="10" defaultRowHeight="14.4"/>
  <cols>
    <col min="3" max="3" width="11.44140625" style="85"/>
    <col min="4" max="5" width="11.44140625" customWidth="1"/>
    <col min="9" max="10" width="11.44140625" style="85"/>
    <col min="12" max="12" width="11.44140625" style="85"/>
    <col min="15" max="17" width="11.44140625" style="85"/>
    <col min="19" max="19" width="11.44140625" style="85"/>
  </cols>
  <sheetData>
    <row r="1" spans="1:22" ht="15" customHeight="1">
      <c r="L1" s="29"/>
    </row>
    <row r="2" spans="1:22" ht="15" customHeight="1">
      <c r="A2" s="28"/>
      <c r="B2" s="275" t="s">
        <v>130</v>
      </c>
      <c r="C2" s="275"/>
      <c r="D2" s="275"/>
      <c r="E2" s="275"/>
      <c r="F2" s="275"/>
      <c r="G2" s="275"/>
      <c r="H2" s="277" t="s">
        <v>126</v>
      </c>
      <c r="I2" s="277"/>
      <c r="J2" s="277"/>
      <c r="K2" s="277"/>
      <c r="L2" s="278" t="s">
        <v>131</v>
      </c>
      <c r="M2" s="278"/>
      <c r="N2" s="278"/>
      <c r="O2" s="278"/>
      <c r="P2" s="278"/>
      <c r="Q2" s="278"/>
      <c r="R2" s="278"/>
      <c r="S2" s="278"/>
      <c r="T2" s="278"/>
      <c r="U2" s="278"/>
      <c r="V2" s="278"/>
    </row>
    <row r="3" spans="1:22" ht="45" customHeight="1">
      <c r="A3" s="39" t="s">
        <v>7</v>
      </c>
      <c r="B3" s="45" t="s">
        <v>175</v>
      </c>
      <c r="C3" s="45" t="s">
        <v>93</v>
      </c>
      <c r="D3" s="77" t="s">
        <v>17</v>
      </c>
      <c r="E3" s="77" t="s">
        <v>16</v>
      </c>
      <c r="F3" s="42" t="s">
        <v>54</v>
      </c>
      <c r="G3" s="42" t="s">
        <v>55</v>
      </c>
      <c r="H3" s="75" t="s">
        <v>59</v>
      </c>
      <c r="I3" s="161" t="s">
        <v>272</v>
      </c>
      <c r="J3" s="161" t="s">
        <v>273</v>
      </c>
      <c r="K3" s="161" t="s">
        <v>271</v>
      </c>
      <c r="L3" s="150" t="s">
        <v>274</v>
      </c>
      <c r="M3" s="77" t="s">
        <v>17</v>
      </c>
      <c r="N3" s="77" t="s">
        <v>16</v>
      </c>
      <c r="O3" s="105" t="s">
        <v>178</v>
      </c>
      <c r="P3" s="39" t="s">
        <v>176</v>
      </c>
      <c r="Q3" s="39" t="s">
        <v>177</v>
      </c>
      <c r="R3" s="39" t="s">
        <v>137</v>
      </c>
      <c r="S3" s="39" t="s">
        <v>174</v>
      </c>
      <c r="T3" s="105" t="s">
        <v>128</v>
      </c>
      <c r="U3" s="39" t="s">
        <v>127</v>
      </c>
      <c r="V3" s="105" t="s">
        <v>179</v>
      </c>
    </row>
    <row r="4" spans="1:22" ht="15" customHeight="1">
      <c r="A4" s="38" t="s">
        <v>18</v>
      </c>
      <c r="B4" s="102">
        <f>'Palomo et al. (2025)'!L6-'Palomo et al. (2025)'!L7</f>
        <v>15175031.799999997</v>
      </c>
      <c r="C4" s="24">
        <f>'Palomo et al. (2025)'!Q4-'Palomo et al. (2025)'!Q5</f>
        <v>1.5000000000000568E-3</v>
      </c>
      <c r="D4" s="4"/>
      <c r="E4" s="35"/>
      <c r="F4" s="35"/>
      <c r="G4" s="8"/>
      <c r="H4" s="22"/>
      <c r="I4" s="22"/>
      <c r="J4" s="22"/>
      <c r="K4" s="22"/>
      <c r="L4" s="151"/>
      <c r="M4" s="76"/>
      <c r="N4" s="76"/>
      <c r="P4" s="5"/>
      <c r="Q4" s="5"/>
      <c r="R4" s="5"/>
      <c r="S4" s="5"/>
      <c r="T4" s="64"/>
      <c r="U4" s="65"/>
      <c r="V4" s="85"/>
    </row>
    <row r="5" spans="1:22" s="85" customFormat="1" ht="15" customHeight="1">
      <c r="A5" s="38" t="s">
        <v>19</v>
      </c>
      <c r="B5" s="102">
        <f>'Palomo et al. (2025)'!L6-'Palomo et al. (2025)'!L7</f>
        <v>15175031.799999997</v>
      </c>
      <c r="C5" s="24">
        <f>('Palomo et al. (2025)'!Q5-'Palomo et al. (2025)'!Q6)*('Bach et al. (2025)'!F5-'Bach et al. (2025)'!F6)/('Bach et al. (2025)'!F5-'Bach et al. (2025)'!F7)</f>
        <v>1.2525373617271121E-2</v>
      </c>
      <c r="D5" s="4"/>
      <c r="E5" s="35"/>
      <c r="F5" s="35">
        <f>'Palomo et al. (2025)'!C5</f>
        <v>0.48921796000000001</v>
      </c>
      <c r="G5" s="8"/>
      <c r="H5" s="22"/>
      <c r="I5" s="22"/>
      <c r="J5" s="22"/>
      <c r="K5" s="22"/>
      <c r="L5" s="151"/>
      <c r="M5" s="76"/>
      <c r="N5" s="76"/>
      <c r="P5" s="5"/>
      <c r="Q5" s="5"/>
      <c r="R5" s="5"/>
      <c r="S5" s="5"/>
      <c r="T5" s="58">
        <f t="shared" ref="T5:T17" si="0">F5</f>
        <v>0.48921796000000001</v>
      </c>
      <c r="U5" s="57">
        <f>T5</f>
        <v>0.48921796000000001</v>
      </c>
    </row>
    <row r="6" spans="1:22" s="85" customFormat="1" ht="15" customHeight="1">
      <c r="A6" s="38" t="s">
        <v>20</v>
      </c>
      <c r="B6" s="102">
        <f>'Palomo et al. (2025)'!L6-'Palomo et al. (2025)'!L7</f>
        <v>15175031.799999997</v>
      </c>
      <c r="C6" s="24">
        <f>('Palomo et al. (2025)'!Q5-'Palomo et al. (2025)'!Q6)*('Bach et al. (2025)'!F6-'Bach et al. (2025)'!F7)/('Bach et al. (2025)'!F5-'Bach et al. (2025)'!F7)</f>
        <v>2.2128160057178999E-2</v>
      </c>
      <c r="D6" s="4"/>
      <c r="E6" s="35"/>
      <c r="F6" s="35">
        <f>'Palomo et al. (2025)'!C5</f>
        <v>0.48921796000000001</v>
      </c>
      <c r="G6" s="8"/>
      <c r="H6" s="22"/>
      <c r="I6" s="22"/>
      <c r="J6" s="22"/>
      <c r="K6" s="22"/>
      <c r="L6" s="151"/>
      <c r="M6" s="76"/>
      <c r="N6" s="76"/>
      <c r="P6" s="5"/>
      <c r="Q6" s="5"/>
      <c r="R6" s="5"/>
      <c r="S6" s="5"/>
      <c r="T6" s="58">
        <f t="shared" si="0"/>
        <v>0.48921796000000001</v>
      </c>
      <c r="U6" s="57">
        <f t="shared" ref="U6:U8" si="1">T6</f>
        <v>0.48921796000000001</v>
      </c>
    </row>
    <row r="7" spans="1:22" s="85" customFormat="1" ht="15" customHeight="1">
      <c r="A7" s="38" t="s">
        <v>21</v>
      </c>
      <c r="B7" s="102">
        <f>'Palomo et al. (2025)'!L6-'Palomo et al. (2025)'!L7</f>
        <v>15175031.799999997</v>
      </c>
      <c r="C7" s="24">
        <f>'Palomo et al. (2025)'!Q6-'Palomo et al. (2025)'!Q7</f>
        <v>3.4106318017713799E-2</v>
      </c>
      <c r="D7" s="4"/>
      <c r="E7" s="35"/>
      <c r="F7" s="35">
        <f>'Palomo et al. (2025)'!C6</f>
        <v>0.48097889999999999</v>
      </c>
      <c r="G7" s="8"/>
      <c r="H7" s="22"/>
      <c r="I7" s="22"/>
      <c r="J7" s="22"/>
      <c r="K7" s="22"/>
      <c r="L7" s="151"/>
      <c r="M7" s="76"/>
      <c r="N7" s="76"/>
      <c r="P7" s="5"/>
      <c r="Q7" s="5"/>
      <c r="R7" s="5"/>
      <c r="S7" s="5"/>
      <c r="T7" s="58">
        <f t="shared" si="0"/>
        <v>0.48097889999999999</v>
      </c>
      <c r="U7" s="57">
        <f t="shared" si="1"/>
        <v>0.48097889999999999</v>
      </c>
    </row>
    <row r="8" spans="1:22" s="85" customFormat="1" ht="15" customHeight="1">
      <c r="A8" s="38" t="s">
        <v>22</v>
      </c>
      <c r="B8" s="102">
        <f>'Palomo et al. (2025)'!L7-'Palomo et al. (2025)'!L8</f>
        <v>15175031.799999997</v>
      </c>
      <c r="C8" s="24">
        <f>'Palomo et al. (2025)'!Q7-'Palomo et al. (2025)'!Q8</f>
        <v>4.1189000285706823E-2</v>
      </c>
      <c r="D8" s="4"/>
      <c r="E8" s="35"/>
      <c r="F8" s="35">
        <f>'Palomo et al. (2025)'!C7</f>
        <v>0.44749116</v>
      </c>
      <c r="G8" s="8"/>
      <c r="H8" s="22"/>
      <c r="I8" s="22"/>
      <c r="J8" s="22"/>
      <c r="K8" s="22"/>
      <c r="L8" s="151"/>
      <c r="M8" s="76"/>
      <c r="N8" s="76"/>
      <c r="P8" s="5"/>
      <c r="Q8" s="5"/>
      <c r="R8" s="5"/>
      <c r="S8" s="5"/>
      <c r="T8" s="58">
        <f t="shared" si="0"/>
        <v>0.44749116</v>
      </c>
      <c r="U8" s="57">
        <f t="shared" si="1"/>
        <v>0.44749116</v>
      </c>
    </row>
    <row r="9" spans="1:22" ht="15" customHeight="1">
      <c r="A9" s="38" t="s">
        <v>23</v>
      </c>
      <c r="B9" s="102">
        <f>'Palomo et al. (2025)'!L8-'Palomo et al. (2025)'!L9</f>
        <v>15175031.799999997</v>
      </c>
      <c r="C9" s="24">
        <f>'Palomo et al. (2025)'!Q8-'Palomo et al. (2025)'!Q9</f>
        <v>4.9900362328251124E-2</v>
      </c>
      <c r="D9" s="4"/>
      <c r="E9" s="35"/>
      <c r="F9" s="35">
        <f>'Palomo et al. (2025)'!C8</f>
        <v>0.46344125000000003</v>
      </c>
      <c r="G9" s="8"/>
      <c r="H9" s="22"/>
      <c r="I9" s="22"/>
      <c r="J9" s="22"/>
      <c r="K9" s="22"/>
      <c r="L9" s="151"/>
      <c r="M9" s="76"/>
      <c r="N9" s="76"/>
      <c r="P9" s="5"/>
      <c r="Q9" s="5"/>
      <c r="R9" s="5"/>
      <c r="S9" s="5"/>
      <c r="T9" s="58">
        <f t="shared" si="0"/>
        <v>0.46344125000000003</v>
      </c>
      <c r="U9" s="57">
        <f>T9</f>
        <v>0.46344125000000003</v>
      </c>
      <c r="V9" s="85"/>
    </row>
    <row r="10" spans="1:22" s="85" customFormat="1" ht="15" customHeight="1">
      <c r="A10" s="38" t="s">
        <v>24</v>
      </c>
      <c r="B10" s="102">
        <f>'Palomo et al. (2025)'!L9-'Palomo et al. (2025)'!L10</f>
        <v>15175031.800000004</v>
      </c>
      <c r="C10" s="24">
        <f>'Palomo et al. (2025)'!Q9-'Palomo et al. (2025)'!Q10</f>
        <v>6.2538191215812611E-2</v>
      </c>
      <c r="D10" s="4"/>
      <c r="E10" s="35"/>
      <c r="F10" s="35">
        <f>'Palomo et al. (2025)'!C9</f>
        <v>0.46875623</v>
      </c>
      <c r="G10" s="8"/>
      <c r="H10" s="22"/>
      <c r="I10" s="22"/>
      <c r="J10" s="22"/>
      <c r="K10" s="22"/>
      <c r="L10" s="151"/>
      <c r="M10" s="76"/>
      <c r="N10" s="76"/>
      <c r="P10" s="5"/>
      <c r="Q10" s="5"/>
      <c r="R10" s="5"/>
      <c r="S10" s="5"/>
      <c r="T10" s="58">
        <f t="shared" si="0"/>
        <v>0.46875623</v>
      </c>
      <c r="U10" s="57">
        <f t="shared" ref="U10:U12" si="2">T10</f>
        <v>0.46875623</v>
      </c>
    </row>
    <row r="11" spans="1:22" s="85" customFormat="1" ht="15" customHeight="1">
      <c r="A11" s="38" t="s">
        <v>25</v>
      </c>
      <c r="B11" s="102">
        <f>'Palomo et al. (2025)'!L10-'Palomo et al. (2025)'!L11</f>
        <v>15687814.399999999</v>
      </c>
      <c r="C11" s="24">
        <f>'Palomo et al. (2025)'!Q10-'Palomo et al. (2025)'!Q11</f>
        <v>5.6502346876563192E-2</v>
      </c>
      <c r="D11" s="4"/>
      <c r="E11" s="35"/>
      <c r="F11" s="35">
        <f>'Palomo et al. (2025)'!C10</f>
        <v>0.4378783</v>
      </c>
      <c r="G11" s="8"/>
      <c r="H11" s="22"/>
      <c r="I11" s="22"/>
      <c r="J11" s="22"/>
      <c r="K11" s="22"/>
      <c r="L11" s="151"/>
      <c r="M11" s="76"/>
      <c r="N11" s="76"/>
      <c r="P11" s="5"/>
      <c r="Q11" s="5"/>
      <c r="R11" s="5"/>
      <c r="S11" s="5"/>
      <c r="T11" s="58">
        <f t="shared" si="0"/>
        <v>0.4378783</v>
      </c>
      <c r="U11" s="57">
        <f t="shared" si="2"/>
        <v>0.4378783</v>
      </c>
    </row>
    <row r="12" spans="1:22" s="85" customFormat="1" ht="15" customHeight="1">
      <c r="A12" s="38" t="s">
        <v>26</v>
      </c>
      <c r="B12" s="102">
        <f>'Palomo et al. (2025)'!L11-'Palomo et al. (2025)'!L12</f>
        <v>14918641</v>
      </c>
      <c r="C12" s="24">
        <f>'Palomo et al. (2025)'!Q11-'Palomo et al. (2025)'!Q12</f>
        <v>0.13112194988832682</v>
      </c>
      <c r="D12" s="4"/>
      <c r="E12" s="35"/>
      <c r="F12" s="35">
        <f>'Palomo et al. (2025)'!C11</f>
        <v>0.49957816999999999</v>
      </c>
      <c r="G12" s="8"/>
      <c r="H12" s="22"/>
      <c r="I12" s="22"/>
      <c r="J12" s="22"/>
      <c r="K12" s="22"/>
      <c r="L12" s="151"/>
      <c r="M12" s="76"/>
      <c r="N12" s="76"/>
      <c r="P12" s="5"/>
      <c r="Q12" s="5"/>
      <c r="R12" s="5"/>
      <c r="S12" s="5"/>
      <c r="T12" s="58">
        <f t="shared" si="0"/>
        <v>0.49957816999999999</v>
      </c>
      <c r="U12" s="57">
        <f t="shared" si="2"/>
        <v>0.49957816999999999</v>
      </c>
    </row>
    <row r="13" spans="1:22" ht="15" customHeight="1">
      <c r="A13" s="38" t="s">
        <v>27</v>
      </c>
      <c r="B13" s="102">
        <f>'Palomo et al. (2025)'!L12-'Palomo et al. (2025)'!L14</f>
        <v>13426770</v>
      </c>
      <c r="C13" s="24">
        <f>'Palomo et al. (2025)'!Q12-'Palomo et al. (2025)'!Q14</f>
        <v>0.33229162752041924</v>
      </c>
      <c r="D13" s="4"/>
      <c r="E13" s="35"/>
      <c r="F13" s="35">
        <f>('Palomo et al. (2025)'!C12*('Palomo et al. (2025)'!Q12-'Palomo et al. (2025)'!Q13)+'Palomo et al. (2025)'!C13*('Palomo et al. (2025)'!Q13-'Palomo et al. (2025)'!Q14))/('Palomo et al. (2025)'!Q12-'Palomo et al. (2025)'!Q14)</f>
        <v>0.45399179887375457</v>
      </c>
      <c r="G13" s="8"/>
      <c r="H13" s="22"/>
      <c r="I13" s="22"/>
      <c r="J13" s="22"/>
      <c r="K13" s="22"/>
      <c r="L13" s="151"/>
      <c r="M13" s="76"/>
      <c r="N13" s="76"/>
      <c r="P13" s="5"/>
      <c r="Q13" s="5"/>
      <c r="R13" s="5"/>
      <c r="S13" s="5"/>
      <c r="T13" s="58">
        <f t="shared" si="0"/>
        <v>0.45399179887375457</v>
      </c>
      <c r="U13" s="57">
        <f>T13</f>
        <v>0.45399179887375457</v>
      </c>
      <c r="V13" s="85"/>
    </row>
    <row r="14" spans="1:22" ht="15" customHeight="1">
      <c r="A14" s="38" t="s">
        <v>28</v>
      </c>
      <c r="B14" s="102">
        <f>'Palomo et al. (2025)'!L14-'Palomo et al. (2025)'!L15</f>
        <v>1342683</v>
      </c>
      <c r="C14" s="24">
        <f>'Palomo et al. (2025)'!Q14-'Palomo et al. (2025)'!Q15</f>
        <v>0.13925628779884913</v>
      </c>
      <c r="D14" s="4">
        <f>('Palomo et al. (2025)'!L14*'Palomo et al. (2025)'!P14-'Palomo et al. (2025)'!L15*'Palomo et al. (2025)'!P15)/('Palomo et al. (2025)'!L14-'Palomo et al. (2025)'!L15)</f>
        <v>150587.81362007168</v>
      </c>
      <c r="E14" s="4">
        <f>'Palomo et al. (2025)'!O14</f>
        <v>92934.491315136474</v>
      </c>
      <c r="F14" s="35">
        <f>'Palomo et al. (2025)'!C14</f>
        <v>0.30034454999999999</v>
      </c>
      <c r="G14" s="35">
        <f>'Palomo et al. (2025)'!F14 + 'Palomo et al. (2025)'!H14</f>
        <v>9.5415599999999989E-2</v>
      </c>
      <c r="H14" s="96">
        <v>0.13</v>
      </c>
      <c r="I14" s="96">
        <f>WID!O20</f>
        <v>0.11319339541956008</v>
      </c>
      <c r="J14" s="96">
        <f>WID!O51</f>
        <v>0.10086834754733487</v>
      </c>
      <c r="K14" s="20">
        <f>WID!O$69</f>
        <v>1.0179448705106342E-2</v>
      </c>
      <c r="L14" s="152">
        <f>H14*G14</f>
        <v>1.2404027999999999E-2</v>
      </c>
      <c r="M14" s="159">
        <f>D14*(1+I14)^6</f>
        <v>286558.67065793683</v>
      </c>
      <c r="N14" s="159">
        <f>E14*(1+J14)^6</f>
        <v>165420.46445256734</v>
      </c>
      <c r="O14" s="89">
        <f>(N14/H14)/1000000</f>
        <v>1.2724651111735947</v>
      </c>
      <c r="P14" s="98">
        <f>M14/(M14-N14)</f>
        <v>2.3655515434339907</v>
      </c>
      <c r="Q14" s="98">
        <f>P14*(1-(N14/N15)^(P14-1))</f>
        <v>1.9824500947203478</v>
      </c>
      <c r="R14" s="99">
        <f>MIN(1,MAX((M$22^(-Q14+1)-O15^(-Q14+1))/(O14^(-Q14+1)-O15^(-Q14+1)),0))</f>
        <v>0</v>
      </c>
      <c r="S14" s="162">
        <f>MIN(1,MAX((M$22^(-Q14)-O15^(-Q14))/(O14^(-Q14)-O15^(-Q14)),0))*B14*(1+K14)^6</f>
        <v>0</v>
      </c>
      <c r="T14" s="58">
        <f t="shared" si="0"/>
        <v>0.30034454999999999</v>
      </c>
      <c r="U14" s="57">
        <f>F14+MAX(0,M$23/H14-G14)*R14</f>
        <v>0.30034454999999999</v>
      </c>
      <c r="V14" s="164">
        <f>(U14-T14)*M14*B14*(1+K14)^6/1000000</f>
        <v>0</v>
      </c>
    </row>
    <row r="15" spans="1:22" ht="15" customHeight="1">
      <c r="A15" s="38" t="s">
        <v>29</v>
      </c>
      <c r="B15" s="102">
        <f>'Palomo et al. (2025)'!L15-'Palomo et al. (2025)'!L16</f>
        <v>134265</v>
      </c>
      <c r="C15" s="24">
        <f>'Palomo et al. (2025)'!Q15-'Palomo et al. (2025)'!Q16</f>
        <v>5.8412486421841631E-2</v>
      </c>
      <c r="D15" s="4">
        <f>('Palomo et al. (2025)'!L15*'Palomo et al. (2025)'!P15-'Palomo et al. (2025)'!L16*'Palomo et al. (2025)'!P16)/('Palomo et al. (2025)'!L15-'Palomo et al. (2025)'!L16)</f>
        <v>631671.64319220174</v>
      </c>
      <c r="E15" s="4">
        <f>'Palomo et al. (2025)'!O15</f>
        <v>352926.30272952851</v>
      </c>
      <c r="F15" s="35">
        <f>'Palomo et al. (2025)'!C15</f>
        <v>0.22436049</v>
      </c>
      <c r="G15" s="35">
        <f>'Palomo et al. (2025)'!F15 + 'Palomo et al. (2025)'!H15</f>
        <v>4.8548420000000009E-2</v>
      </c>
      <c r="H15" s="96">
        <v>0.108</v>
      </c>
      <c r="I15" s="96">
        <f>WID!O21</f>
        <v>7.1989851223473345E-2</v>
      </c>
      <c r="J15" s="96">
        <f>WID!O52</f>
        <v>0.1006430821501958</v>
      </c>
      <c r="K15" s="20">
        <f>WID!O$69</f>
        <v>1.0179448705106342E-2</v>
      </c>
      <c r="L15" s="152">
        <f t="shared" ref="L15:L18" si="3">H15*G15</f>
        <v>5.2432293600000006E-3</v>
      </c>
      <c r="M15" s="159">
        <f t="shared" ref="M15:N18" si="4">D15*(1+I15)^6</f>
        <v>958595.58399445878</v>
      </c>
      <c r="N15" s="159">
        <f t="shared" si="4"/>
        <v>627426.81561490637</v>
      </c>
      <c r="O15" s="89">
        <f t="shared" ref="O15:O18" si="5">(N15/H15)/1000000</f>
        <v>5.8095075519898742</v>
      </c>
      <c r="P15" s="98">
        <f>M15/(M15-N15)</f>
        <v>2.8945832926364985</v>
      </c>
      <c r="Q15" s="98">
        <f t="shared" ref="Q15:Q17" si="6">P15*(1-(N15/N16)^(P15-1))</f>
        <v>2.6814926293880612</v>
      </c>
      <c r="R15" s="99">
        <f>MIN(1,MAX((M$22^(-Q15+1)-O16^(-Q15+1))/(O15^(-Q15+1)-O16^(-Q15+1)),0))</f>
        <v>0</v>
      </c>
      <c r="S15" s="162">
        <f t="shared" ref="S15:S17" si="7">MIN(1,MAX((M$22^(-Q15)-O16^(-Q15))/(O15^(-Q15)-O16^(-Q15)),0))*B15*(1+K15)^6</f>
        <v>0</v>
      </c>
      <c r="T15" s="58">
        <f t="shared" si="0"/>
        <v>0.22436049</v>
      </c>
      <c r="U15" s="57">
        <f>F15+MAX(0,M$23/H15-G15)*R15</f>
        <v>0.22436049</v>
      </c>
      <c r="V15" s="164">
        <f t="shared" ref="V15:V18" si="8">(U15-T15)*M15*B15*(1+K15)^6/1000000</f>
        <v>0</v>
      </c>
    </row>
    <row r="16" spans="1:22" ht="15" customHeight="1">
      <c r="A16" s="38" t="s">
        <v>8</v>
      </c>
      <c r="B16" s="102">
        <f>'Palomo et al. (2025)'!L16-'Palomo et al. (2025)'!L17</f>
        <v>13430</v>
      </c>
      <c r="C16" s="24">
        <f>'Palomo et al. (2025)'!Q16-'Palomo et al. (2025)'!Q17</f>
        <v>3.0000272895523296E-2</v>
      </c>
      <c r="D16" s="4">
        <f>('Palomo et al. (2025)'!L16*'Palomo et al. (2025)'!P16-'Palomo et al. (2025)'!L17*'Palomo et al. (2025)'!P17)/('Palomo et al. (2025)'!L16-'Palomo et al. (2025)'!L17)</f>
        <v>3243378.9729670803</v>
      </c>
      <c r="E16" s="4">
        <f>'Palomo et al. (2025)'!O16</f>
        <v>1737934.2431761785</v>
      </c>
      <c r="F16" s="35">
        <f>'Palomo et al. (2025)'!C16</f>
        <v>0.21458076000000001</v>
      </c>
      <c r="G16" s="35">
        <f>'Palomo et al. (2025)'!F16 + 'Palomo et al. (2025)'!H16</f>
        <v>3.3692159999999985E-2</v>
      </c>
      <c r="H16" s="96">
        <v>8.3000000000000004E-2</v>
      </c>
      <c r="I16" s="96">
        <f>WID!O22</f>
        <v>5.4629983402930016E-2</v>
      </c>
      <c r="J16" s="96">
        <f>WID!O53</f>
        <v>6.1517047262411362E-2</v>
      </c>
      <c r="K16" s="20">
        <f>WID!O$69</f>
        <v>1.0179448705106342E-2</v>
      </c>
      <c r="L16" s="152">
        <f t="shared" si="3"/>
        <v>2.7964492799999988E-3</v>
      </c>
      <c r="M16" s="159">
        <f t="shared" si="4"/>
        <v>4462707.0862924997</v>
      </c>
      <c r="N16" s="159">
        <f t="shared" si="4"/>
        <v>2486538.4464730052</v>
      </c>
      <c r="O16" s="89">
        <f t="shared" si="5"/>
        <v>29.958294535819338</v>
      </c>
      <c r="P16" s="98">
        <f>M16/(M16-N16)</f>
        <v>2.2582622739626759</v>
      </c>
      <c r="Q16" s="98">
        <f t="shared" si="6"/>
        <v>1.9604510030295832</v>
      </c>
      <c r="R16" s="99">
        <f>MIN(1,MAX((M$22^(-Q16+1)-O17^(-Q16+1))/(O16^(-Q16+1)-O17^(-Q16+1)),0))</f>
        <v>0</v>
      </c>
      <c r="S16" s="162">
        <f t="shared" si="7"/>
        <v>0</v>
      </c>
      <c r="T16" s="58">
        <f t="shared" si="0"/>
        <v>0.21458076000000001</v>
      </c>
      <c r="U16" s="57">
        <f>F16+MAX(0,M$23/H16-G16)*R16</f>
        <v>0.21458076000000001</v>
      </c>
      <c r="V16" s="164">
        <f t="shared" si="8"/>
        <v>0</v>
      </c>
    </row>
    <row r="17" spans="1:22" s="85" customFormat="1" ht="15" customHeight="1">
      <c r="A17" s="38" t="s">
        <v>193</v>
      </c>
      <c r="B17" s="102">
        <f>'Palomo et al. (2025)'!L17-'Palomo et al. (2025)'!L18</f>
        <v>1340</v>
      </c>
      <c r="C17" s="24">
        <f>'Palomo et al. (2025)'!Q17-'Palomo et al. (2025)'!Q18</f>
        <v>1.5756807922822417E-2</v>
      </c>
      <c r="D17" s="79">
        <f>('Palomo et al. (2025)'!L17*'Palomo et al. (2025)'!P17-'Palomo et al. (2025)'!L18*'Palomo et al. (2025)'!P18)/('Palomo et al. (2025)'!L17-'Palomo et al. (2025)'!L18)</f>
        <v>17073082.810266282</v>
      </c>
      <c r="E17" s="4">
        <f>'Palomo et al. (2025)'!O17</f>
        <v>9018191.5632754341</v>
      </c>
      <c r="F17" s="35">
        <f>'Palomo et al. (2025)'!C17</f>
        <v>0.19708729</v>
      </c>
      <c r="G17" s="35">
        <f>'Palomo et al. (2025)'!F17 + 'Palomo et al. (2025)'!H17</f>
        <v>2.0460600000000009E-2</v>
      </c>
      <c r="H17" s="96">
        <v>7.3999999999999996E-2</v>
      </c>
      <c r="I17" s="96">
        <f>WID!O23</f>
        <v>5.5413565648924967E-2</v>
      </c>
      <c r="J17" s="96">
        <f>WID!O54</f>
        <v>5.5083278359018273E-2</v>
      </c>
      <c r="K17" s="20">
        <f>WID!O$69</f>
        <v>1.0179448705106342E-2</v>
      </c>
      <c r="L17" s="152">
        <f t="shared" si="3"/>
        <v>1.5140844000000005E-3</v>
      </c>
      <c r="M17" s="159">
        <f t="shared" si="4"/>
        <v>23596521.130758196</v>
      </c>
      <c r="N17" s="159">
        <f t="shared" si="4"/>
        <v>12440559.049507026</v>
      </c>
      <c r="O17" s="89">
        <f t="shared" si="5"/>
        <v>168.11566283117605</v>
      </c>
      <c r="P17" s="98">
        <f>M17/(M17-N17)</f>
        <v>2.1151489184796319</v>
      </c>
      <c r="Q17" s="98">
        <f t="shared" si="6"/>
        <v>1.7987790551722931</v>
      </c>
      <c r="R17" s="99">
        <f>MIN(1,MAX((M$22^(-Q17+1)-O18^(-Q17+1))/(O17^(-Q17+1)-O18^(-Q17+1)),0))</f>
        <v>0</v>
      </c>
      <c r="S17" s="162">
        <f t="shared" si="7"/>
        <v>0</v>
      </c>
      <c r="T17" s="58">
        <f t="shared" si="0"/>
        <v>0.19708729</v>
      </c>
      <c r="U17" s="57">
        <f>F17+MAX(0,M$23/H17-G17)*R17</f>
        <v>0.19708729</v>
      </c>
      <c r="V17" s="164">
        <f t="shared" si="8"/>
        <v>0</v>
      </c>
    </row>
    <row r="18" spans="1:22" ht="15" customHeight="1">
      <c r="A18" s="38" t="s">
        <v>195</v>
      </c>
      <c r="B18" s="102">
        <f>'Palomo et al. (2025)'!L18</f>
        <v>152</v>
      </c>
      <c r="C18" s="24">
        <f>'Palomo et al. (2025)'!Q18</f>
        <v>1.277081515371974E-2</v>
      </c>
      <c r="D18" s="117">
        <f>'Palomo et al. (2025)'!P18</f>
        <v>121989804.46650124</v>
      </c>
      <c r="E18" s="4">
        <f>'Palomo et al. (2025)'!O18</f>
        <v>49552063.523573197</v>
      </c>
      <c r="F18" s="35">
        <f>'Palomo et al. (2025)'!C17</f>
        <v>0.19708729</v>
      </c>
      <c r="G18" s="35">
        <f>'Palomo et al. (2025)'!F17 + 'Palomo et al. (2025)'!H17</f>
        <v>2.0460600000000009E-2</v>
      </c>
      <c r="H18" s="96">
        <v>0.08</v>
      </c>
      <c r="I18" s="96">
        <f>WID!O23</f>
        <v>5.5413565648924967E-2</v>
      </c>
      <c r="J18" s="96">
        <f>WID!O54</f>
        <v>5.5083278359018273E-2</v>
      </c>
      <c r="K18" s="20">
        <f>WID!O$69</f>
        <v>1.0179448705106342E-2</v>
      </c>
      <c r="L18" s="152">
        <f t="shared" si="3"/>
        <v>1.6368480000000009E-3</v>
      </c>
      <c r="M18" s="159">
        <f t="shared" si="4"/>
        <v>168600775.31516182</v>
      </c>
      <c r="N18" s="159">
        <f t="shared" si="4"/>
        <v>68356872.65729773</v>
      </c>
      <c r="O18" s="89">
        <f t="shared" si="5"/>
        <v>854.46090821622158</v>
      </c>
      <c r="P18" s="98">
        <f>M18/(M18-N18)</f>
        <v>1.6819055408347587</v>
      </c>
      <c r="Q18" s="98"/>
      <c r="R18" s="99">
        <f>IF(M$22&lt;=O18, 1, (O18/M$22)^(P18-1))</f>
        <v>0.8982982045205401</v>
      </c>
      <c r="S18" s="163">
        <f>IF(M$22&lt;=O18, 1, (O18/M$22)^P18)*B18*(1+K18)^6</f>
        <v>123.97881795550306</v>
      </c>
      <c r="T18" s="58">
        <v>0.26</v>
      </c>
      <c r="U18" s="57">
        <f>T18+MAX(0,M$23/H18-G18)*R18</f>
        <v>0.46619483088672209</v>
      </c>
      <c r="V18" s="164">
        <f t="shared" si="8"/>
        <v>5615.2888652676138</v>
      </c>
    </row>
    <row r="19" spans="1:22" ht="15" customHeight="1">
      <c r="A19" s="38"/>
      <c r="G19" s="34"/>
      <c r="H19" s="94"/>
      <c r="I19" s="94"/>
      <c r="J19" s="94"/>
      <c r="S19" s="100">
        <f>SUM(S14:S18)</f>
        <v>123.97881795550306</v>
      </c>
      <c r="V19" s="50">
        <f>SUM(V14:V18)</f>
        <v>5615.2888652676138</v>
      </c>
    </row>
    <row r="20" spans="1:22" ht="15" customHeight="1">
      <c r="B20" s="6" t="s">
        <v>99</v>
      </c>
      <c r="C20" s="6"/>
      <c r="D20" s="6"/>
      <c r="E20" s="6"/>
      <c r="F20" s="6"/>
      <c r="G20" s="6"/>
      <c r="H20" s="95"/>
      <c r="I20" s="95"/>
      <c r="J20" s="95"/>
      <c r="O20" s="10"/>
      <c r="P20" s="10"/>
      <c r="Q20" s="10"/>
      <c r="S20" s="100"/>
    </row>
    <row r="21" spans="1:22" ht="15" customHeight="1">
      <c r="G21" s="34"/>
      <c r="L21" s="276" t="s">
        <v>60</v>
      </c>
      <c r="M21" s="276"/>
      <c r="O21" s="3"/>
      <c r="P21" s="3"/>
      <c r="Q21" s="3"/>
      <c r="R21" s="31"/>
      <c r="S21" s="100"/>
      <c r="T21" s="276" t="s">
        <v>207</v>
      </c>
      <c r="U21" s="276"/>
      <c r="V21" s="276"/>
    </row>
    <row r="22" spans="1:22" ht="15" customHeight="1">
      <c r="D22" s="31"/>
      <c r="E22" s="31"/>
      <c r="F22" s="31"/>
      <c r="G22" s="34"/>
      <c r="L22" s="38" t="s">
        <v>57</v>
      </c>
      <c r="M22" s="3">
        <v>1000</v>
      </c>
      <c r="O22" s="10"/>
      <c r="P22" s="10"/>
      <c r="Q22" s="10"/>
      <c r="R22" s="3"/>
      <c r="S22" s="100"/>
      <c r="T22" s="119">
        <f>V19</f>
        <v>5615.2888652676138</v>
      </c>
      <c r="U22" s="5">
        <v>0.02</v>
      </c>
      <c r="V22" s="5">
        <v>0.03</v>
      </c>
    </row>
    <row r="23" spans="1:22" ht="15" customHeight="1">
      <c r="D23" s="3"/>
      <c r="E23" s="38"/>
      <c r="F23" s="3"/>
      <c r="G23" s="34"/>
      <c r="L23" s="38" t="s">
        <v>58</v>
      </c>
      <c r="M23" s="10">
        <v>0.02</v>
      </c>
      <c r="R23" s="10"/>
      <c r="S23" s="101"/>
      <c r="T23" s="22">
        <v>100</v>
      </c>
      <c r="U23" s="66">
        <f t="dataTable" ref="U23:V24" dt2D="1" dtr="1" r1="M23" r2="M22"/>
        <v>16658.254712723952</v>
      </c>
      <c r="V23" s="66">
        <v>25773.375196274988</v>
      </c>
    </row>
    <row r="24" spans="1:22">
      <c r="D24" s="10"/>
      <c r="E24" s="38"/>
      <c r="F24" s="10"/>
      <c r="G24" s="32"/>
      <c r="T24" s="22">
        <v>1000</v>
      </c>
      <c r="U24" s="66">
        <v>5615.2888652676138</v>
      </c>
      <c r="V24" s="66">
        <v>8673.2000916559864</v>
      </c>
    </row>
    <row r="25" spans="1:22">
      <c r="E25" s="38"/>
    </row>
    <row r="26" spans="1:22">
      <c r="E26" s="38"/>
    </row>
    <row r="27" spans="1:22">
      <c r="E27" s="38"/>
      <c r="L27" s="43"/>
    </row>
    <row r="28" spans="1:22">
      <c r="E28" s="38"/>
    </row>
    <row r="29" spans="1:22">
      <c r="E29" s="38"/>
    </row>
    <row r="30" spans="1:22">
      <c r="E30" s="38"/>
      <c r="L30" s="43"/>
    </row>
    <row r="31" spans="1:22">
      <c r="E31" s="38"/>
      <c r="L31" s="43"/>
    </row>
    <row r="32" spans="1:22">
      <c r="E32" s="38"/>
    </row>
    <row r="33" spans="5:12">
      <c r="E33" s="38"/>
      <c r="L33" s="47"/>
    </row>
    <row r="34" spans="5:12">
      <c r="E34" s="38"/>
      <c r="L34" s="43"/>
    </row>
    <row r="35" spans="5:12">
      <c r="E35" s="38"/>
    </row>
    <row r="36" spans="5:12">
      <c r="E36" s="38"/>
    </row>
    <row r="37" spans="5:12">
      <c r="E37" s="38"/>
    </row>
  </sheetData>
  <mergeCells count="5">
    <mergeCell ref="L21:M21"/>
    <mergeCell ref="B2:G2"/>
    <mergeCell ref="H2:K2"/>
    <mergeCell ref="T21:V21"/>
    <mergeCell ref="L2:V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F64CC-809B-4D95-9F4D-62327EF5483E}">
  <sheetPr>
    <tabColor rgb="FF800080"/>
  </sheetPr>
  <dimension ref="A1:V34"/>
  <sheetViews>
    <sheetView zoomScaleNormal="100" workbookViewId="0">
      <selection activeCell="I32" sqref="I32"/>
    </sheetView>
  </sheetViews>
  <sheetFormatPr baseColWidth="10" defaultRowHeight="14.4"/>
  <cols>
    <col min="3" max="3" width="11.44140625" style="85" customWidth="1"/>
    <col min="4" max="5" width="11.44140625" customWidth="1"/>
    <col min="9" max="10" width="11.44140625" style="85"/>
    <col min="12" max="12" width="11.44140625" style="85" customWidth="1"/>
    <col min="15" max="17" width="11.44140625" style="85"/>
    <col min="19" max="19" width="11.44140625" style="85"/>
  </cols>
  <sheetData>
    <row r="1" spans="1:22" ht="15" customHeight="1">
      <c r="L1" s="29"/>
    </row>
    <row r="2" spans="1:22" ht="15" customHeight="1">
      <c r="A2" s="28"/>
      <c r="B2" s="275" t="s">
        <v>135</v>
      </c>
      <c r="C2" s="275"/>
      <c r="D2" s="275"/>
      <c r="E2" s="275"/>
      <c r="F2" s="275"/>
      <c r="G2" s="275"/>
      <c r="H2" s="277" t="s">
        <v>126</v>
      </c>
      <c r="I2" s="277"/>
      <c r="J2" s="277"/>
      <c r="K2" s="277"/>
      <c r="L2" s="278" t="s">
        <v>132</v>
      </c>
      <c r="M2" s="278"/>
      <c r="N2" s="278"/>
      <c r="O2" s="278"/>
      <c r="P2" s="278"/>
      <c r="Q2" s="278"/>
      <c r="R2" s="278"/>
      <c r="S2" s="278"/>
      <c r="T2" s="278"/>
      <c r="U2" s="278"/>
      <c r="V2" s="278"/>
    </row>
    <row r="3" spans="1:22" ht="43.2">
      <c r="A3" s="39" t="s">
        <v>7</v>
      </c>
      <c r="B3" s="45" t="s">
        <v>175</v>
      </c>
      <c r="C3" s="45" t="s">
        <v>93</v>
      </c>
      <c r="D3" s="77" t="s">
        <v>17</v>
      </c>
      <c r="E3" s="77" t="s">
        <v>16</v>
      </c>
      <c r="F3" s="42" t="s">
        <v>54</v>
      </c>
      <c r="G3" s="42" t="s">
        <v>55</v>
      </c>
      <c r="H3" s="75" t="s">
        <v>59</v>
      </c>
      <c r="I3" s="161" t="s">
        <v>272</v>
      </c>
      <c r="J3" s="161" t="s">
        <v>273</v>
      </c>
      <c r="K3" s="161" t="s">
        <v>271</v>
      </c>
      <c r="L3" s="150" t="s">
        <v>274</v>
      </c>
      <c r="M3" s="77" t="s">
        <v>17</v>
      </c>
      <c r="N3" s="77" t="s">
        <v>16</v>
      </c>
      <c r="O3" s="105" t="s">
        <v>178</v>
      </c>
      <c r="P3" s="39" t="s">
        <v>176</v>
      </c>
      <c r="Q3" s="39" t="s">
        <v>177</v>
      </c>
      <c r="R3" s="39" t="s">
        <v>137</v>
      </c>
      <c r="S3" s="39" t="s">
        <v>174</v>
      </c>
      <c r="T3" s="105" t="s">
        <v>128</v>
      </c>
      <c r="U3" s="39" t="s">
        <v>127</v>
      </c>
      <c r="V3" s="105" t="s">
        <v>179</v>
      </c>
    </row>
    <row r="4" spans="1:22" ht="15" customHeight="1">
      <c r="A4" s="38" t="s">
        <v>18</v>
      </c>
      <c r="B4" s="89">
        <f>'Guzzardi et al. (2024)'!C23</f>
        <v>5069945</v>
      </c>
      <c r="C4" s="63">
        <f>('Guzzardi et al. (2024)'!F$21+'Guzzardi et al. (2024)'!F$22)*('Bach et al. (2025)'!F4-'Bach et al. (2025)'!F5)/('Bach et al. (2025)'!F$4-'Bach et al. (2025)'!F$9)</f>
        <v>1.4365452408931214E-3</v>
      </c>
      <c r="D4" s="35"/>
      <c r="E4" s="35"/>
      <c r="G4" s="8"/>
      <c r="H4" s="22"/>
      <c r="I4" s="22"/>
      <c r="J4" s="22"/>
      <c r="K4" s="22"/>
      <c r="L4" s="151"/>
      <c r="M4" s="76"/>
      <c r="N4" s="76"/>
      <c r="P4" s="5"/>
      <c r="Q4" s="5"/>
      <c r="R4" s="5"/>
      <c r="S4" s="5"/>
      <c r="T4" s="64"/>
      <c r="U4" s="65"/>
      <c r="V4" s="85"/>
    </row>
    <row r="5" spans="1:22" s="85" customFormat="1" ht="15" customHeight="1">
      <c r="A5" s="38" t="s">
        <v>19</v>
      </c>
      <c r="B5" s="89">
        <f>'Guzzardi et al. (2024)'!C23</f>
        <v>5069945</v>
      </c>
      <c r="C5" s="63">
        <f>('Guzzardi et al. (2024)'!F$21+'Guzzardi et al. (2024)'!F$22)*('Bach et al. (2025)'!F5-'Bach et al. (2025)'!F6)/('Bach et al. (2025)'!F$4-'Bach et al. (2025)'!F$9)</f>
        <v>2.0111633372502886E-2</v>
      </c>
      <c r="D5" s="35"/>
      <c r="E5" s="35"/>
      <c r="F5" s="35">
        <f>'Guzzardi et al. (2024)'!C4</f>
        <v>0.42</v>
      </c>
      <c r="G5" s="8"/>
      <c r="H5" s="22"/>
      <c r="I5" s="22"/>
      <c r="J5" s="22"/>
      <c r="K5" s="22"/>
      <c r="L5" s="151"/>
      <c r="M5" s="76"/>
      <c r="N5" s="76"/>
      <c r="P5" s="5"/>
      <c r="Q5" s="5"/>
      <c r="R5" s="5"/>
      <c r="S5" s="5"/>
      <c r="T5" s="71">
        <f t="shared" ref="T5:T17" si="0">F5</f>
        <v>0.42</v>
      </c>
      <c r="U5" s="70">
        <f>T5</f>
        <v>0.42</v>
      </c>
    </row>
    <row r="6" spans="1:22" s="85" customFormat="1" ht="15" customHeight="1">
      <c r="A6" s="38" t="s">
        <v>20</v>
      </c>
      <c r="B6" s="89">
        <f>'Guzzardi et al. (2024)'!C23</f>
        <v>5069945</v>
      </c>
      <c r="C6" s="63">
        <f>('Guzzardi et al. (2024)'!F$21+'Guzzardi et al. (2024)'!F$22)*('Bach et al. (2025)'!F6-'Bach et al. (2025)'!F7)/('Bach et al. (2025)'!F$4-'Bach et al. (2025)'!F$9)</f>
        <v>3.5530552291421796E-2</v>
      </c>
      <c r="D6" s="35"/>
      <c r="E6" s="35"/>
      <c r="F6" s="35">
        <f>'Guzzardi et al. (2024)'!C4</f>
        <v>0.42</v>
      </c>
      <c r="G6" s="8"/>
      <c r="H6" s="22"/>
      <c r="I6" s="22"/>
      <c r="J6" s="22"/>
      <c r="K6" s="22"/>
      <c r="L6" s="151"/>
      <c r="M6" s="76"/>
      <c r="N6" s="76"/>
      <c r="P6" s="5"/>
      <c r="Q6" s="5"/>
      <c r="R6" s="5"/>
      <c r="S6" s="5"/>
      <c r="T6" s="71">
        <f t="shared" si="0"/>
        <v>0.42</v>
      </c>
      <c r="U6" s="70">
        <f t="shared" ref="U6:U8" si="1">T6</f>
        <v>0.42</v>
      </c>
    </row>
    <row r="7" spans="1:22" s="85" customFormat="1" ht="15" customHeight="1">
      <c r="A7" s="38" t="s">
        <v>21</v>
      </c>
      <c r="B7" s="89">
        <f>'Guzzardi et al. (2024)'!C23</f>
        <v>5069945</v>
      </c>
      <c r="C7" s="63">
        <f>('Guzzardi et al. (2024)'!F$21+'Guzzardi et al. (2024)'!F$22)*('Bach et al. (2025)'!F7-'Bach et al. (2025)'!F8)/('Bach et al. (2025)'!F$4-'Bach et al. (2025)'!F$9)</f>
        <v>4.6544065804935371E-2</v>
      </c>
      <c r="D7" s="35"/>
      <c r="E7" s="35"/>
      <c r="F7" s="35">
        <f>'Guzzardi et al. (2024)'!C4</f>
        <v>0.42</v>
      </c>
      <c r="G7" s="8"/>
      <c r="H7" s="22"/>
      <c r="I7" s="22"/>
      <c r="J7" s="22"/>
      <c r="K7" s="22"/>
      <c r="L7" s="151"/>
      <c r="M7" s="76"/>
      <c r="N7" s="76"/>
      <c r="P7" s="5"/>
      <c r="Q7" s="5"/>
      <c r="R7" s="5"/>
      <c r="S7" s="5"/>
      <c r="T7" s="71">
        <f t="shared" si="0"/>
        <v>0.42</v>
      </c>
      <c r="U7" s="70">
        <f t="shared" si="1"/>
        <v>0.42</v>
      </c>
    </row>
    <row r="8" spans="1:22" s="85" customFormat="1" ht="15" customHeight="1">
      <c r="A8" s="38" t="s">
        <v>22</v>
      </c>
      <c r="B8" s="89">
        <f>'Guzzardi et al. (2024)'!C23</f>
        <v>5069945</v>
      </c>
      <c r="C8" s="63">
        <f>('Guzzardi et al. (2024)'!F$21+'Guzzardi et al. (2024)'!F$22)*('Bach et al. (2025)'!F8-'Bach et al. (2025)'!F9)/('Bach et al. (2025)'!F$4-'Bach et al. (2025)'!F$9)</f>
        <v>5.9377203290246802E-2</v>
      </c>
      <c r="D8" s="136"/>
      <c r="E8" s="35"/>
      <c r="F8" s="35">
        <f>'Guzzardi et al. (2024)'!C4</f>
        <v>0.42</v>
      </c>
      <c r="G8" s="8"/>
      <c r="H8" s="22"/>
      <c r="I8" s="22"/>
      <c r="J8" s="22"/>
      <c r="K8" s="22"/>
      <c r="L8" s="151"/>
      <c r="M8" s="76"/>
      <c r="N8" s="76"/>
      <c r="P8" s="5"/>
      <c r="Q8" s="5"/>
      <c r="R8" s="5"/>
      <c r="S8" s="5"/>
      <c r="T8" s="71">
        <f t="shared" si="0"/>
        <v>0.42</v>
      </c>
      <c r="U8" s="70">
        <f t="shared" si="1"/>
        <v>0.42</v>
      </c>
    </row>
    <row r="9" spans="1:22" ht="15" customHeight="1">
      <c r="A9" s="38" t="s">
        <v>23</v>
      </c>
      <c r="B9" s="89">
        <f>'Guzzardi et al. (2024)'!C23</f>
        <v>5069945</v>
      </c>
      <c r="C9" s="63">
        <f>'Guzzardi et al. (2024)'!F23</f>
        <v>8.5999999999999993E-2</v>
      </c>
      <c r="D9" s="136"/>
      <c r="E9" s="35"/>
      <c r="F9" s="35">
        <f>'Guzzardi et al. (2024)'!C5</f>
        <v>0.43</v>
      </c>
      <c r="G9" s="8"/>
      <c r="H9" s="22"/>
      <c r="I9" s="22"/>
      <c r="J9" s="22"/>
      <c r="K9" s="22"/>
      <c r="L9" s="151"/>
      <c r="M9" s="76"/>
      <c r="N9" s="76"/>
      <c r="P9" s="5"/>
      <c r="Q9" s="5"/>
      <c r="R9" s="5"/>
      <c r="S9" s="5"/>
      <c r="T9" s="71">
        <f t="shared" si="0"/>
        <v>0.43</v>
      </c>
      <c r="U9" s="70">
        <f>T9</f>
        <v>0.43</v>
      </c>
      <c r="V9" s="85"/>
    </row>
    <row r="10" spans="1:22" s="85" customFormat="1" ht="15" customHeight="1">
      <c r="A10" s="38" t="s">
        <v>24</v>
      </c>
      <c r="B10" s="89">
        <f>'Guzzardi et al. (2024)'!C23</f>
        <v>5069945</v>
      </c>
      <c r="C10" s="63">
        <f>'Guzzardi et al. (2024)'!F24</f>
        <v>0.105</v>
      </c>
      <c r="D10" s="136"/>
      <c r="E10" s="35"/>
      <c r="F10" s="35">
        <f>'Guzzardi et al. (2024)'!C6</f>
        <v>0.45</v>
      </c>
      <c r="G10" s="8"/>
      <c r="H10" s="22"/>
      <c r="I10" s="22"/>
      <c r="J10" s="22"/>
      <c r="K10" s="22"/>
      <c r="L10" s="151"/>
      <c r="M10" s="76"/>
      <c r="N10" s="76"/>
      <c r="P10" s="5"/>
      <c r="Q10" s="5"/>
      <c r="R10" s="5"/>
      <c r="S10" s="5"/>
      <c r="T10" s="71">
        <f t="shared" si="0"/>
        <v>0.45</v>
      </c>
      <c r="U10" s="70">
        <f t="shared" ref="U10:U12" si="2">T10</f>
        <v>0.45</v>
      </c>
    </row>
    <row r="11" spans="1:22" s="85" customFormat="1" ht="15" customHeight="1">
      <c r="A11" s="38" t="s">
        <v>25</v>
      </c>
      <c r="B11" s="89">
        <f>'Guzzardi et al. (2024)'!C23</f>
        <v>5069945</v>
      </c>
      <c r="C11" s="63">
        <f>'Guzzardi et al. (2024)'!F25</f>
        <v>0.129</v>
      </c>
      <c r="D11" s="136"/>
      <c r="E11" s="35"/>
      <c r="F11" s="35">
        <f>'Guzzardi et al. (2024)'!C7</f>
        <v>0.47</v>
      </c>
      <c r="G11" s="8"/>
      <c r="H11" s="22"/>
      <c r="I11" s="22"/>
      <c r="J11" s="22"/>
      <c r="K11" s="22"/>
      <c r="L11" s="151"/>
      <c r="M11" s="76"/>
      <c r="N11" s="76"/>
      <c r="P11" s="5"/>
      <c r="Q11" s="5"/>
      <c r="R11" s="5"/>
      <c r="S11" s="5"/>
      <c r="T11" s="71">
        <f t="shared" si="0"/>
        <v>0.47</v>
      </c>
      <c r="U11" s="70">
        <f t="shared" si="2"/>
        <v>0.47</v>
      </c>
    </row>
    <row r="12" spans="1:22" s="85" customFormat="1" ht="15" customHeight="1">
      <c r="A12" s="38" t="s">
        <v>26</v>
      </c>
      <c r="B12" s="89">
        <f>'Guzzardi et al. (2024)'!C23</f>
        <v>5069945</v>
      </c>
      <c r="C12" s="63">
        <f>'Guzzardi et al. (2024)'!F26</f>
        <v>0.16400000000000001</v>
      </c>
      <c r="D12" s="4"/>
      <c r="E12" s="35"/>
      <c r="F12" s="35">
        <f>'Guzzardi et al. (2024)'!C8</f>
        <v>0.49</v>
      </c>
      <c r="G12" s="8"/>
      <c r="H12" s="22"/>
      <c r="I12" s="22"/>
      <c r="J12" s="22"/>
      <c r="K12" s="22"/>
      <c r="L12" s="151"/>
      <c r="M12" s="76"/>
      <c r="N12" s="76"/>
      <c r="P12" s="5"/>
      <c r="Q12" s="5"/>
      <c r="R12" s="5"/>
      <c r="S12" s="5"/>
      <c r="T12" s="71">
        <f t="shared" si="0"/>
        <v>0.49</v>
      </c>
      <c r="U12" s="70">
        <f t="shared" si="2"/>
        <v>0.49</v>
      </c>
    </row>
    <row r="13" spans="1:22" ht="15" customHeight="1">
      <c r="A13" s="38" t="s">
        <v>27</v>
      </c>
      <c r="B13" s="89">
        <f>'Guzzardi et al. (2024)'!C27-'Guzzardi et al. (2024)'!C29</f>
        <v>4562951</v>
      </c>
      <c r="C13" s="63">
        <f>'Guzzardi et al. (2024)'!F27 -'Guzzardi et al. (2024)'!F29</f>
        <v>0.252</v>
      </c>
      <c r="D13" s="4"/>
      <c r="E13" s="35"/>
      <c r="F13" s="35">
        <f>'Guzzardi et al. (2024)'!C9</f>
        <v>0.5</v>
      </c>
      <c r="G13" s="8"/>
      <c r="H13" s="22"/>
      <c r="I13" s="22"/>
      <c r="J13" s="22"/>
      <c r="K13" s="22"/>
      <c r="L13" s="151"/>
      <c r="M13" s="76"/>
      <c r="N13" s="76"/>
      <c r="P13" s="5"/>
      <c r="Q13" s="5"/>
      <c r="R13" s="5"/>
      <c r="S13" s="5"/>
      <c r="T13" s="71">
        <f t="shared" si="0"/>
        <v>0.5</v>
      </c>
      <c r="U13" s="70">
        <f>T13</f>
        <v>0.5</v>
      </c>
      <c r="V13" s="85"/>
    </row>
    <row r="14" spans="1:22" ht="15" customHeight="1">
      <c r="A14" s="38" t="s">
        <v>28</v>
      </c>
      <c r="B14" s="89">
        <f>'Guzzardi et al. (2024)'!C29-'Guzzardi et al. (2024)'!C30</f>
        <v>456295</v>
      </c>
      <c r="C14" s="63">
        <f>'Guzzardi et al. (2024)'!F29 -'Guzzardi et al. (2024)'!F30</f>
        <v>7.2999999999999995E-2</v>
      </c>
      <c r="D14" s="4">
        <f>('Guzzardi et al. (2024)'!C29*'Guzzardi et al. (2024)'!E29-'Guzzardi et al. (2024)'!C30*'Guzzardi et al. (2024)'!E30)/('Guzzardi et al. (2024)'!C29-'Guzzardi et al. (2024)'!C30)</f>
        <v>212338.52869086884</v>
      </c>
      <c r="E14" s="4">
        <f>'Guzzardi et al. (2024)'!D29</f>
        <v>147733</v>
      </c>
      <c r="F14" s="35">
        <f>'Guzzardi et al. (2024)'!C10</f>
        <v>0.43</v>
      </c>
      <c r="G14" s="35">
        <f>'Guzzardi et al. (2024)'!D10</f>
        <v>0.25</v>
      </c>
      <c r="H14" s="96">
        <v>0.13</v>
      </c>
      <c r="I14" s="96">
        <f>WID!O25</f>
        <v>3.9529547284178124E-2</v>
      </c>
      <c r="J14" s="96">
        <f>WID!O56</f>
        <v>3.5268474725843157E-2</v>
      </c>
      <c r="K14" s="20">
        <f>WID!O$70</f>
        <v>-8.4327136323003593E-5</v>
      </c>
      <c r="L14" s="152">
        <f>H14*G14</f>
        <v>3.2500000000000001E-2</v>
      </c>
      <c r="M14" s="159">
        <f>D14*(1+I14)^10</f>
        <v>312893.96363504999</v>
      </c>
      <c r="N14" s="159">
        <f>E14*(1+J14)^10</f>
        <v>208933.17833310034</v>
      </c>
      <c r="O14" s="89">
        <f>(N14/H14)/1000000</f>
        <v>1.6071782948700026</v>
      </c>
      <c r="P14" s="98">
        <f>M14/(M14-N14)</f>
        <v>3.0097306664841255</v>
      </c>
      <c r="Q14" s="98">
        <f>P14*(1-(N14/N15)^(P14-1))</f>
        <v>2.6588891870642852</v>
      </c>
      <c r="R14" s="99">
        <f>MIN(1,MAX((M$22^(-Q14+1)-O15^(-Q14+1))/(O14^(-Q14+1)-O15^(-Q14+1)),0))</f>
        <v>0</v>
      </c>
      <c r="S14" s="162">
        <f>MIN(1,MAX((M$22^(-Q14)-O15^(-Q14))/(O14^(-Q14)-O15^(-Q14)),0))*B14*(1+K14)^6</f>
        <v>0</v>
      </c>
      <c r="T14" s="71">
        <f t="shared" si="0"/>
        <v>0.43</v>
      </c>
      <c r="U14" s="70">
        <f>F14+MAX(0,M$23/H14-G14)*R14</f>
        <v>0.43</v>
      </c>
      <c r="V14" s="164">
        <f>(U14-T14)*M14*B14*(1+K14)^10/1000000</f>
        <v>0</v>
      </c>
    </row>
    <row r="15" spans="1:22" ht="15" customHeight="1">
      <c r="A15" s="38" t="s">
        <v>29</v>
      </c>
      <c r="B15" s="89">
        <f>'Guzzardi et al. (2024)'!C30*0.9</f>
        <v>45629.1</v>
      </c>
      <c r="C15" s="63">
        <f>(B15*D15)/(D$14*B$14/C$14)</f>
        <v>2.8490773861392697E-2</v>
      </c>
      <c r="D15" s="4">
        <f>('Guzzardi et al. (2024)'!E30*SUM(B15:B18)-B16*D16-B17*D17-B18*D18)/B15</f>
        <v>828731.7858350646</v>
      </c>
      <c r="E15" s="4">
        <f>D15/'Guzzardi et al. (2024)'!G$30</f>
        <v>351780.29656579491</v>
      </c>
      <c r="F15" s="35">
        <f>'Guzzardi et al. (2024)'!C11</f>
        <v>0.36</v>
      </c>
      <c r="G15" s="35">
        <f>'Guzzardi et al. (2024)'!D11</f>
        <v>0.15</v>
      </c>
      <c r="H15" s="96">
        <v>0.108</v>
      </c>
      <c r="I15" s="96">
        <f>WID!O26</f>
        <v>6.0947378546226894E-2</v>
      </c>
      <c r="J15" s="96">
        <f>WID!O57</f>
        <v>5.6375828337975165E-2</v>
      </c>
      <c r="K15" s="20">
        <f>WID!O$70</f>
        <v>-8.4327136323003593E-5</v>
      </c>
      <c r="L15" s="152">
        <f t="shared" ref="L15:L18" si="3">H15*G15</f>
        <v>1.6199999999999999E-2</v>
      </c>
      <c r="M15" s="159">
        <f t="shared" ref="M15:M18" si="4">D15*(1+I15)^10</f>
        <v>1497450.368416836</v>
      </c>
      <c r="N15" s="159">
        <f t="shared" ref="N15:N18" si="5">E15*(1+J15)^10</f>
        <v>608773.95417348668</v>
      </c>
      <c r="O15" s="89">
        <f t="shared" ref="O15:O18" si="6">(N15/H15)/1000000</f>
        <v>5.6367958719767284</v>
      </c>
      <c r="P15" s="98">
        <f>M15/(M15-N15)</f>
        <v>1.6850344449524053</v>
      </c>
      <c r="Q15" s="98">
        <f t="shared" ref="Q15:Q17" si="7">P15*(1-(N15/N16)^(P15-1))</f>
        <v>1.0456869094901009</v>
      </c>
      <c r="R15" s="99">
        <f>MIN(1,MAX((M$22^(-Q15+1)-O16^(-Q15+1))/(O15^(-Q15+1)-O16^(-Q15+1)),0))</f>
        <v>0</v>
      </c>
      <c r="S15" s="162">
        <f t="shared" ref="S15:S17" si="8">MIN(1,MAX((M$22^(-Q15)-O16^(-Q15))/(O15^(-Q15)-O16^(-Q15)),0))*B15*(1+K15)^6</f>
        <v>0</v>
      </c>
      <c r="T15" s="71">
        <f t="shared" si="0"/>
        <v>0.36</v>
      </c>
      <c r="U15" s="70">
        <f>F15+MAX(0,M$23/H15-G15)*R15</f>
        <v>0.36</v>
      </c>
      <c r="V15" s="164">
        <f t="shared" ref="V15:V18" si="9">(U15-T15)*M15*B15*(1+K15)^10/1000000</f>
        <v>0</v>
      </c>
    </row>
    <row r="16" spans="1:22" ht="15" customHeight="1">
      <c r="A16" s="38" t="s">
        <v>8</v>
      </c>
      <c r="B16" s="89">
        <f>'Guzzardi et al. (2024)'!C30*0.09</f>
        <v>4562.91</v>
      </c>
      <c r="C16" s="63">
        <f t="shared" ref="C16:C18" si="10">(B16*D16)/(D$14*B$14/C$14)</f>
        <v>1.073893619039298E-2</v>
      </c>
      <c r="D16" s="4">
        <f>(('Guzzardi et al. (2024)'!E30*(SUM(B15:B18)/SUM(B16:B18))^(('Guzzardi et al. (2024)'!G30-1)/'Guzzardi et al. (2024)'!G30))*SUM(B16:B18)-B17*D17-B18*D18)/B16</f>
        <v>3123712.1919994564</v>
      </c>
      <c r="E16" s="4">
        <f>D16/'Guzzardi et al. (2024)'!G$30</f>
        <v>1325954.2110847125</v>
      </c>
      <c r="F16" s="35">
        <f>'Guzzardi et al. (2024)'!C11 - (1/3)*('Guzzardi et al. (2024)'!C11 - 'Guzzardi et al. (2024)'!C12)</f>
        <v>0.3</v>
      </c>
      <c r="G16" s="35">
        <f>F16*('Guzzardi et al. (2024)'!D$11/'Guzzardi et al. (2024)'!C$11)</f>
        <v>0.125</v>
      </c>
      <c r="H16" s="96">
        <v>8.3000000000000004E-2</v>
      </c>
      <c r="I16" s="96">
        <f>WID!O27</f>
        <v>6.8384531363919754E-2</v>
      </c>
      <c r="J16" s="96">
        <f>WID!O58</f>
        <v>6.5689780550636678E-2</v>
      </c>
      <c r="K16" s="20">
        <f>WID!O$70</f>
        <v>-8.4327136323003593E-5</v>
      </c>
      <c r="L16" s="152">
        <f t="shared" si="3"/>
        <v>1.0375000000000001E-2</v>
      </c>
      <c r="M16" s="159">
        <f t="shared" si="4"/>
        <v>6052669.0375498645</v>
      </c>
      <c r="N16" s="159">
        <f t="shared" si="5"/>
        <v>2505166.169090745</v>
      </c>
      <c r="O16" s="89">
        <f t="shared" si="6"/>
        <v>30.182724928804156</v>
      </c>
      <c r="P16" s="98">
        <f>M16/(M16-N16)</f>
        <v>1.7061773484002509</v>
      </c>
      <c r="Q16" s="98">
        <f t="shared" si="7"/>
        <v>1.0990740246261153</v>
      </c>
      <c r="R16" s="99">
        <f>MIN(1,MAX((M$22^(-Q16+1)-O17^(-Q16+1))/(O16^(-Q16+1)-O17^(-Q16+1)),0))</f>
        <v>0</v>
      </c>
      <c r="S16" s="162">
        <f t="shared" si="8"/>
        <v>0</v>
      </c>
      <c r="T16" s="71">
        <f t="shared" si="0"/>
        <v>0.3</v>
      </c>
      <c r="U16" s="70">
        <f>F16+MAX(0,M$23/H16-G16)*R16</f>
        <v>0.3</v>
      </c>
      <c r="V16" s="164">
        <f t="shared" si="9"/>
        <v>0</v>
      </c>
    </row>
    <row r="17" spans="1:22" s="85" customFormat="1" ht="15" customHeight="1">
      <c r="A17" s="38" t="s">
        <v>193</v>
      </c>
      <c r="B17" s="89">
        <f>'Guzzardi et al. (2024)'!C30*0.009</f>
        <v>456.29099999999994</v>
      </c>
      <c r="C17" s="63">
        <f t="shared" si="10"/>
        <v>4.1122131681874743E-3</v>
      </c>
      <c r="D17" s="4">
        <f>(('Guzzardi et al. (2024)'!E30*(SUM(B15:B18)/SUM(B17:B18))^(('Guzzardi et al. (2024)'!G30-1)/'Guzzardi et al. (2024)'!G30))*(B17+B18)-B18*D18)/B17</f>
        <v>11961492.443785403</v>
      </c>
      <c r="E17" s="4">
        <f>D17/'Guzzardi et al. (2024)'!G$30</f>
        <v>5077417.6050269054</v>
      </c>
      <c r="F17" s="35">
        <f>'Guzzardi et al. (2024)'!C11 - (2/3)*('Guzzardi et al. (2024)'!C11 - 'Guzzardi et al. (2024)'!C12)</f>
        <v>0.24</v>
      </c>
      <c r="G17" s="35">
        <f>F17*('Guzzardi et al. (2024)'!D$11/'Guzzardi et al. (2024)'!C$11)</f>
        <v>0.1</v>
      </c>
      <c r="H17" s="96">
        <v>7.3999999999999996E-2</v>
      </c>
      <c r="I17" s="96">
        <f>WID!O28</f>
        <v>8.1211273676845996E-2</v>
      </c>
      <c r="J17" s="96">
        <f>WID!O59</f>
        <v>7.8617252423557993E-2</v>
      </c>
      <c r="K17" s="20">
        <f>WID!O$70</f>
        <v>-8.4327136323003593E-5</v>
      </c>
      <c r="L17" s="152">
        <f t="shared" si="3"/>
        <v>7.4000000000000003E-3</v>
      </c>
      <c r="M17" s="159">
        <f t="shared" si="4"/>
        <v>26115059.772545647</v>
      </c>
      <c r="N17" s="159">
        <f t="shared" si="5"/>
        <v>10822223.77519024</v>
      </c>
      <c r="O17" s="89">
        <f t="shared" si="6"/>
        <v>146.24626723230054</v>
      </c>
      <c r="P17" s="98">
        <f>M17/(M17-N17)</f>
        <v>1.7076662417004753</v>
      </c>
      <c r="Q17" s="98">
        <f t="shared" si="7"/>
        <v>1.2067747065751648</v>
      </c>
      <c r="R17" s="99">
        <f>MIN(1,MAX((M$22^(-Q17+1)-O18^(-Q17+1))/(O17^(-Q17+1)-O18^(-Q17+1)),0))</f>
        <v>0.14725955363948842</v>
      </c>
      <c r="S17" s="162">
        <f t="shared" si="8"/>
        <v>19.136171038948142</v>
      </c>
      <c r="T17" s="71">
        <f t="shared" si="0"/>
        <v>0.24</v>
      </c>
      <c r="U17" s="70">
        <f>F17+MAX(0,M$23/H17-G17)*R17</f>
        <v>0.26507392399807506</v>
      </c>
      <c r="V17" s="164">
        <f t="shared" si="9"/>
        <v>298.53069258009668</v>
      </c>
    </row>
    <row r="18" spans="1:22" ht="15" customHeight="1">
      <c r="A18" s="38" t="s">
        <v>195</v>
      </c>
      <c r="B18" s="89">
        <f>'Guzzardi et al. (2024)'!C30*0.0009</f>
        <v>45.629100000000001</v>
      </c>
      <c r="C18" s="63">
        <f t="shared" si="10"/>
        <v>2.3268805754054268E-3</v>
      </c>
      <c r="D18" s="138">
        <f>'Guzzardi et al. (2024)'!E30*(SUM(B15:B18)/B18)^(('Guzzardi et al. (2024)'!G30-1)/'Guzzardi et al. (2024)'!G30)</f>
        <v>67683661.527135476</v>
      </c>
      <c r="E18" s="4">
        <f>D18/'Guzzardi et al. (2024)'!G$30</f>
        <v>28730379.27546471</v>
      </c>
      <c r="F18" s="35">
        <f>'Guzzardi et al. (2024)'!C12</f>
        <v>0.18</v>
      </c>
      <c r="G18" s="35">
        <f>F18*('Guzzardi et al. (2024)'!D$11/'Guzzardi et al. (2024)'!C$11)</f>
        <v>7.4999999999999997E-2</v>
      </c>
      <c r="H18" s="96">
        <v>0.04</v>
      </c>
      <c r="I18" s="96">
        <f>WID!O28</f>
        <v>8.1211273676845996E-2</v>
      </c>
      <c r="J18" s="96">
        <f>WID!O59</f>
        <v>7.8617252423557993E-2</v>
      </c>
      <c r="K18" s="20">
        <f>WID!O$70</f>
        <v>-8.4327136323003593E-5</v>
      </c>
      <c r="L18" s="152">
        <f t="shared" si="3"/>
        <v>3.0000000000000001E-3</v>
      </c>
      <c r="M18" s="159">
        <f t="shared" si="4"/>
        <v>147771097.52088076</v>
      </c>
      <c r="N18" s="159">
        <f t="shared" si="5"/>
        <v>61237152.003674813</v>
      </c>
      <c r="O18" s="89">
        <f t="shared" si="6"/>
        <v>1530.9288000918702</v>
      </c>
      <c r="P18" s="98">
        <f>M18/(M18-N18)</f>
        <v>1.7076662417004751</v>
      </c>
      <c r="Q18" s="98"/>
      <c r="R18" s="99">
        <f>IF(M$22&lt;=O18, 1, (O18/M$22)^(P18-1))</f>
        <v>1</v>
      </c>
      <c r="S18" s="163">
        <f>IF(M$22&lt;=O18, 1, (O18/M$22)^P18)*B18*(1+K18)^6</f>
        <v>45.606018238509897</v>
      </c>
      <c r="T18" s="71">
        <v>0.26</v>
      </c>
      <c r="U18" s="70">
        <f>T18+MAX(0,M$23/H18-G18)*R18</f>
        <v>0.68500000000000005</v>
      </c>
      <c r="V18" s="164">
        <f t="shared" si="9"/>
        <v>2863.2158408716618</v>
      </c>
    </row>
    <row r="19" spans="1:22" ht="15" customHeight="1">
      <c r="A19" s="38"/>
      <c r="G19" s="34"/>
      <c r="H19" s="94"/>
      <c r="I19" s="94"/>
      <c r="J19" s="94"/>
      <c r="S19" s="49">
        <f>SUM(S14:S18)</f>
        <v>64.742189277458039</v>
      </c>
      <c r="V19" s="72">
        <f>SUM(V14:V18)</f>
        <v>3161.7465334517583</v>
      </c>
    </row>
    <row r="20" spans="1:22" ht="15" customHeight="1">
      <c r="B20" s="6" t="s">
        <v>230</v>
      </c>
      <c r="C20" s="6"/>
      <c r="D20" s="6"/>
      <c r="E20" s="6"/>
      <c r="F20" s="6"/>
      <c r="G20" s="6"/>
      <c r="H20" s="95"/>
      <c r="I20" s="95"/>
      <c r="J20" s="95"/>
      <c r="O20" s="10"/>
      <c r="P20" s="10"/>
      <c r="Q20" s="10"/>
    </row>
    <row r="21" spans="1:22" ht="15" customHeight="1">
      <c r="B21" t="s">
        <v>136</v>
      </c>
      <c r="G21" s="34"/>
      <c r="L21" s="276" t="s">
        <v>60</v>
      </c>
      <c r="M21" s="276"/>
      <c r="O21" s="137"/>
      <c r="P21" s="137"/>
      <c r="Q21" s="137"/>
      <c r="T21" s="276" t="s">
        <v>207</v>
      </c>
      <c r="U21" s="276"/>
      <c r="V21" s="276"/>
    </row>
    <row r="22" spans="1:22" ht="15" customHeight="1">
      <c r="B22" t="s">
        <v>204</v>
      </c>
      <c r="G22" s="34"/>
      <c r="L22" s="38" t="s">
        <v>57</v>
      </c>
      <c r="M22" s="3">
        <v>1000</v>
      </c>
      <c r="O22" s="10"/>
      <c r="P22" s="10"/>
      <c r="Q22" s="10"/>
      <c r="T22" s="119">
        <f>V19</f>
        <v>3161.7465334517583</v>
      </c>
      <c r="U22" s="5">
        <v>0.02</v>
      </c>
      <c r="V22" s="5">
        <v>0.03</v>
      </c>
    </row>
    <row r="23" spans="1:22" ht="15" customHeight="1">
      <c r="B23" t="s">
        <v>292</v>
      </c>
      <c r="G23" s="34"/>
      <c r="L23" s="38" t="s">
        <v>58</v>
      </c>
      <c r="M23" s="10">
        <v>0.02</v>
      </c>
      <c r="T23" s="22">
        <v>100</v>
      </c>
      <c r="U23" s="66">
        <f t="dataTable" ref="U23:V24" dt2D="1" dtr="1" r1="M23" r2="M22"/>
        <v>5616.1741211300532</v>
      </c>
      <c r="V23" s="66">
        <v>9663.3319952070669</v>
      </c>
    </row>
    <row r="24" spans="1:22" ht="15" customHeight="1">
      <c r="B24" t="s">
        <v>205</v>
      </c>
      <c r="G24" s="32"/>
      <c r="T24" s="22">
        <v>1000</v>
      </c>
      <c r="U24" s="66">
        <v>3161.7465334517583</v>
      </c>
      <c r="V24" s="66">
        <v>5082.9202668245207</v>
      </c>
    </row>
    <row r="25" spans="1:22" ht="15" customHeight="1">
      <c r="B25" t="s">
        <v>232</v>
      </c>
    </row>
    <row r="26" spans="1:22" ht="15" customHeight="1">
      <c r="B26" s="85" t="s">
        <v>231</v>
      </c>
      <c r="D26" s="31"/>
      <c r="E26" s="31"/>
      <c r="F26" s="31"/>
    </row>
    <row r="27" spans="1:22">
      <c r="D27" s="3"/>
      <c r="E27" s="3"/>
      <c r="F27" s="3"/>
      <c r="L27" s="43"/>
    </row>
    <row r="28" spans="1:22">
      <c r="D28" s="10"/>
      <c r="E28" s="10"/>
      <c r="F28" s="10"/>
    </row>
    <row r="30" spans="1:22">
      <c r="L30" s="43"/>
    </row>
    <row r="31" spans="1:22">
      <c r="L31" s="43"/>
    </row>
    <row r="33" spans="12:12">
      <c r="L33" s="47"/>
    </row>
    <row r="34" spans="12:12">
      <c r="L34" s="43"/>
    </row>
  </sheetData>
  <mergeCells count="5">
    <mergeCell ref="T21:V21"/>
    <mergeCell ref="L2:V2"/>
    <mergeCell ref="B2:G2"/>
    <mergeCell ref="L21:M21"/>
    <mergeCell ref="H2:K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D3ED-C60F-427A-BF5B-E75CB6E9B42E}">
  <sheetPr>
    <tabColor theme="2" tint="-0.499984740745262"/>
  </sheetPr>
  <dimension ref="B2:I28"/>
  <sheetViews>
    <sheetView zoomScale="115" zoomScaleNormal="115" workbookViewId="0">
      <selection activeCell="K19" sqref="K19"/>
    </sheetView>
  </sheetViews>
  <sheetFormatPr baseColWidth="10" defaultRowHeight="14.4"/>
  <cols>
    <col min="2" max="6" width="18.5546875" customWidth="1"/>
  </cols>
  <sheetData>
    <row r="2" spans="2:9" ht="33" customHeight="1">
      <c r="B2" s="280" t="s">
        <v>254</v>
      </c>
      <c r="C2" s="280"/>
      <c r="D2" s="280"/>
      <c r="E2" s="280"/>
      <c r="F2" s="280"/>
    </row>
    <row r="3" spans="2:9" ht="19.2" customHeight="1">
      <c r="B3" s="28"/>
      <c r="C3" s="282" t="s">
        <v>208</v>
      </c>
      <c r="D3" s="282"/>
      <c r="E3" s="282" t="s">
        <v>209</v>
      </c>
      <c r="F3" s="282"/>
      <c r="H3" s="279" t="s">
        <v>255</v>
      </c>
      <c r="I3" s="279"/>
    </row>
    <row r="4" spans="2:9" ht="19.2" customHeight="1">
      <c r="B4" s="28"/>
      <c r="C4" s="39" t="s">
        <v>210</v>
      </c>
      <c r="D4" s="39" t="s">
        <v>195</v>
      </c>
      <c r="E4" s="39" t="s">
        <v>210</v>
      </c>
      <c r="F4" s="39" t="s">
        <v>195</v>
      </c>
      <c r="G4" s="30"/>
    </row>
    <row r="5" spans="2:9" ht="19.2" customHeight="1">
      <c r="B5" s="284" t="s">
        <v>211</v>
      </c>
      <c r="C5" s="122">
        <f>USA!U23/1000</f>
        <v>115.51745441249122</v>
      </c>
      <c r="D5" s="122">
        <f>USA!U24/1000</f>
        <v>93.787937355232131</v>
      </c>
      <c r="E5" s="122">
        <f>USA!V23/1000</f>
        <v>303.1334702375612</v>
      </c>
      <c r="F5" s="122">
        <f>USA!V24/1000</f>
        <v>183.34884909528515</v>
      </c>
      <c r="H5" s="166" t="s">
        <v>283</v>
      </c>
      <c r="I5" s="139"/>
    </row>
    <row r="6" spans="2:9" ht="19.2" customHeight="1">
      <c r="B6" s="284"/>
      <c r="C6" s="123">
        <v>145.6</v>
      </c>
      <c r="D6" s="123">
        <v>94</v>
      </c>
      <c r="E6" s="123">
        <v>288.3</v>
      </c>
      <c r="F6" s="123">
        <v>161.1</v>
      </c>
      <c r="H6" s="167"/>
      <c r="I6" s="139"/>
    </row>
    <row r="7" spans="2:9" ht="19.2" customHeight="1">
      <c r="B7" s="283" t="s">
        <v>143</v>
      </c>
      <c r="C7" s="122">
        <f>FRA!U23/1000</f>
        <v>16.983738265907796</v>
      </c>
      <c r="D7" s="122">
        <f>FRA!U24/1000</f>
        <v>13.070686827883684</v>
      </c>
      <c r="E7" s="122">
        <f>FRA!V23/1000</f>
        <v>28.076522816202999</v>
      </c>
      <c r="F7" s="122">
        <f>FRA!V24/1000</f>
        <v>20.367647263003082</v>
      </c>
      <c r="H7" s="167" t="s">
        <v>287</v>
      </c>
      <c r="I7" s="139"/>
    </row>
    <row r="8" spans="2:9" ht="19.2" customHeight="1">
      <c r="B8" s="283"/>
      <c r="C8" s="123">
        <v>19.399999999999999</v>
      </c>
      <c r="D8" s="123">
        <v>12.5</v>
      </c>
      <c r="E8" s="123">
        <v>34.799999999999997</v>
      </c>
      <c r="F8" s="123">
        <v>19.5</v>
      </c>
      <c r="H8" s="167"/>
      <c r="I8" s="139"/>
    </row>
    <row r="9" spans="2:9" ht="19.2" customHeight="1">
      <c r="B9" s="285" t="s">
        <v>144</v>
      </c>
      <c r="C9" s="122">
        <f>NDL!U23/1000</f>
        <v>4.2723834174394284</v>
      </c>
      <c r="D9" s="122">
        <f>NDL!U24/1000</f>
        <v>0.91587085762606879</v>
      </c>
      <c r="E9" s="122">
        <f>NDL!V23/1000</f>
        <v>6.7203524913023633</v>
      </c>
      <c r="F9" s="122">
        <f>NDL!V24/1000</f>
        <v>1.3875361635151993</v>
      </c>
      <c r="H9" s="167" t="s">
        <v>286</v>
      </c>
      <c r="I9" s="139"/>
    </row>
    <row r="10" spans="2:9" ht="19.2" customHeight="1">
      <c r="B10" s="285"/>
      <c r="C10" s="123">
        <v>1</v>
      </c>
      <c r="D10" s="123">
        <v>0.6</v>
      </c>
      <c r="E10" s="123">
        <v>1.7</v>
      </c>
      <c r="F10" s="123">
        <v>1</v>
      </c>
      <c r="H10" s="166"/>
      <c r="I10" s="139"/>
    </row>
    <row r="11" spans="2:9" ht="19.2" customHeight="1">
      <c r="B11" s="286" t="s">
        <v>141</v>
      </c>
      <c r="C11" s="122">
        <f>ITA!U23/1000</f>
        <v>5.6161741211300535</v>
      </c>
      <c r="D11" s="122">
        <f>ITA!U24/1000</f>
        <v>3.1617465334517583</v>
      </c>
      <c r="E11" s="122">
        <f>ITA!V23/1000</f>
        <v>9.6633319952070664</v>
      </c>
      <c r="F11" s="122">
        <f>ITA!V24/1000</f>
        <v>5.0829202668245204</v>
      </c>
      <c r="H11" s="167" t="s">
        <v>285</v>
      </c>
      <c r="I11" s="139"/>
    </row>
    <row r="12" spans="2:9" ht="19.2" customHeight="1">
      <c r="B12" s="286"/>
      <c r="C12" s="123">
        <v>8.3000000000000007</v>
      </c>
      <c r="D12" s="123">
        <v>5.4</v>
      </c>
      <c r="E12" s="123">
        <v>15</v>
      </c>
      <c r="F12" s="123">
        <v>8.4</v>
      </c>
      <c r="H12" s="167"/>
      <c r="I12" s="139"/>
    </row>
    <row r="13" spans="2:9" ht="19.2" customHeight="1">
      <c r="B13" s="281" t="s">
        <v>142</v>
      </c>
      <c r="C13" s="122">
        <f>BRA!U23/1000</f>
        <v>16.658254712723952</v>
      </c>
      <c r="D13" s="122">
        <f>BRA!U24/1000</f>
        <v>5.6152888652676136</v>
      </c>
      <c r="E13" s="122">
        <f>BRA!V23/1000</f>
        <v>25.773375196274987</v>
      </c>
      <c r="F13" s="122">
        <f>BRA!V24/1000</f>
        <v>8.6732000916559873</v>
      </c>
      <c r="H13" s="167" t="s">
        <v>284</v>
      </c>
      <c r="I13" s="139"/>
    </row>
    <row r="14" spans="2:9" ht="19.2" customHeight="1">
      <c r="B14" s="281"/>
      <c r="C14" s="123">
        <v>5.5</v>
      </c>
      <c r="D14" s="123">
        <v>3.5</v>
      </c>
      <c r="E14" s="123">
        <v>9.8000000000000007</v>
      </c>
      <c r="F14" s="123">
        <v>5.5</v>
      </c>
      <c r="G14" s="167"/>
      <c r="I14" s="165"/>
    </row>
    <row r="15" spans="2:9" s="85" customFormat="1" ht="13.2" customHeight="1">
      <c r="B15" s="128"/>
      <c r="C15" s="123"/>
      <c r="D15" s="123"/>
      <c r="E15" s="123"/>
      <c r="F15" s="123"/>
    </row>
    <row r="16" spans="2:9" s="85" customFormat="1" ht="13.2" customHeight="1">
      <c r="B16" s="19" t="s">
        <v>249</v>
      </c>
      <c r="C16" s="18"/>
      <c r="D16" s="18"/>
      <c r="E16" s="18"/>
      <c r="F16" s="121"/>
    </row>
    <row r="17" spans="2:6" s="85" customFormat="1" ht="13.2" customHeight="1">
      <c r="B17" s="18" t="s">
        <v>250</v>
      </c>
      <c r="C17" s="18"/>
      <c r="D17" s="18"/>
      <c r="E17" s="18"/>
      <c r="F17" s="121"/>
    </row>
    <row r="18" spans="2:6" s="85" customFormat="1" ht="13.2" customHeight="1">
      <c r="B18" s="18" t="s">
        <v>251</v>
      </c>
      <c r="C18" s="18"/>
      <c r="D18" s="18"/>
      <c r="E18" s="18"/>
      <c r="F18" s="121"/>
    </row>
    <row r="19" spans="2:6" s="85" customFormat="1" ht="13.2" customHeight="1">
      <c r="B19" s="18" t="s">
        <v>277</v>
      </c>
      <c r="C19" s="18"/>
      <c r="D19" s="18"/>
      <c r="E19" s="18"/>
      <c r="F19" s="121"/>
    </row>
    <row r="20" spans="2:6" s="85" customFormat="1" ht="13.2" customHeight="1">
      <c r="B20" s="18" t="s">
        <v>252</v>
      </c>
      <c r="C20" s="18"/>
      <c r="D20" s="18"/>
      <c r="E20" s="18"/>
      <c r="F20" s="121"/>
    </row>
    <row r="21" spans="2:6" s="85" customFormat="1">
      <c r="B21" s="18" t="s">
        <v>253</v>
      </c>
      <c r="C21" s="120"/>
      <c r="D21" s="18"/>
      <c r="E21" s="18"/>
      <c r="F21" s="18"/>
    </row>
    <row r="23" spans="2:6">
      <c r="B23" s="23" t="s">
        <v>280</v>
      </c>
    </row>
    <row r="25" spans="2:6">
      <c r="B25" t="s">
        <v>278</v>
      </c>
    </row>
    <row r="26" spans="2:6">
      <c r="B26" t="s">
        <v>279</v>
      </c>
    </row>
    <row r="27" spans="2:6">
      <c r="B27" t="s">
        <v>281</v>
      </c>
    </row>
    <row r="28" spans="2:6">
      <c r="B28" t="s">
        <v>282</v>
      </c>
    </row>
  </sheetData>
  <mergeCells count="9">
    <mergeCell ref="H3:I3"/>
    <mergeCell ref="B2:F2"/>
    <mergeCell ref="B13:B14"/>
    <mergeCell ref="C3:D3"/>
    <mergeCell ref="E3:F3"/>
    <mergeCell ref="B7:B8"/>
    <mergeCell ref="B5:B6"/>
    <mergeCell ref="B9:B10"/>
    <mergeCell ref="B11:B12"/>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D01E-3CD0-46FD-823B-1AD7FFA821E3}">
  <sheetPr>
    <tabColor theme="1" tint="0.14999847407452621"/>
  </sheetPr>
  <dimension ref="A2:A10"/>
  <sheetViews>
    <sheetView workbookViewId="0">
      <selection activeCell="G18" sqref="G18"/>
    </sheetView>
  </sheetViews>
  <sheetFormatPr baseColWidth="10" defaultRowHeight="14.4"/>
  <sheetData>
    <row r="2" spans="1:1" ht="23.4">
      <c r="A2" s="127" t="s">
        <v>215</v>
      </c>
    </row>
    <row r="4" spans="1:1">
      <c r="A4" s="48" t="s">
        <v>106</v>
      </c>
    </row>
    <row r="5" spans="1:1">
      <c r="A5" s="48" t="s">
        <v>346</v>
      </c>
    </row>
    <row r="6" spans="1:1">
      <c r="A6" s="48" t="s">
        <v>212</v>
      </c>
    </row>
    <row r="7" spans="1:1">
      <c r="A7" s="48" t="s">
        <v>194</v>
      </c>
    </row>
    <row r="8" spans="1:1">
      <c r="A8" s="48" t="s">
        <v>107</v>
      </c>
    </row>
    <row r="9" spans="1:1">
      <c r="A9" s="55" t="s">
        <v>108</v>
      </c>
    </row>
    <row r="10" spans="1:1">
      <c r="A10" s="48" t="s">
        <v>139</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6C197-42CD-4DDA-A3EF-7FF5B45CE247}">
  <dimension ref="A1:AU50"/>
  <sheetViews>
    <sheetView topLeftCell="J1" zoomScaleNormal="100" workbookViewId="0">
      <selection activeCell="T8" sqref="T8"/>
    </sheetView>
  </sheetViews>
  <sheetFormatPr baseColWidth="10" defaultRowHeight="14.4"/>
  <cols>
    <col min="1" max="1" width="11.5546875" style="85"/>
    <col min="2" max="13" width="14.33203125" style="85" customWidth="1"/>
    <col min="14" max="14" width="11.5546875" style="85"/>
    <col min="15" max="15" width="4.33203125" style="85" customWidth="1"/>
    <col min="16" max="16" width="8.33203125" style="85" customWidth="1"/>
    <col min="17" max="17" width="8.33203125" customWidth="1"/>
    <col min="18" max="20" width="11" style="85" customWidth="1"/>
    <col min="21" max="22" width="11" customWidth="1"/>
    <col min="23" max="27" width="11" style="85" customWidth="1"/>
    <col min="28" max="28" width="11" customWidth="1"/>
    <col min="29" max="31" width="11" style="85" customWidth="1"/>
    <col min="32" max="32" width="11.5546875" style="85"/>
    <col min="34" max="34" width="13.5546875" customWidth="1"/>
    <col min="35" max="37" width="14.88671875" customWidth="1"/>
    <col min="38" max="39" width="14.88671875" style="85" customWidth="1"/>
    <col min="40" max="44" width="14.88671875" customWidth="1"/>
  </cols>
  <sheetData>
    <row r="1" spans="2:47" s="85" customFormat="1"/>
    <row r="2" spans="2:47" s="85" customFormat="1" ht="23.4" customHeight="1">
      <c r="B2" s="274" t="s">
        <v>394</v>
      </c>
      <c r="C2" s="274"/>
      <c r="D2" s="274"/>
      <c r="E2" s="274"/>
      <c r="F2" s="274"/>
      <c r="G2" s="274"/>
      <c r="H2" s="274"/>
      <c r="I2" s="274"/>
      <c r="J2" s="274"/>
      <c r="K2" s="274"/>
      <c r="L2" s="274"/>
      <c r="P2" s="288" t="s">
        <v>408</v>
      </c>
      <c r="Q2" s="288"/>
      <c r="R2" s="288"/>
      <c r="S2" s="288"/>
      <c r="T2" s="288"/>
      <c r="U2" s="288"/>
      <c r="V2" s="288"/>
      <c r="W2" s="288"/>
      <c r="X2" s="288"/>
      <c r="Y2" s="288"/>
      <c r="Z2" s="288"/>
      <c r="AA2" s="288"/>
      <c r="AB2" s="288"/>
      <c r="AC2" s="288"/>
      <c r="AD2" s="288"/>
      <c r="AE2" s="288"/>
      <c r="AF2" s="288"/>
    </row>
    <row r="3" spans="2:47" s="85" customFormat="1" ht="35.4" customHeight="1">
      <c r="C3" s="287" t="s">
        <v>217</v>
      </c>
      <c r="D3" s="287"/>
      <c r="E3" s="287"/>
      <c r="F3" s="287"/>
      <c r="G3" s="287"/>
      <c r="H3" s="287" t="s">
        <v>221</v>
      </c>
      <c r="I3" s="287"/>
      <c r="J3" s="287"/>
      <c r="K3" s="287"/>
      <c r="L3" s="287"/>
      <c r="P3" s="280" t="s">
        <v>150</v>
      </c>
      <c r="Q3" s="280"/>
      <c r="R3" s="290">
        <v>2018</v>
      </c>
      <c r="S3" s="290"/>
      <c r="T3" s="290"/>
      <c r="U3" s="290"/>
      <c r="V3" s="290"/>
      <c r="W3" s="290">
        <v>2021</v>
      </c>
      <c r="X3" s="290"/>
      <c r="Y3" s="290"/>
      <c r="Z3" s="290"/>
      <c r="AA3" s="290"/>
      <c r="AB3" s="290">
        <v>2024</v>
      </c>
      <c r="AC3" s="290"/>
      <c r="AD3" s="290"/>
      <c r="AE3" s="290"/>
      <c r="AF3" s="290"/>
    </row>
    <row r="4" spans="2:47" ht="28.8">
      <c r="B4" s="42" t="s">
        <v>145</v>
      </c>
      <c r="C4" s="42" t="s">
        <v>222</v>
      </c>
      <c r="D4" s="42" t="s">
        <v>219</v>
      </c>
      <c r="E4" s="42" t="s">
        <v>218</v>
      </c>
      <c r="F4" s="42" t="s">
        <v>225</v>
      </c>
      <c r="G4" s="42" t="s">
        <v>226</v>
      </c>
      <c r="H4" s="42" t="s">
        <v>175</v>
      </c>
      <c r="I4" s="42" t="s">
        <v>17</v>
      </c>
      <c r="J4" s="42" t="s">
        <v>220</v>
      </c>
      <c r="K4" s="42" t="s">
        <v>223</v>
      </c>
      <c r="L4" s="42" t="s">
        <v>224</v>
      </c>
      <c r="M4" s="141" t="s">
        <v>240</v>
      </c>
      <c r="R4" s="39" t="s">
        <v>56</v>
      </c>
      <c r="S4" s="39" t="s">
        <v>17</v>
      </c>
      <c r="T4" s="39" t="s">
        <v>214</v>
      </c>
      <c r="U4" s="280" t="s">
        <v>147</v>
      </c>
      <c r="V4" s="280"/>
      <c r="W4" s="214" t="s">
        <v>56</v>
      </c>
      <c r="X4" s="214" t="s">
        <v>17</v>
      </c>
      <c r="Y4" s="214" t="s">
        <v>214</v>
      </c>
      <c r="Z4" s="280" t="s">
        <v>147</v>
      </c>
      <c r="AA4" s="280"/>
      <c r="AB4" s="39" t="s">
        <v>56</v>
      </c>
      <c r="AC4" s="39" t="s">
        <v>17</v>
      </c>
      <c r="AD4" s="39" t="s">
        <v>214</v>
      </c>
      <c r="AE4" s="280" t="s">
        <v>147</v>
      </c>
      <c r="AF4" s="280"/>
    </row>
    <row r="5" spans="2:47">
      <c r="B5" s="131" t="s">
        <v>143</v>
      </c>
      <c r="C5" s="88">
        <v>147</v>
      </c>
      <c r="D5" s="86">
        <v>730</v>
      </c>
      <c r="E5" s="87">
        <v>695.2</v>
      </c>
      <c r="F5" s="87">
        <f t="shared" ref="F5:G9" si="0">D5/$C5</f>
        <v>4.9659863945578229</v>
      </c>
      <c r="G5" s="87">
        <f t="shared" si="0"/>
        <v>4.7292517006802726</v>
      </c>
      <c r="H5" s="112">
        <f>FRA!B18*(1+FRA!K18)^9</f>
        <v>78.761550495032225</v>
      </c>
      <c r="I5" s="54">
        <f>FRA!M18</f>
        <v>548402369.83262217</v>
      </c>
      <c r="J5" s="126">
        <f>FRA!D18/FRA!E18</f>
        <v>3.5308579785505363</v>
      </c>
      <c r="K5" s="129">
        <f>I5*(C5/H5)^((1-J5)/J5)</f>
        <v>350629942.30893129</v>
      </c>
      <c r="L5" s="20">
        <f>K5/(E5*1000000000/C5)</f>
        <v>7.4140681126888527E-2</v>
      </c>
      <c r="M5" s="22"/>
      <c r="P5" s="93">
        <v>99</v>
      </c>
      <c r="Q5" s="280" t="s">
        <v>28</v>
      </c>
      <c r="R5" s="89">
        <v>162004</v>
      </c>
      <c r="S5" s="89">
        <v>807940</v>
      </c>
      <c r="T5" s="89">
        <v>4988455</v>
      </c>
      <c r="U5" s="20">
        <v>0.16196197271347046</v>
      </c>
      <c r="V5" s="289">
        <f>SUMPRODUCT(S5:S13,U5:U13)/SUM(S5:S13)</f>
        <v>0.14215643109347997</v>
      </c>
      <c r="W5" s="108">
        <v>166548</v>
      </c>
      <c r="X5" s="108">
        <v>868228</v>
      </c>
      <c r="Y5" s="108">
        <v>6239397</v>
      </c>
      <c r="Z5" s="215">
        <v>0.13915255665779114</v>
      </c>
      <c r="AA5" s="289">
        <f>SUMPRODUCT(X5:X13,Z5:Z13)/SUM(X5:X13)</f>
        <v>0.12033611056313936</v>
      </c>
      <c r="AB5" s="89">
        <v>171380</v>
      </c>
      <c r="AC5" s="89">
        <v>1051200</v>
      </c>
      <c r="AD5" s="89">
        <v>7210150</v>
      </c>
      <c r="AE5" s="206">
        <v>0.14579446613788605</v>
      </c>
      <c r="AF5" s="289">
        <f>SUMPRODUCT(AC5:AC13,AE5:AE13)/SUM(AC5:AC13)</f>
        <v>0.1295357834062407</v>
      </c>
    </row>
    <row r="6" spans="2:47">
      <c r="B6" s="130" t="s">
        <v>146</v>
      </c>
      <c r="C6" s="89">
        <v>936</v>
      </c>
      <c r="D6" s="86">
        <v>7927.6093639999926</v>
      </c>
      <c r="E6" s="87">
        <f>D6*0.95</f>
        <v>7531.2288957999926</v>
      </c>
      <c r="F6" s="87">
        <f t="shared" si="0"/>
        <v>8.4696681239316156</v>
      </c>
      <c r="G6" s="87">
        <f t="shared" si="0"/>
        <v>8.0461847177350343</v>
      </c>
      <c r="H6" s="89">
        <f>USA!B18*(1+USA!K18)^9</f>
        <v>446.32051925812061</v>
      </c>
      <c r="I6" s="54">
        <f>USA!M18</f>
        <v>439374585.52217478</v>
      </c>
      <c r="J6" s="126">
        <f>USA!D18/USA!E18</f>
        <v>3.44</v>
      </c>
      <c r="K6" s="129">
        <f>I6*(C6/H6)^((1-J6)/J6)</f>
        <v>259838044.11710501</v>
      </c>
      <c r="L6" s="20">
        <f>K6/(D6*1000000000/C6)</f>
        <v>3.0678657099079853E-2</v>
      </c>
      <c r="M6" s="22"/>
      <c r="P6" s="93">
        <v>99.099998474121094</v>
      </c>
      <c r="Q6" s="280"/>
      <c r="R6" s="89">
        <v>161841</v>
      </c>
      <c r="S6" s="89">
        <v>865779</v>
      </c>
      <c r="T6" s="89">
        <v>5737162</v>
      </c>
      <c r="U6" s="20">
        <v>0.15090718865394592</v>
      </c>
      <c r="V6" s="289"/>
      <c r="W6" s="108">
        <v>166738</v>
      </c>
      <c r="X6" s="108">
        <v>931737</v>
      </c>
      <c r="Y6" s="108">
        <v>7142127</v>
      </c>
      <c r="Z6" s="215">
        <v>0.13045652210712433</v>
      </c>
      <c r="AA6" s="289"/>
      <c r="AB6" s="89">
        <v>171269</v>
      </c>
      <c r="AC6" s="89">
        <v>1125298</v>
      </c>
      <c r="AD6" s="89">
        <v>8114548</v>
      </c>
      <c r="AE6" s="206">
        <v>0.13867661356925964</v>
      </c>
      <c r="AF6" s="289"/>
    </row>
    <row r="7" spans="2:47">
      <c r="B7" s="132" t="s">
        <v>144</v>
      </c>
      <c r="C7" s="89">
        <v>13</v>
      </c>
      <c r="D7" s="86">
        <v>49.210541999999997</v>
      </c>
      <c r="E7" s="87">
        <f>D7*0.95</f>
        <v>46.750014899999996</v>
      </c>
      <c r="F7" s="87">
        <f t="shared" si="0"/>
        <v>3.7854263076923074</v>
      </c>
      <c r="G7" s="87">
        <f t="shared" si="0"/>
        <v>3.5961549923076919</v>
      </c>
      <c r="H7" s="89">
        <f>NDL!B18/M7*(1+NDL!K18)^9</f>
        <v>8.5287742780887168</v>
      </c>
      <c r="I7" s="54">
        <f>M7*NDL!M18</f>
        <v>276703214.84703231</v>
      </c>
      <c r="J7" s="126">
        <f>NDL!D18/NDL!E18</f>
        <v>1.242880846563327</v>
      </c>
      <c r="K7" s="129">
        <f>I7*(C7/H7)^((1-J7)/J7)</f>
        <v>254824798.67801553</v>
      </c>
      <c r="L7" s="20">
        <f>K7/(E7*1000000000/C7)</f>
        <v>7.086034924053472E-2</v>
      </c>
      <c r="M7" s="22">
        <v>1.8</v>
      </c>
      <c r="P7" s="93">
        <v>99.199996948242188</v>
      </c>
      <c r="Q7" s="280"/>
      <c r="R7" s="89">
        <v>162014</v>
      </c>
      <c r="S7" s="89">
        <v>938270</v>
      </c>
      <c r="T7" s="89">
        <v>5993560</v>
      </c>
      <c r="U7" s="20">
        <v>0.15654635429382324</v>
      </c>
      <c r="V7" s="289"/>
      <c r="W7" s="108">
        <v>166630</v>
      </c>
      <c r="X7" s="108">
        <v>1008746</v>
      </c>
      <c r="Y7" s="108">
        <v>7993723</v>
      </c>
      <c r="Z7" s="215">
        <v>0.12619225680828094</v>
      </c>
      <c r="AA7" s="289"/>
      <c r="AB7" s="89">
        <v>171482</v>
      </c>
      <c r="AC7" s="89">
        <v>1202668</v>
      </c>
      <c r="AD7" s="89">
        <v>8723809</v>
      </c>
      <c r="AE7" s="206">
        <v>0.13786041736602783</v>
      </c>
      <c r="AF7" s="289"/>
    </row>
    <row r="8" spans="2:47">
      <c r="B8" s="133" t="s">
        <v>142</v>
      </c>
      <c r="C8" s="89">
        <v>66</v>
      </c>
      <c r="D8" s="86">
        <v>252.6951380000001</v>
      </c>
      <c r="E8" s="87">
        <f>D8*0.95</f>
        <v>240.06038110000009</v>
      </c>
      <c r="F8" s="87">
        <f t="shared" si="0"/>
        <v>3.8287142121212137</v>
      </c>
      <c r="G8" s="87">
        <f t="shared" si="0"/>
        <v>3.6372785015151528</v>
      </c>
      <c r="H8" s="89">
        <f>BRA!B18/M8*(1+BRA!K18)^9</f>
        <v>92.503431345166319</v>
      </c>
      <c r="I8" s="54">
        <f>M8*BRA!M18</f>
        <v>303481395.56729132</v>
      </c>
      <c r="J8" s="126">
        <f>BRA!D18/BRA!E18</f>
        <v>2.4618511479036091</v>
      </c>
      <c r="K8" s="129">
        <f>I8*(C8/H8)^((1-J8)/J8)</f>
        <v>370844331.55454284</v>
      </c>
      <c r="L8" s="20">
        <f>K8/(D8*1000000000/C8)</f>
        <v>9.6858713136775187E-2</v>
      </c>
      <c r="M8" s="22">
        <v>1.8</v>
      </c>
      <c r="P8" s="93">
        <v>99.300003051757813</v>
      </c>
      <c r="Q8" s="280"/>
      <c r="R8" s="89">
        <v>161832</v>
      </c>
      <c r="S8" s="89">
        <v>1022692</v>
      </c>
      <c r="T8" s="89">
        <v>6954512</v>
      </c>
      <c r="U8" s="20">
        <v>0.14705446362495422</v>
      </c>
      <c r="V8" s="289"/>
      <c r="W8" s="108">
        <v>166586</v>
      </c>
      <c r="X8" s="108">
        <v>1097815</v>
      </c>
      <c r="Y8" s="108">
        <v>8829116</v>
      </c>
      <c r="Z8" s="215">
        <v>0.12434031069278717</v>
      </c>
      <c r="AA8" s="289"/>
      <c r="AB8" s="89">
        <v>171444</v>
      </c>
      <c r="AC8" s="89">
        <v>1292233</v>
      </c>
      <c r="AD8" s="89">
        <v>8816158</v>
      </c>
      <c r="AE8" s="206">
        <v>0.14657552540302277</v>
      </c>
      <c r="AF8" s="289"/>
    </row>
    <row r="9" spans="2:47">
      <c r="B9" s="134" t="s">
        <v>141</v>
      </c>
      <c r="C9" s="89">
        <v>79</v>
      </c>
      <c r="D9" s="86">
        <v>360.74274099999991</v>
      </c>
      <c r="E9" s="87">
        <f>D9*0.95</f>
        <v>342.7056039499999</v>
      </c>
      <c r="F9" s="87">
        <f t="shared" si="0"/>
        <v>4.5663638101265809</v>
      </c>
      <c r="G9" s="87">
        <f t="shared" si="0"/>
        <v>4.3380456196202521</v>
      </c>
      <c r="H9" s="89">
        <f>ITA!B18/M9*(1+ITA!K18)^9</f>
        <v>25.330267631474062</v>
      </c>
      <c r="I9" s="54">
        <f>M9*ITA!M18</f>
        <v>265987975.53758538</v>
      </c>
      <c r="J9" s="126">
        <f>ITA!D18/ITA!E18</f>
        <v>2.3558220682779587</v>
      </c>
      <c r="K9" s="129">
        <f>I9*(C9/H9)^((1-J9)/J9)</f>
        <v>138217349.86569762</v>
      </c>
      <c r="L9" s="20">
        <f>K9/(E9*1000000000/C9)</f>
        <v>3.1861663519757326E-2</v>
      </c>
      <c r="M9" s="22">
        <v>1.8</v>
      </c>
      <c r="P9" s="93">
        <v>99.400001525878906</v>
      </c>
      <c r="Q9" s="280"/>
      <c r="R9" s="89">
        <v>161990</v>
      </c>
      <c r="S9" s="89">
        <v>1134165</v>
      </c>
      <c r="T9" s="89">
        <v>8127751</v>
      </c>
      <c r="U9" s="20">
        <v>0.13954229652881622</v>
      </c>
      <c r="V9" s="289"/>
      <c r="W9" s="108">
        <v>166672</v>
      </c>
      <c r="X9" s="108">
        <v>1215719</v>
      </c>
      <c r="Y9" s="108">
        <v>9750950</v>
      </c>
      <c r="Z9" s="215">
        <v>0.12467698007822037</v>
      </c>
      <c r="AA9" s="289"/>
      <c r="AB9" s="89">
        <v>171359</v>
      </c>
      <c r="AC9" s="89">
        <v>1426810</v>
      </c>
      <c r="AD9" s="89">
        <v>10138369</v>
      </c>
      <c r="AE9" s="206">
        <v>0.14073368906974792</v>
      </c>
      <c r="AF9" s="289"/>
    </row>
    <row r="10" spans="2:47">
      <c r="B10"/>
      <c r="C10"/>
      <c r="D10"/>
      <c r="E10"/>
      <c r="H10"/>
      <c r="I10"/>
      <c r="J10"/>
      <c r="K10"/>
      <c r="L10"/>
      <c r="M10"/>
      <c r="P10" s="93">
        <v>99.5</v>
      </c>
      <c r="Q10" s="280"/>
      <c r="R10" s="89">
        <v>161927</v>
      </c>
      <c r="S10" s="89">
        <v>1283456</v>
      </c>
      <c r="T10" s="89">
        <v>8818007</v>
      </c>
      <c r="U10" s="20">
        <v>0.14554944634437561</v>
      </c>
      <c r="V10" s="289"/>
      <c r="W10" s="108">
        <v>166651</v>
      </c>
      <c r="X10" s="108">
        <v>1389801</v>
      </c>
      <c r="Y10" s="108">
        <v>11548602</v>
      </c>
      <c r="Z10" s="215">
        <v>0.1203436553478241</v>
      </c>
      <c r="AA10" s="289"/>
      <c r="AB10" s="89">
        <v>169929</v>
      </c>
      <c r="AC10" s="89">
        <v>1625806</v>
      </c>
      <c r="AD10" s="89">
        <v>13188411</v>
      </c>
      <c r="AE10" s="206">
        <v>0.12327535450458527</v>
      </c>
      <c r="AF10" s="289"/>
    </row>
    <row r="11" spans="2:47">
      <c r="B11" s="84" t="s">
        <v>235</v>
      </c>
      <c r="C11"/>
      <c r="D11"/>
      <c r="E11"/>
      <c r="H11"/>
      <c r="I11"/>
      <c r="J11"/>
      <c r="K11"/>
      <c r="L11"/>
      <c r="M11"/>
      <c r="P11" s="93">
        <v>99.599998474121094</v>
      </c>
      <c r="Q11" s="280"/>
      <c r="R11" s="89">
        <v>161798</v>
      </c>
      <c r="S11" s="89">
        <v>1494369</v>
      </c>
      <c r="T11" s="89">
        <v>10670818</v>
      </c>
      <c r="U11" s="20">
        <v>0.14004258811473846</v>
      </c>
      <c r="V11" s="289"/>
      <c r="W11" s="108">
        <v>166618</v>
      </c>
      <c r="X11" s="108">
        <v>1645271</v>
      </c>
      <c r="Y11" s="108">
        <v>13915416</v>
      </c>
      <c r="Z11" s="215">
        <v>0.11823368817567825</v>
      </c>
      <c r="AA11" s="289"/>
      <c r="AB11" s="89">
        <v>172832</v>
      </c>
      <c r="AC11" s="89">
        <v>1895211</v>
      </c>
      <c r="AD11" s="89">
        <v>15644008</v>
      </c>
      <c r="AE11" s="206">
        <v>0.12114612758159637</v>
      </c>
      <c r="AF11" s="289"/>
    </row>
    <row r="12" spans="2:47">
      <c r="B12" s="85" t="s">
        <v>236</v>
      </c>
      <c r="P12" s="93">
        <v>99.699996948242188</v>
      </c>
      <c r="Q12" s="280"/>
      <c r="R12" s="89">
        <v>162024</v>
      </c>
      <c r="S12" s="89">
        <v>1855783</v>
      </c>
      <c r="T12" s="89">
        <v>14152106</v>
      </c>
      <c r="U12" s="20">
        <v>0.13113123178482056</v>
      </c>
      <c r="V12" s="289"/>
      <c r="W12" s="108">
        <v>166657</v>
      </c>
      <c r="X12" s="108">
        <v>2087103</v>
      </c>
      <c r="Y12" s="108">
        <v>18331928</v>
      </c>
      <c r="Z12" s="215">
        <v>0.11385070532560349</v>
      </c>
      <c r="AA12" s="289"/>
      <c r="AB12" s="89">
        <v>171423</v>
      </c>
      <c r="AC12" s="89">
        <v>2391677</v>
      </c>
      <c r="AD12" s="89">
        <v>19260828</v>
      </c>
      <c r="AE12" s="206">
        <v>0.1241731122136116</v>
      </c>
      <c r="AF12" s="289"/>
      <c r="AH12" s="82"/>
    </row>
    <row r="13" spans="2:47">
      <c r="P13" s="93">
        <v>99.800003051757813</v>
      </c>
      <c r="Q13" s="280"/>
      <c r="R13" s="89">
        <v>161951</v>
      </c>
      <c r="S13" s="89">
        <v>2631270</v>
      </c>
      <c r="T13" s="89">
        <v>19547508</v>
      </c>
      <c r="U13" s="20">
        <v>0.13460896909236908</v>
      </c>
      <c r="V13" s="289"/>
      <c r="W13" s="108">
        <v>166646</v>
      </c>
      <c r="X13" s="108">
        <v>3036983</v>
      </c>
      <c r="Y13" s="108">
        <v>27040090</v>
      </c>
      <c r="Z13" s="215">
        <v>0.11231408268213272</v>
      </c>
      <c r="AA13" s="289"/>
      <c r="AB13" s="89">
        <v>171381</v>
      </c>
      <c r="AC13" s="89">
        <v>3473833</v>
      </c>
      <c r="AD13" s="89">
        <v>29183538</v>
      </c>
      <c r="AE13" s="206">
        <v>0.11903399229049683</v>
      </c>
      <c r="AF13" s="289"/>
    </row>
    <row r="14" spans="2:47">
      <c r="B14" s="85" t="s">
        <v>234</v>
      </c>
      <c r="P14" s="93">
        <v>99.900001525878906</v>
      </c>
      <c r="Q14" s="280" t="s">
        <v>29</v>
      </c>
      <c r="R14" s="89">
        <v>16182</v>
      </c>
      <c r="S14" s="89">
        <v>3481986</v>
      </c>
      <c r="T14" s="89">
        <v>26789418</v>
      </c>
      <c r="U14" s="20">
        <v>0.12997616827487946</v>
      </c>
      <c r="V14" s="289">
        <f>SUMPRODUCT(S14:S22,U14:U22)/SUM(S14:S22)</f>
        <v>0.12515863735602759</v>
      </c>
      <c r="W14" s="108">
        <v>16667</v>
      </c>
      <c r="X14" s="108">
        <v>4034694</v>
      </c>
      <c r="Y14" s="108">
        <v>37426896</v>
      </c>
      <c r="Z14" s="215">
        <v>0.10780199617147446</v>
      </c>
      <c r="AA14" s="289">
        <f>SUMPRODUCT(X14:X22,Z14:Z22)/SUM(X14:X22)</f>
        <v>0.10607794951911022</v>
      </c>
      <c r="AB14" s="89">
        <v>17149</v>
      </c>
      <c r="AC14" s="89">
        <v>4661727</v>
      </c>
      <c r="AD14" s="89">
        <v>40464820</v>
      </c>
      <c r="AE14" s="206">
        <v>0.11520443856716156</v>
      </c>
      <c r="AF14" s="289">
        <f>SUMPRODUCT(AC14:AC22,AE14:AE22)/SUM(AC14:AC22)</f>
        <v>0.10808657489306085</v>
      </c>
      <c r="AH14" s="135"/>
      <c r="AR14" s="85"/>
      <c r="AS14" s="85"/>
      <c r="AT14" s="85"/>
      <c r="AU14" s="85"/>
    </row>
    <row r="15" spans="2:47">
      <c r="B15" s="85" t="s">
        <v>237</v>
      </c>
      <c r="P15" s="93">
        <v>99.910003662109375</v>
      </c>
      <c r="Q15" s="280"/>
      <c r="R15" s="89">
        <v>16183</v>
      </c>
      <c r="S15" s="89">
        <v>3748265</v>
      </c>
      <c r="T15" s="89">
        <v>30270880</v>
      </c>
      <c r="U15" s="20">
        <v>0.12382411956787109</v>
      </c>
      <c r="V15" s="289"/>
      <c r="W15" s="108">
        <v>16653</v>
      </c>
      <c r="X15" s="108">
        <v>4350199</v>
      </c>
      <c r="Y15" s="108">
        <v>40341984</v>
      </c>
      <c r="Z15" s="215">
        <v>0.10783304274082184</v>
      </c>
      <c r="AA15" s="289"/>
      <c r="AB15" s="89">
        <v>17132</v>
      </c>
      <c r="AC15" s="89">
        <v>5050220</v>
      </c>
      <c r="AD15" s="89">
        <v>42112216</v>
      </c>
      <c r="AE15" s="206">
        <v>0.11992292106151581</v>
      </c>
      <c r="AF15" s="289"/>
      <c r="AH15" s="135"/>
      <c r="AR15" s="85"/>
      <c r="AS15" s="85"/>
      <c r="AT15" s="85"/>
      <c r="AU15" s="85"/>
    </row>
    <row r="16" spans="2:47">
      <c r="B16" s="85" t="s">
        <v>238</v>
      </c>
      <c r="P16" s="93">
        <v>99.919998168945313</v>
      </c>
      <c r="Q16" s="280"/>
      <c r="R16" s="89">
        <v>16202</v>
      </c>
      <c r="S16" s="89">
        <v>4066345</v>
      </c>
      <c r="T16" s="89">
        <v>32604216</v>
      </c>
      <c r="U16" s="20">
        <v>0.12471838295459747</v>
      </c>
      <c r="V16" s="289"/>
      <c r="W16" s="108">
        <v>16666</v>
      </c>
      <c r="X16" s="108">
        <v>4738359</v>
      </c>
      <c r="Y16" s="108">
        <v>42557872</v>
      </c>
      <c r="Z16" s="215">
        <v>0.11133918911218643</v>
      </c>
      <c r="AA16" s="289"/>
      <c r="AB16" s="89">
        <v>17145</v>
      </c>
      <c r="AC16" s="89">
        <v>5541752</v>
      </c>
      <c r="AD16" s="89">
        <v>46789212</v>
      </c>
      <c r="AE16" s="206">
        <v>0.11844080686569214</v>
      </c>
      <c r="AF16" s="289"/>
      <c r="AH16" s="135"/>
      <c r="AR16" s="85"/>
      <c r="AS16" s="85"/>
      <c r="AT16" s="85"/>
      <c r="AU16" s="85"/>
    </row>
    <row r="17" spans="2:47">
      <c r="B17" s="85" t="s">
        <v>239</v>
      </c>
      <c r="P17" s="93">
        <v>99.930000305175781</v>
      </c>
      <c r="Q17" s="280"/>
      <c r="R17" s="89">
        <v>16192</v>
      </c>
      <c r="S17" s="89">
        <v>4470736</v>
      </c>
      <c r="T17" s="89">
        <v>35218080</v>
      </c>
      <c r="U17" s="20">
        <v>0.12694434821605682</v>
      </c>
      <c r="V17" s="289"/>
      <c r="W17" s="108">
        <v>16662</v>
      </c>
      <c r="X17" s="108">
        <v>5245137</v>
      </c>
      <c r="Y17" s="108">
        <v>49611700</v>
      </c>
      <c r="Z17" s="215">
        <v>0.1057237908244133</v>
      </c>
      <c r="AA17" s="289"/>
      <c r="AB17" s="89">
        <v>17132</v>
      </c>
      <c r="AC17" s="89">
        <v>6115450</v>
      </c>
      <c r="AD17" s="89">
        <v>53461336</v>
      </c>
      <c r="AE17" s="206">
        <v>0.11439014226198196</v>
      </c>
      <c r="AF17" s="289"/>
      <c r="AH17" s="135"/>
      <c r="AR17" s="85"/>
      <c r="AS17" s="85"/>
      <c r="AT17" s="85"/>
      <c r="AU17" s="85"/>
    </row>
    <row r="18" spans="2:47">
      <c r="B18" s="85" t="s">
        <v>241</v>
      </c>
      <c r="P18" s="93">
        <v>99.94000244140625</v>
      </c>
      <c r="Q18" s="280"/>
      <c r="R18" s="89">
        <v>16187</v>
      </c>
      <c r="S18" s="89">
        <v>5000077</v>
      </c>
      <c r="T18" s="89">
        <v>39197084</v>
      </c>
      <c r="U18" s="20">
        <v>0.12756247818470001</v>
      </c>
      <c r="V18" s="289"/>
      <c r="W18" s="108">
        <v>16665</v>
      </c>
      <c r="X18" s="108">
        <v>5896624</v>
      </c>
      <c r="Y18" s="108">
        <v>54337444</v>
      </c>
      <c r="Z18" s="215">
        <v>0.10851861536502838</v>
      </c>
      <c r="AA18" s="289"/>
      <c r="AB18" s="89">
        <v>17138</v>
      </c>
      <c r="AC18" s="89">
        <v>6793617</v>
      </c>
      <c r="AD18" s="89">
        <v>59339600</v>
      </c>
      <c r="AE18" s="206">
        <v>0.11448707431554794</v>
      </c>
      <c r="AF18" s="289"/>
      <c r="AH18" s="135"/>
      <c r="AR18" s="85"/>
      <c r="AS18" s="85"/>
      <c r="AT18" s="85"/>
      <c r="AU18" s="85"/>
    </row>
    <row r="19" spans="2:47">
      <c r="P19" s="93">
        <v>99.949996948242188</v>
      </c>
      <c r="Q19" s="280"/>
      <c r="R19" s="89">
        <v>16186</v>
      </c>
      <c r="S19" s="89">
        <v>5708433</v>
      </c>
      <c r="T19" s="89">
        <v>41818264</v>
      </c>
      <c r="U19" s="20">
        <v>0.13650573790073395</v>
      </c>
      <c r="V19" s="289"/>
      <c r="W19" s="108">
        <v>16661</v>
      </c>
      <c r="X19" s="108">
        <v>6732156</v>
      </c>
      <c r="Y19" s="108">
        <v>60172976</v>
      </c>
      <c r="Z19" s="215">
        <v>0.11188005656003952</v>
      </c>
      <c r="AA19" s="289"/>
      <c r="AB19" s="89">
        <v>17145</v>
      </c>
      <c r="AC19" s="89">
        <v>7744908</v>
      </c>
      <c r="AD19" s="89">
        <v>68521032</v>
      </c>
      <c r="AE19" s="206">
        <v>0.11302964389324188</v>
      </c>
      <c r="AF19" s="289"/>
      <c r="AR19" s="85"/>
      <c r="AS19" s="85"/>
      <c r="AT19" s="85"/>
      <c r="AU19" s="85"/>
    </row>
    <row r="20" spans="2:47">
      <c r="B20" s="85" t="s">
        <v>242</v>
      </c>
      <c r="P20" s="93">
        <v>99.959999084472656</v>
      </c>
      <c r="Q20" s="280"/>
      <c r="R20" s="89">
        <v>16201</v>
      </c>
      <c r="S20" s="89">
        <v>6774401</v>
      </c>
      <c r="T20" s="89">
        <v>52490428</v>
      </c>
      <c r="U20" s="20">
        <v>0.12905974686145782</v>
      </c>
      <c r="V20" s="289"/>
      <c r="W20" s="108">
        <v>16678</v>
      </c>
      <c r="X20" s="108">
        <v>7975584</v>
      </c>
      <c r="Y20" s="108">
        <v>70838056</v>
      </c>
      <c r="Z20" s="215">
        <v>0.11258897185325623</v>
      </c>
      <c r="AA20" s="289"/>
      <c r="AB20" s="89">
        <v>17143</v>
      </c>
      <c r="AC20" s="89">
        <v>9249725</v>
      </c>
      <c r="AD20" s="89">
        <v>85266784</v>
      </c>
      <c r="AE20" s="206">
        <v>0.1084798127412796</v>
      </c>
      <c r="AF20" s="289"/>
      <c r="AR20" s="85"/>
      <c r="AS20" s="85"/>
      <c r="AT20" s="85"/>
      <c r="AU20" s="85"/>
    </row>
    <row r="21" spans="2:47">
      <c r="B21" s="85" t="s">
        <v>243</v>
      </c>
      <c r="P21" s="93">
        <v>99.970001220703125</v>
      </c>
      <c r="Q21" s="280"/>
      <c r="R21" s="89">
        <v>16197</v>
      </c>
      <c r="S21" s="89">
        <v>8474492</v>
      </c>
      <c r="T21" s="89">
        <v>68255272</v>
      </c>
      <c r="U21" s="20">
        <v>0.12415879219770432</v>
      </c>
      <c r="V21" s="289"/>
      <c r="W21" s="108">
        <v>16661</v>
      </c>
      <c r="X21" s="108">
        <v>10168683</v>
      </c>
      <c r="Y21" s="108">
        <v>97280936</v>
      </c>
      <c r="Z21" s="215">
        <v>0.10452903807163239</v>
      </c>
      <c r="AA21" s="289"/>
      <c r="AB21" s="89">
        <v>17129</v>
      </c>
      <c r="AC21" s="89">
        <v>11750994</v>
      </c>
      <c r="AD21" s="89">
        <v>109137944</v>
      </c>
      <c r="AE21" s="206">
        <v>0.10767102241516113</v>
      </c>
      <c r="AF21" s="289"/>
      <c r="AR21" s="85"/>
      <c r="AS21" s="85"/>
      <c r="AT21" s="85"/>
      <c r="AU21" s="85"/>
    </row>
    <row r="22" spans="2:47" ht="15" thickBot="1">
      <c r="P22" s="93">
        <v>99.980003356933594</v>
      </c>
      <c r="Q22" s="280"/>
      <c r="R22" s="89">
        <v>16190</v>
      </c>
      <c r="S22" s="89">
        <v>12002910</v>
      </c>
      <c r="T22" s="89">
        <v>103680632</v>
      </c>
      <c r="U22" s="20">
        <v>0.11576810479164124</v>
      </c>
      <c r="V22" s="289"/>
      <c r="W22" s="108">
        <v>16655</v>
      </c>
      <c r="X22" s="108">
        <v>14978737</v>
      </c>
      <c r="Y22" s="108">
        <v>153502720</v>
      </c>
      <c r="Z22" s="215">
        <v>9.7579620778560638E-2</v>
      </c>
      <c r="AA22" s="289"/>
      <c r="AB22" s="89">
        <v>17138</v>
      </c>
      <c r="AC22" s="89">
        <v>17893180</v>
      </c>
      <c r="AD22" s="89">
        <v>192337488</v>
      </c>
      <c r="AE22" s="206">
        <v>9.303012490272522E-2</v>
      </c>
      <c r="AF22" s="289"/>
      <c r="AR22" s="85"/>
      <c r="AS22" s="85"/>
      <c r="AT22" s="85"/>
      <c r="AU22" s="85"/>
    </row>
    <row r="23" spans="2:47">
      <c r="B23" s="142" t="s">
        <v>143</v>
      </c>
      <c r="C23" s="143">
        <v>7.0000000000000007E-2</v>
      </c>
      <c r="P23" s="93">
        <v>99.989997863769531</v>
      </c>
      <c r="Q23" s="280" t="s">
        <v>8</v>
      </c>
      <c r="R23" s="89">
        <v>1605</v>
      </c>
      <c r="S23" s="89">
        <v>15680434</v>
      </c>
      <c r="T23" s="89">
        <v>138991760</v>
      </c>
      <c r="U23" s="20">
        <v>0.11281556636095047</v>
      </c>
      <c r="V23" s="289">
        <f>SUMPRODUCT(S23:S31,U23:U31)/SUM(S23:S31)</f>
        <v>0.10343252980216787</v>
      </c>
      <c r="W23" s="108">
        <v>1661</v>
      </c>
      <c r="X23" s="108">
        <v>20616632</v>
      </c>
      <c r="Y23" s="108">
        <v>213389152</v>
      </c>
      <c r="Z23" s="215">
        <v>9.6615180373191833E-2</v>
      </c>
      <c r="AA23" s="289">
        <f>SUMPRODUCT(X23:X31,Z23:Z31)/SUM(X23:X31)</f>
        <v>8.6468115663685077E-2</v>
      </c>
      <c r="AB23" s="89">
        <v>1708</v>
      </c>
      <c r="AC23" s="89">
        <v>24521532</v>
      </c>
      <c r="AD23" s="89">
        <v>288376672</v>
      </c>
      <c r="AE23" s="206">
        <v>8.503299206495285E-2</v>
      </c>
      <c r="AF23" s="289">
        <f>SUMPRODUCT(AC23:AC31,AE23:AE31)/SUM(AC23:AC31)</f>
        <v>8.2793159348547807E-2</v>
      </c>
      <c r="AR23" s="85"/>
      <c r="AS23" s="85"/>
      <c r="AT23" s="85"/>
      <c r="AU23" s="85"/>
    </row>
    <row r="24" spans="2:47">
      <c r="B24" s="144" t="s">
        <v>146</v>
      </c>
      <c r="C24" s="145">
        <v>4.9000000000000002E-2</v>
      </c>
      <c r="P24" s="93">
        <v>99.990997314453125</v>
      </c>
      <c r="Q24" s="280"/>
      <c r="R24" s="89">
        <v>1624</v>
      </c>
      <c r="S24" s="89">
        <v>16784578</v>
      </c>
      <c r="T24" s="89">
        <v>140861664</v>
      </c>
      <c r="U24" s="20">
        <v>0.11915646493434906</v>
      </c>
      <c r="V24" s="289"/>
      <c r="W24" s="108">
        <v>1663</v>
      </c>
      <c r="X24" s="108">
        <v>22252180</v>
      </c>
      <c r="Y24" s="108">
        <v>224822480</v>
      </c>
      <c r="Z24" s="215">
        <v>9.8976671695709229E-2</v>
      </c>
      <c r="AA24" s="289"/>
      <c r="AB24" s="89">
        <v>1723</v>
      </c>
      <c r="AC24" s="89">
        <v>26594596</v>
      </c>
      <c r="AD24" s="89">
        <v>305491776</v>
      </c>
      <c r="AE24" s="206">
        <v>8.7055027484893799E-2</v>
      </c>
      <c r="AF24" s="289"/>
      <c r="AR24" s="85"/>
      <c r="AS24" s="85"/>
      <c r="AT24" s="85"/>
      <c r="AU24" s="85"/>
    </row>
    <row r="25" spans="2:47">
      <c r="B25" s="146" t="s">
        <v>144</v>
      </c>
      <c r="C25" s="145">
        <v>7.0000000000000007E-2</v>
      </c>
      <c r="P25" s="93">
        <v>99.991996765136719</v>
      </c>
      <c r="Q25" s="280"/>
      <c r="R25" s="89">
        <v>1624</v>
      </c>
      <c r="S25" s="89">
        <v>18233358</v>
      </c>
      <c r="T25" s="89">
        <v>160058704</v>
      </c>
      <c r="U25" s="20">
        <v>0.11391669511795044</v>
      </c>
      <c r="V25" s="289"/>
      <c r="W25" s="108">
        <v>1675</v>
      </c>
      <c r="X25" s="108">
        <v>24054592</v>
      </c>
      <c r="Y25" s="108">
        <v>257008272</v>
      </c>
      <c r="Z25" s="215">
        <v>9.3594618141651154E-2</v>
      </c>
      <c r="AA25" s="289"/>
      <c r="AB25" s="89">
        <v>1707</v>
      </c>
      <c r="AC25" s="89">
        <v>29064876</v>
      </c>
      <c r="AD25" s="89">
        <v>336537440</v>
      </c>
      <c r="AE25" s="206">
        <v>8.6364462971687317E-2</v>
      </c>
      <c r="AF25" s="289"/>
    </row>
    <row r="26" spans="2:47">
      <c r="B26" s="147" t="s">
        <v>142</v>
      </c>
      <c r="C26" s="145">
        <v>0.08</v>
      </c>
      <c r="P26" s="93">
        <v>99.992996215820313</v>
      </c>
      <c r="Q26" s="280"/>
      <c r="R26" s="89">
        <v>1621</v>
      </c>
      <c r="S26" s="89">
        <v>19935524</v>
      </c>
      <c r="T26" s="89">
        <v>195389392</v>
      </c>
      <c r="U26" s="20">
        <v>0.1020297184586525</v>
      </c>
      <c r="V26" s="289"/>
      <c r="W26" s="108">
        <v>1679</v>
      </c>
      <c r="X26" s="108">
        <v>26248784</v>
      </c>
      <c r="Y26" s="108">
        <v>302508000</v>
      </c>
      <c r="Z26" s="215">
        <v>8.6770541965961456E-2</v>
      </c>
      <c r="AA26" s="289"/>
      <c r="AB26" s="89">
        <v>1732</v>
      </c>
      <c r="AC26" s="89">
        <v>31744942</v>
      </c>
      <c r="AD26" s="89">
        <v>352722304</v>
      </c>
      <c r="AE26" s="206">
        <v>8.9999817311763763E-2</v>
      </c>
      <c r="AF26" s="289"/>
    </row>
    <row r="27" spans="2:47" ht="15" thickBot="1">
      <c r="B27" s="148" t="s">
        <v>141</v>
      </c>
      <c r="C27" s="149">
        <v>0.04</v>
      </c>
      <c r="P27" s="93">
        <v>99.994003295898438</v>
      </c>
      <c r="Q27" s="280"/>
      <c r="R27" s="89">
        <v>1615</v>
      </c>
      <c r="S27" s="89">
        <v>22336292</v>
      </c>
      <c r="T27" s="89">
        <v>227705696</v>
      </c>
      <c r="U27" s="20">
        <v>9.8092809319496155E-2</v>
      </c>
      <c r="V27" s="289"/>
      <c r="W27" s="108">
        <v>1653</v>
      </c>
      <c r="X27" s="108">
        <v>29331146</v>
      </c>
      <c r="Y27" s="108">
        <v>343963776</v>
      </c>
      <c r="Z27" s="215">
        <v>8.527393639087677E-2</v>
      </c>
      <c r="AA27" s="289"/>
      <c r="AB27" s="89">
        <v>1701</v>
      </c>
      <c r="AC27" s="89">
        <v>35470352</v>
      </c>
      <c r="AD27" s="89">
        <v>403969120</v>
      </c>
      <c r="AE27" s="206">
        <v>8.7804615497589111E-2</v>
      </c>
      <c r="AF27" s="289"/>
    </row>
    <row r="28" spans="2:47">
      <c r="P28" s="93">
        <v>99.995002746582031</v>
      </c>
      <c r="Q28" s="280"/>
      <c r="R28" s="89">
        <v>1614</v>
      </c>
      <c r="S28" s="89">
        <v>25600892</v>
      </c>
      <c r="T28" s="89">
        <v>247328480</v>
      </c>
      <c r="U28" s="20">
        <v>0.10350967943668365</v>
      </c>
      <c r="V28" s="289"/>
      <c r="W28" s="108">
        <v>1673</v>
      </c>
      <c r="X28" s="108">
        <v>33550620</v>
      </c>
      <c r="Y28" s="108">
        <v>400685344</v>
      </c>
      <c r="Z28" s="215">
        <v>8.3733081817626953E-2</v>
      </c>
      <c r="AA28" s="289"/>
      <c r="AB28" s="89">
        <v>1714</v>
      </c>
      <c r="AC28" s="89">
        <v>41257112</v>
      </c>
      <c r="AD28" s="89">
        <v>475012864</v>
      </c>
      <c r="AE28" s="206">
        <v>8.6854726076126099E-2</v>
      </c>
      <c r="AF28" s="289"/>
    </row>
    <row r="29" spans="2:47">
      <c r="P29" s="93">
        <v>99.996002197265625</v>
      </c>
      <c r="Q29" s="280"/>
      <c r="R29" s="89">
        <v>1625</v>
      </c>
      <c r="S29" s="89">
        <v>30248796</v>
      </c>
      <c r="T29" s="89">
        <v>291615648</v>
      </c>
      <c r="U29" s="20">
        <v>0.10372830182313919</v>
      </c>
      <c r="V29" s="289"/>
      <c r="W29" s="108">
        <v>1678</v>
      </c>
      <c r="X29" s="108">
        <v>39623324</v>
      </c>
      <c r="Y29" s="108">
        <v>448552896</v>
      </c>
      <c r="Z29" s="215">
        <v>8.8335901498794556E-2</v>
      </c>
      <c r="AA29" s="289"/>
      <c r="AB29" s="89">
        <v>1716</v>
      </c>
      <c r="AC29" s="89">
        <v>50087968</v>
      </c>
      <c r="AD29" s="89">
        <v>635568384</v>
      </c>
      <c r="AE29" s="206">
        <v>7.8808151185512543E-2</v>
      </c>
      <c r="AF29" s="289"/>
    </row>
    <row r="30" spans="2:47">
      <c r="P30" s="93">
        <v>99.997001647949219</v>
      </c>
      <c r="Q30" s="280"/>
      <c r="R30" s="89">
        <v>1618</v>
      </c>
      <c r="S30" s="89">
        <v>38651340</v>
      </c>
      <c r="T30" s="89">
        <v>388485120</v>
      </c>
      <c r="U30" s="20">
        <v>9.9492460489273071E-2</v>
      </c>
      <c r="V30" s="289"/>
      <c r="W30" s="108">
        <v>1656</v>
      </c>
      <c r="X30" s="108">
        <v>50894552</v>
      </c>
      <c r="Y30" s="108">
        <v>611225536</v>
      </c>
      <c r="Z30" s="215">
        <v>8.3266399800777435E-2</v>
      </c>
      <c r="AA30" s="289"/>
      <c r="AB30" s="89">
        <v>1710</v>
      </c>
      <c r="AC30" s="89">
        <v>65383580</v>
      </c>
      <c r="AD30" s="89">
        <v>809232256</v>
      </c>
      <c r="AE30" s="206">
        <v>8.0797053873538971E-2</v>
      </c>
      <c r="AF30" s="289"/>
    </row>
    <row r="31" spans="2:47">
      <c r="P31" s="93">
        <v>99.998001098632813</v>
      </c>
      <c r="Q31" s="280"/>
      <c r="R31" s="89">
        <v>1435</v>
      </c>
      <c r="S31" s="89">
        <v>57079656</v>
      </c>
      <c r="T31" s="89">
        <v>582812416</v>
      </c>
      <c r="U31" s="20">
        <v>9.7938299179077148E-2</v>
      </c>
      <c r="V31" s="289"/>
      <c r="W31" s="108">
        <v>1491</v>
      </c>
      <c r="X31" s="108">
        <v>75082264</v>
      </c>
      <c r="Y31" s="108">
        <v>933173504</v>
      </c>
      <c r="Z31" s="215">
        <v>8.0459058284759521E-2</v>
      </c>
      <c r="AA31" s="289"/>
      <c r="AB31" s="89">
        <v>1709</v>
      </c>
      <c r="AC31" s="89">
        <v>95165672</v>
      </c>
      <c r="AD31" s="89">
        <v>1230000000</v>
      </c>
      <c r="AE31" s="206">
        <v>7.737046480178833E-2</v>
      </c>
      <c r="AF31" s="289"/>
    </row>
    <row r="32" spans="2:47">
      <c r="P32" s="93">
        <v>99.999000549316406</v>
      </c>
      <c r="Q32" s="280" t="s">
        <v>216</v>
      </c>
      <c r="R32" s="89">
        <v>1412</v>
      </c>
      <c r="S32" s="89">
        <v>91344960</v>
      </c>
      <c r="T32" s="89">
        <v>987265088</v>
      </c>
      <c r="U32" s="20">
        <v>9.2523232102394104E-2</v>
      </c>
      <c r="V32" s="289">
        <f>SUMPRODUCT(R32:R33,S32:S33,U32:U33)/SUMPRODUCT(R32:R33,S32:S33)</f>
        <v>8.2682599805613002E-2</v>
      </c>
      <c r="W32" s="108">
        <v>1450</v>
      </c>
      <c r="X32" s="108">
        <v>120061824</v>
      </c>
      <c r="Y32" s="108">
        <v>1570000000</v>
      </c>
      <c r="Z32" s="215">
        <v>7.647249847650528E-2</v>
      </c>
      <c r="AA32" s="289">
        <f>SUMPRODUCT(W32:W33,X32:X33,Z32:Z33)/SUMPRODUCT(W32:W33,X32:X33)</f>
        <v>6.5328760354109477E-2</v>
      </c>
      <c r="AB32" s="89">
        <v>1325</v>
      </c>
      <c r="AC32" s="89">
        <v>170138960</v>
      </c>
      <c r="AD32" s="89">
        <v>2310000128</v>
      </c>
      <c r="AE32" s="206">
        <v>7.3653228580951691E-2</v>
      </c>
      <c r="AF32" s="289">
        <f>SUMPRODUCT(AB32:AB33,AC32:AC33,AE32:AE33)/SUMPRODUCT(AB32:AB33,AC32:AC33)</f>
        <v>7.2269994513043098E-2</v>
      </c>
    </row>
    <row r="33" spans="16:42">
      <c r="P33" s="89">
        <v>400</v>
      </c>
      <c r="Q33" s="280"/>
      <c r="R33" s="89">
        <v>400</v>
      </c>
      <c r="S33" s="89">
        <v>556576384</v>
      </c>
      <c r="T33" s="89">
        <v>7230000128</v>
      </c>
      <c r="U33" s="20">
        <v>7.6981514692306519E-2</v>
      </c>
      <c r="V33" s="289"/>
      <c r="W33" s="108">
        <v>400</v>
      </c>
      <c r="X33" s="108">
        <v>654475776</v>
      </c>
      <c r="Y33" s="108">
        <v>11299999744</v>
      </c>
      <c r="Z33" s="215">
        <v>5.7918213307857513E-2</v>
      </c>
      <c r="AA33" s="289"/>
      <c r="AB33" s="89">
        <v>411</v>
      </c>
      <c r="AC33" s="89">
        <v>950575488</v>
      </c>
      <c r="AD33" s="89">
        <v>13299999744</v>
      </c>
      <c r="AE33" s="206">
        <v>7.1471840143203735E-2</v>
      </c>
      <c r="AF33" s="289"/>
    </row>
    <row r="35" spans="16:42">
      <c r="Q35" t="s">
        <v>410</v>
      </c>
    </row>
    <row r="36" spans="16:42">
      <c r="Q36" s="104" t="s">
        <v>409</v>
      </c>
      <c r="R36" s="104"/>
    </row>
    <row r="46" spans="16:42">
      <c r="AI46" s="82"/>
      <c r="AJ46" s="83"/>
      <c r="AK46" s="83"/>
      <c r="AL46" s="83"/>
      <c r="AM46" s="83"/>
      <c r="AN46" s="83"/>
      <c r="AO46" s="15"/>
      <c r="AP46" s="15"/>
    </row>
    <row r="47" spans="16:42">
      <c r="AJ47" s="83"/>
      <c r="AK47" s="83"/>
      <c r="AL47" s="83"/>
      <c r="AM47" s="83"/>
      <c r="AN47" s="83"/>
      <c r="AO47" s="15"/>
      <c r="AP47" s="15"/>
    </row>
    <row r="48" spans="16:42">
      <c r="AJ48" s="83"/>
      <c r="AK48" s="83"/>
      <c r="AL48" s="83"/>
      <c r="AM48" s="83"/>
      <c r="AN48" s="83"/>
      <c r="AO48" s="15"/>
      <c r="AP48" s="15"/>
    </row>
    <row r="50" spans="17:20">
      <c r="Q50" s="15"/>
      <c r="R50" s="15"/>
      <c r="S50"/>
      <c r="T50"/>
    </row>
  </sheetData>
  <mergeCells count="27">
    <mergeCell ref="AA32:AA33"/>
    <mergeCell ref="W3:AA3"/>
    <mergeCell ref="Z4:AA4"/>
    <mergeCell ref="AA5:AA13"/>
    <mergeCell ref="AA14:AA22"/>
    <mergeCell ref="AA23:AA31"/>
    <mergeCell ref="Q14:Q22"/>
    <mergeCell ref="Q23:Q31"/>
    <mergeCell ref="Q32:Q33"/>
    <mergeCell ref="P2:AF2"/>
    <mergeCell ref="U4:V4"/>
    <mergeCell ref="V5:V13"/>
    <mergeCell ref="V14:V22"/>
    <mergeCell ref="V23:V31"/>
    <mergeCell ref="V32:V33"/>
    <mergeCell ref="AF32:AF33"/>
    <mergeCell ref="R3:V3"/>
    <mergeCell ref="AB3:AF3"/>
    <mergeCell ref="AF5:AF13"/>
    <mergeCell ref="AF14:AF22"/>
    <mergeCell ref="AF23:AF31"/>
    <mergeCell ref="AE4:AF4"/>
    <mergeCell ref="B2:L2"/>
    <mergeCell ref="C3:G3"/>
    <mergeCell ref="H3:L3"/>
    <mergeCell ref="P3:Q3"/>
    <mergeCell ref="Q5:Q1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1FE3-8E13-4C6D-92F5-0AD27314ACB0}">
  <dimension ref="A1:X111"/>
  <sheetViews>
    <sheetView zoomScale="70" zoomScaleNormal="70" workbookViewId="0">
      <selection activeCell="E12" sqref="E12"/>
    </sheetView>
  </sheetViews>
  <sheetFormatPr baseColWidth="10" defaultRowHeight="14.4"/>
  <cols>
    <col min="1" max="1" width="87.88671875" customWidth="1"/>
    <col min="2" max="22" width="11.5546875" style="240"/>
  </cols>
  <sheetData>
    <row r="1" spans="1:22" ht="14.4" customHeight="1">
      <c r="A1" s="251" t="s">
        <v>295</v>
      </c>
      <c r="B1" s="252" t="s">
        <v>427</v>
      </c>
      <c r="C1" s="252" t="s">
        <v>296</v>
      </c>
      <c r="D1" s="252" t="s">
        <v>297</v>
      </c>
      <c r="E1" s="252" t="s">
        <v>298</v>
      </c>
      <c r="F1" s="252" t="s">
        <v>299</v>
      </c>
      <c r="G1" s="252" t="s">
        <v>300</v>
      </c>
      <c r="H1" s="252" t="s">
        <v>301</v>
      </c>
      <c r="I1" s="252" t="s">
        <v>302</v>
      </c>
      <c r="J1" s="252" t="s">
        <v>303</v>
      </c>
      <c r="K1" s="252" t="s">
        <v>304</v>
      </c>
      <c r="L1" s="252" t="s">
        <v>305</v>
      </c>
      <c r="M1" s="252" t="s">
        <v>306</v>
      </c>
      <c r="N1" s="252" t="s">
        <v>307</v>
      </c>
      <c r="O1" s="252" t="s">
        <v>308</v>
      </c>
      <c r="P1" s="252" t="s">
        <v>309</v>
      </c>
      <c r="Q1" s="252" t="s">
        <v>310</v>
      </c>
      <c r="R1" s="252" t="s">
        <v>311</v>
      </c>
      <c r="S1" s="252" t="s">
        <v>312</v>
      </c>
      <c r="T1" s="252" t="s">
        <v>313</v>
      </c>
      <c r="U1" s="252" t="s">
        <v>314</v>
      </c>
      <c r="V1" s="252" t="s">
        <v>315</v>
      </c>
    </row>
    <row r="2" spans="1:22" ht="14.4" customHeight="1">
      <c r="A2" s="253" t="s">
        <v>428</v>
      </c>
      <c r="B2" s="254">
        <v>1901.5</v>
      </c>
      <c r="C2" s="254">
        <v>10.199999999999999</v>
      </c>
      <c r="D2" s="254">
        <v>16.3</v>
      </c>
      <c r="E2" s="254">
        <v>24.8</v>
      </c>
      <c r="F2" s="254">
        <v>31.7</v>
      </c>
      <c r="G2" s="254">
        <v>39.299999999999997</v>
      </c>
      <c r="H2" s="254">
        <v>45.4</v>
      </c>
      <c r="I2" s="254">
        <v>53</v>
      </c>
      <c r="J2" s="254">
        <v>61.1</v>
      </c>
      <c r="K2" s="254">
        <v>65.900000000000006</v>
      </c>
      <c r="L2" s="254">
        <v>71.3</v>
      </c>
      <c r="M2" s="254">
        <v>77.400000000000006</v>
      </c>
      <c r="N2" s="254">
        <v>82.3</v>
      </c>
      <c r="O2" s="254">
        <v>94.3</v>
      </c>
      <c r="P2" s="254">
        <v>99.1</v>
      </c>
      <c r="Q2" s="254">
        <v>112.3</v>
      </c>
      <c r="R2" s="254">
        <v>124.2</v>
      </c>
      <c r="S2" s="254">
        <v>138.4</v>
      </c>
      <c r="T2" s="254">
        <v>161.19999999999999</v>
      </c>
      <c r="U2" s="254">
        <v>200.7</v>
      </c>
      <c r="V2" s="254">
        <v>392.6</v>
      </c>
    </row>
    <row r="3" spans="1:22" ht="14.4" customHeight="1">
      <c r="A3" s="255" t="s">
        <v>429</v>
      </c>
      <c r="B3" s="256">
        <v>937.9</v>
      </c>
      <c r="C3" s="256">
        <v>3.4</v>
      </c>
      <c r="D3" s="256">
        <v>7.1</v>
      </c>
      <c r="E3" s="256">
        <v>12.5</v>
      </c>
      <c r="F3" s="256">
        <v>16.600000000000001</v>
      </c>
      <c r="G3" s="256">
        <v>20.7</v>
      </c>
      <c r="H3" s="256">
        <v>24</v>
      </c>
      <c r="I3" s="256">
        <v>28.8</v>
      </c>
      <c r="J3" s="256">
        <v>33.700000000000003</v>
      </c>
      <c r="K3" s="256">
        <v>36</v>
      </c>
      <c r="L3" s="256">
        <v>39.200000000000003</v>
      </c>
      <c r="M3" s="256">
        <v>42.9</v>
      </c>
      <c r="N3" s="256">
        <v>44.2</v>
      </c>
      <c r="O3" s="256">
        <v>50.9</v>
      </c>
      <c r="P3" s="256">
        <v>53.1</v>
      </c>
      <c r="Q3" s="256">
        <v>59.2</v>
      </c>
      <c r="R3" s="256">
        <v>64.900000000000006</v>
      </c>
      <c r="S3" s="256">
        <v>70.099999999999994</v>
      </c>
      <c r="T3" s="256">
        <v>81</v>
      </c>
      <c r="U3" s="256">
        <v>96.3</v>
      </c>
      <c r="V3" s="256">
        <v>153.30000000000001</v>
      </c>
    </row>
    <row r="4" spans="1:22" ht="14.4" customHeight="1">
      <c r="A4" s="255" t="s">
        <v>430</v>
      </c>
      <c r="B4" s="256">
        <v>542.9</v>
      </c>
      <c r="C4" s="256">
        <v>2.2000000000000002</v>
      </c>
      <c r="D4" s="256">
        <v>3.8</v>
      </c>
      <c r="E4" s="256">
        <v>6.4</v>
      </c>
      <c r="F4" s="256">
        <v>8.5</v>
      </c>
      <c r="G4" s="256">
        <v>10.5</v>
      </c>
      <c r="H4" s="256">
        <v>11.8</v>
      </c>
      <c r="I4" s="256">
        <v>14.2</v>
      </c>
      <c r="J4" s="256">
        <v>16.8</v>
      </c>
      <c r="K4" s="256">
        <v>18.7</v>
      </c>
      <c r="L4" s="256">
        <v>20.5</v>
      </c>
      <c r="M4" s="256">
        <v>22</v>
      </c>
      <c r="N4" s="256">
        <v>23.3</v>
      </c>
      <c r="O4" s="256">
        <v>28</v>
      </c>
      <c r="P4" s="256">
        <v>29.2</v>
      </c>
      <c r="Q4" s="256">
        <v>33.4</v>
      </c>
      <c r="R4" s="256">
        <v>37.700000000000003</v>
      </c>
      <c r="S4" s="256">
        <v>41.6</v>
      </c>
      <c r="T4" s="256">
        <v>50.4</v>
      </c>
      <c r="U4" s="256">
        <v>61.7</v>
      </c>
      <c r="V4" s="256">
        <v>102.4</v>
      </c>
    </row>
    <row r="5" spans="1:22" ht="14.4" customHeight="1">
      <c r="A5" s="255" t="s">
        <v>431</v>
      </c>
      <c r="B5" s="256">
        <v>119.9</v>
      </c>
      <c r="C5" s="256">
        <v>0.3</v>
      </c>
      <c r="D5" s="256">
        <v>1</v>
      </c>
      <c r="E5" s="256">
        <v>1.5</v>
      </c>
      <c r="F5" s="256">
        <v>1.6</v>
      </c>
      <c r="G5" s="256">
        <v>1.8</v>
      </c>
      <c r="H5" s="256">
        <v>2</v>
      </c>
      <c r="I5" s="256">
        <v>2.1</v>
      </c>
      <c r="J5" s="256">
        <v>2.4</v>
      </c>
      <c r="K5" s="256">
        <v>2.2999999999999998</v>
      </c>
      <c r="L5" s="256">
        <v>2.4</v>
      </c>
      <c r="M5" s="256">
        <v>2.4</v>
      </c>
      <c r="N5" s="256">
        <v>3.1</v>
      </c>
      <c r="O5" s="256">
        <v>3.4</v>
      </c>
      <c r="P5" s="256">
        <v>3.1</v>
      </c>
      <c r="Q5" s="256">
        <v>4.8</v>
      </c>
      <c r="R5" s="256">
        <v>5.4</v>
      </c>
      <c r="S5" s="256">
        <v>7.7</v>
      </c>
      <c r="T5" s="256">
        <v>7.2</v>
      </c>
      <c r="U5" s="256">
        <v>12.1</v>
      </c>
      <c r="V5" s="256">
        <v>53.2</v>
      </c>
    </row>
    <row r="6" spans="1:22" ht="14.4" customHeight="1">
      <c r="A6" s="255" t="s">
        <v>432</v>
      </c>
      <c r="B6" s="256">
        <v>133.9</v>
      </c>
      <c r="C6" s="256">
        <v>1</v>
      </c>
      <c r="D6" s="256">
        <v>0.9</v>
      </c>
      <c r="E6" s="256">
        <v>1</v>
      </c>
      <c r="F6" s="256">
        <v>1.1000000000000001</v>
      </c>
      <c r="G6" s="256">
        <v>1.3</v>
      </c>
      <c r="H6" s="256">
        <v>1.7</v>
      </c>
      <c r="I6" s="256">
        <v>1.9</v>
      </c>
      <c r="J6" s="256">
        <v>1.9</v>
      </c>
      <c r="K6" s="256">
        <v>2.2000000000000002</v>
      </c>
      <c r="L6" s="256">
        <v>2.1</v>
      </c>
      <c r="M6" s="256">
        <v>2.6</v>
      </c>
      <c r="N6" s="256">
        <v>3.3</v>
      </c>
      <c r="O6" s="256">
        <v>3.4</v>
      </c>
      <c r="P6" s="256">
        <v>4.0999999999999996</v>
      </c>
      <c r="Q6" s="256">
        <v>4.9000000000000004</v>
      </c>
      <c r="R6" s="256">
        <v>5.6</v>
      </c>
      <c r="S6" s="256">
        <v>7.4</v>
      </c>
      <c r="T6" s="256">
        <v>9.6</v>
      </c>
      <c r="U6" s="256">
        <v>15.6</v>
      </c>
      <c r="V6" s="256">
        <v>62.3</v>
      </c>
    </row>
    <row r="7" spans="1:22" ht="14.4" customHeight="1">
      <c r="A7" s="255" t="s">
        <v>433</v>
      </c>
      <c r="B7" s="256">
        <v>166.9</v>
      </c>
      <c r="C7" s="256">
        <v>3.3</v>
      </c>
      <c r="D7" s="256">
        <v>3.6</v>
      </c>
      <c r="E7" s="256">
        <v>3.4</v>
      </c>
      <c r="F7" s="256">
        <v>3.9</v>
      </c>
      <c r="G7" s="256">
        <v>5</v>
      </c>
      <c r="H7" s="256">
        <v>5.8</v>
      </c>
      <c r="I7" s="256">
        <v>6.1</v>
      </c>
      <c r="J7" s="256">
        <v>6.2</v>
      </c>
      <c r="K7" s="256">
        <v>6.8</v>
      </c>
      <c r="L7" s="256">
        <v>7.1</v>
      </c>
      <c r="M7" s="256">
        <v>7.6</v>
      </c>
      <c r="N7" s="256">
        <v>8.4</v>
      </c>
      <c r="O7" s="256">
        <v>8.6999999999999993</v>
      </c>
      <c r="P7" s="256">
        <v>9.6</v>
      </c>
      <c r="Q7" s="256">
        <v>9.9</v>
      </c>
      <c r="R7" s="256">
        <v>10.6</v>
      </c>
      <c r="S7" s="256">
        <v>11.6</v>
      </c>
      <c r="T7" s="256">
        <v>12.9</v>
      </c>
      <c r="U7" s="256">
        <v>14.9</v>
      </c>
      <c r="V7" s="256">
        <v>21.4</v>
      </c>
    </row>
    <row r="8" spans="1:22" ht="14.4" customHeight="1">
      <c r="A8" s="253" t="s">
        <v>434</v>
      </c>
      <c r="B8" s="254">
        <v>123.1</v>
      </c>
      <c r="C8" s="254">
        <v>0.7</v>
      </c>
      <c r="D8" s="254">
        <v>0.4</v>
      </c>
      <c r="E8" s="254">
        <v>0.4</v>
      </c>
      <c r="F8" s="254">
        <v>0.5</v>
      </c>
      <c r="G8" s="254">
        <v>0.5</v>
      </c>
      <c r="H8" s="254">
        <v>0.8</v>
      </c>
      <c r="I8" s="254">
        <v>0.5</v>
      </c>
      <c r="J8" s="254">
        <v>0.6</v>
      </c>
      <c r="K8" s="254">
        <v>0.7</v>
      </c>
      <c r="L8" s="254">
        <v>0.6</v>
      </c>
      <c r="M8" s="254">
        <v>1</v>
      </c>
      <c r="N8" s="254">
        <v>1.3</v>
      </c>
      <c r="O8" s="254">
        <v>1.2</v>
      </c>
      <c r="P8" s="254">
        <v>1.2</v>
      </c>
      <c r="Q8" s="254">
        <v>1.9</v>
      </c>
      <c r="R8" s="254">
        <v>2.7</v>
      </c>
      <c r="S8" s="254">
        <v>3.1</v>
      </c>
      <c r="T8" s="254">
        <v>4.0999999999999996</v>
      </c>
      <c r="U8" s="254">
        <v>10.5</v>
      </c>
      <c r="V8" s="254">
        <v>90.4</v>
      </c>
    </row>
    <row r="9" spans="1:22" ht="14.4" customHeight="1">
      <c r="A9" s="253" t="s">
        <v>435</v>
      </c>
      <c r="B9" s="254">
        <v>58.5</v>
      </c>
      <c r="C9" s="254">
        <v>-0.4</v>
      </c>
      <c r="D9" s="254">
        <v>-0.2</v>
      </c>
      <c r="E9" s="254">
        <v>0.1</v>
      </c>
      <c r="F9" s="254">
        <v>0.3</v>
      </c>
      <c r="G9" s="254">
        <v>0.7</v>
      </c>
      <c r="H9" s="254">
        <v>0.9</v>
      </c>
      <c r="I9" s="254">
        <v>1.1000000000000001</v>
      </c>
      <c r="J9" s="254">
        <v>1.5</v>
      </c>
      <c r="K9" s="254">
        <v>1.7</v>
      </c>
      <c r="L9" s="254">
        <v>1.9</v>
      </c>
      <c r="M9" s="254">
        <v>2.1</v>
      </c>
      <c r="N9" s="254">
        <v>2.2999999999999998</v>
      </c>
      <c r="O9" s="254">
        <v>2.8</v>
      </c>
      <c r="P9" s="254">
        <v>2.9</v>
      </c>
      <c r="Q9" s="254">
        <v>3.5</v>
      </c>
      <c r="R9" s="254">
        <v>3.9</v>
      </c>
      <c r="S9" s="254">
        <v>4.5</v>
      </c>
      <c r="T9" s="254">
        <v>5.2</v>
      </c>
      <c r="U9" s="254">
        <v>6.9</v>
      </c>
      <c r="V9" s="254">
        <v>16.8</v>
      </c>
    </row>
    <row r="10" spans="1:22" ht="14.4" customHeight="1">
      <c r="A10" s="255" t="s">
        <v>436</v>
      </c>
      <c r="B10" s="256">
        <v>89.9</v>
      </c>
      <c r="C10" s="256">
        <v>0.5</v>
      </c>
      <c r="D10" s="256">
        <v>0.7</v>
      </c>
      <c r="E10" s="256">
        <v>1.1000000000000001</v>
      </c>
      <c r="F10" s="256">
        <v>1.4</v>
      </c>
      <c r="G10" s="256">
        <v>1.8</v>
      </c>
      <c r="H10" s="256">
        <v>2</v>
      </c>
      <c r="I10" s="256">
        <v>2.4</v>
      </c>
      <c r="J10" s="256">
        <v>2.7</v>
      </c>
      <c r="K10" s="256">
        <v>3</v>
      </c>
      <c r="L10" s="256">
        <v>3.2</v>
      </c>
      <c r="M10" s="256">
        <v>3.5</v>
      </c>
      <c r="N10" s="256">
        <v>3.7</v>
      </c>
      <c r="O10" s="256">
        <v>4.2</v>
      </c>
      <c r="P10" s="256">
        <v>4.5</v>
      </c>
      <c r="Q10" s="256">
        <v>5.0999999999999996</v>
      </c>
      <c r="R10" s="256">
        <v>5.6</v>
      </c>
      <c r="S10" s="256">
        <v>6.3</v>
      </c>
      <c r="T10" s="256">
        <v>7.3</v>
      </c>
      <c r="U10" s="256">
        <v>9.4</v>
      </c>
      <c r="V10" s="256">
        <v>21.4</v>
      </c>
    </row>
    <row r="11" spans="1:22" ht="14.4" customHeight="1">
      <c r="A11" s="255" t="s">
        <v>437</v>
      </c>
      <c r="B11" s="256">
        <v>-31.3</v>
      </c>
      <c r="C11" s="256">
        <v>-0.9</v>
      </c>
      <c r="D11" s="256">
        <v>-0.9</v>
      </c>
      <c r="E11" s="256">
        <v>-1</v>
      </c>
      <c r="F11" s="256">
        <v>-1.1000000000000001</v>
      </c>
      <c r="G11" s="256">
        <v>-1.1000000000000001</v>
      </c>
      <c r="H11" s="256">
        <v>-1.2</v>
      </c>
      <c r="I11" s="256">
        <v>-1.2</v>
      </c>
      <c r="J11" s="256">
        <v>-1.3</v>
      </c>
      <c r="K11" s="256">
        <v>-1.3</v>
      </c>
      <c r="L11" s="256">
        <v>-1.3</v>
      </c>
      <c r="M11" s="256">
        <v>-1.3</v>
      </c>
      <c r="N11" s="256">
        <v>-1.4</v>
      </c>
      <c r="O11" s="256">
        <v>-1.5</v>
      </c>
      <c r="P11" s="256">
        <v>-1.5</v>
      </c>
      <c r="Q11" s="256">
        <v>-1.6</v>
      </c>
      <c r="R11" s="256">
        <v>-1.7</v>
      </c>
      <c r="S11" s="256">
        <v>-1.8</v>
      </c>
      <c r="T11" s="256">
        <v>-2.1</v>
      </c>
      <c r="U11" s="256">
        <v>-2.5</v>
      </c>
      <c r="V11" s="256">
        <v>-4.5999999999999996</v>
      </c>
    </row>
    <row r="12" spans="1:22" ht="14.4" customHeight="1">
      <c r="A12" s="257" t="s">
        <v>438</v>
      </c>
      <c r="B12" s="254">
        <v>2083.1</v>
      </c>
      <c r="C12" s="254">
        <v>10.4</v>
      </c>
      <c r="D12" s="254">
        <v>16.600000000000001</v>
      </c>
      <c r="E12" s="254">
        <v>25.3</v>
      </c>
      <c r="F12" s="254">
        <v>32.4</v>
      </c>
      <c r="G12" s="254">
        <v>40.5</v>
      </c>
      <c r="H12" s="254">
        <v>47</v>
      </c>
      <c r="I12" s="254">
        <v>54.7</v>
      </c>
      <c r="J12" s="254">
        <v>63.1</v>
      </c>
      <c r="K12" s="254">
        <v>68.3</v>
      </c>
      <c r="L12" s="254">
        <v>73.7</v>
      </c>
      <c r="M12" s="254">
        <v>80.599999999999994</v>
      </c>
      <c r="N12" s="254">
        <v>85.9</v>
      </c>
      <c r="O12" s="254">
        <v>98.3</v>
      </c>
      <c r="P12" s="254">
        <v>103.2</v>
      </c>
      <c r="Q12" s="254">
        <v>117.7</v>
      </c>
      <c r="R12" s="254">
        <v>130.80000000000001</v>
      </c>
      <c r="S12" s="254">
        <v>146</v>
      </c>
      <c r="T12" s="254">
        <v>170.5</v>
      </c>
      <c r="U12" s="254">
        <v>218.2</v>
      </c>
      <c r="V12" s="254">
        <v>499.9</v>
      </c>
    </row>
    <row r="13" spans="1:22" ht="14.4" customHeight="1">
      <c r="A13" s="253" t="s">
        <v>439</v>
      </c>
      <c r="B13" s="254">
        <v>286.7</v>
      </c>
      <c r="C13" s="254">
        <v>1.5</v>
      </c>
      <c r="D13" s="254">
        <v>2.4</v>
      </c>
      <c r="E13" s="254">
        <v>3.6</v>
      </c>
      <c r="F13" s="254">
        <v>4.5999999999999996</v>
      </c>
      <c r="G13" s="254">
        <v>5.6</v>
      </c>
      <c r="H13" s="254">
        <v>6.5</v>
      </c>
      <c r="I13" s="254">
        <v>7.6</v>
      </c>
      <c r="J13" s="254">
        <v>8.6999999999999993</v>
      </c>
      <c r="K13" s="254">
        <v>9.4</v>
      </c>
      <c r="L13" s="254">
        <v>10.199999999999999</v>
      </c>
      <c r="M13" s="254">
        <v>11.1</v>
      </c>
      <c r="N13" s="254">
        <v>11.8</v>
      </c>
      <c r="O13" s="254">
        <v>13.5</v>
      </c>
      <c r="P13" s="254">
        <v>14.2</v>
      </c>
      <c r="Q13" s="254">
        <v>16.2</v>
      </c>
      <c r="R13" s="254">
        <v>18</v>
      </c>
      <c r="S13" s="254">
        <v>20</v>
      </c>
      <c r="T13" s="254">
        <v>23.4</v>
      </c>
      <c r="U13" s="254">
        <v>29.9</v>
      </c>
      <c r="V13" s="254">
        <v>68.400000000000006</v>
      </c>
    </row>
    <row r="14" spans="1:22" ht="14.4" customHeight="1">
      <c r="A14" s="258" t="s">
        <v>440</v>
      </c>
      <c r="B14" s="259">
        <v>2369.9</v>
      </c>
      <c r="C14" s="259">
        <v>11.9</v>
      </c>
      <c r="D14" s="259">
        <v>18.8</v>
      </c>
      <c r="E14" s="259">
        <v>28.8</v>
      </c>
      <c r="F14" s="259">
        <v>36.9</v>
      </c>
      <c r="G14" s="259">
        <v>46</v>
      </c>
      <c r="H14" s="259">
        <v>53.5</v>
      </c>
      <c r="I14" s="259">
        <v>62.2</v>
      </c>
      <c r="J14" s="259">
        <v>71.8</v>
      </c>
      <c r="K14" s="259">
        <v>77.8</v>
      </c>
      <c r="L14" s="259">
        <v>83.9</v>
      </c>
      <c r="M14" s="259">
        <v>91.7</v>
      </c>
      <c r="N14" s="259">
        <v>97.8</v>
      </c>
      <c r="O14" s="259">
        <v>111.8</v>
      </c>
      <c r="P14" s="259">
        <v>117.4</v>
      </c>
      <c r="Q14" s="259">
        <v>133.80000000000001</v>
      </c>
      <c r="R14" s="259">
        <v>148.9</v>
      </c>
      <c r="S14" s="259">
        <v>166.1</v>
      </c>
      <c r="T14" s="259">
        <v>194</v>
      </c>
      <c r="U14" s="259">
        <v>248.2</v>
      </c>
      <c r="V14" s="259">
        <v>568.70000000000005</v>
      </c>
    </row>
    <row r="15" spans="1:22" ht="14.4" customHeight="1">
      <c r="A15" s="253" t="s">
        <v>441</v>
      </c>
      <c r="B15" s="254">
        <v>-1270.9000000000001</v>
      </c>
      <c r="C15" s="254">
        <v>-13.6</v>
      </c>
      <c r="D15" s="254">
        <v>-15.9</v>
      </c>
      <c r="E15" s="254">
        <v>-18.3</v>
      </c>
      <c r="F15" s="254">
        <v>-22.7</v>
      </c>
      <c r="G15" s="254">
        <v>-26.3</v>
      </c>
      <c r="H15" s="254">
        <v>-30.1</v>
      </c>
      <c r="I15" s="254">
        <v>-33.9</v>
      </c>
      <c r="J15" s="254">
        <v>-38.299999999999997</v>
      </c>
      <c r="K15" s="254">
        <v>-41.5</v>
      </c>
      <c r="L15" s="254">
        <v>-44.7</v>
      </c>
      <c r="M15" s="254">
        <v>-48.4</v>
      </c>
      <c r="N15" s="254">
        <v>-52.4</v>
      </c>
      <c r="O15" s="254">
        <v>-58.9</v>
      </c>
      <c r="P15" s="254">
        <v>-62.5</v>
      </c>
      <c r="Q15" s="254">
        <v>-70.400000000000006</v>
      </c>
      <c r="R15" s="254">
        <v>-79</v>
      </c>
      <c r="S15" s="254">
        <v>-86.6</v>
      </c>
      <c r="T15" s="254">
        <v>-104.8</v>
      </c>
      <c r="U15" s="254">
        <v>-129.9</v>
      </c>
      <c r="V15" s="254">
        <v>-292.89999999999998</v>
      </c>
    </row>
    <row r="16" spans="1:22" ht="14.4" customHeight="1">
      <c r="A16" s="255" t="s">
        <v>442</v>
      </c>
      <c r="B16" s="256">
        <v>-318.60000000000002</v>
      </c>
      <c r="C16" s="256">
        <v>-8.1999999999999993</v>
      </c>
      <c r="D16" s="256">
        <v>-11.1</v>
      </c>
      <c r="E16" s="256">
        <v>-10</v>
      </c>
      <c r="F16" s="256">
        <v>-11.1</v>
      </c>
      <c r="G16" s="256">
        <v>-11.6</v>
      </c>
      <c r="H16" s="256">
        <v>-12.7</v>
      </c>
      <c r="I16" s="256">
        <v>-13.2</v>
      </c>
      <c r="J16" s="256">
        <v>-13.8</v>
      </c>
      <c r="K16" s="256">
        <v>-14</v>
      </c>
      <c r="L16" s="256">
        <v>-14.6</v>
      </c>
      <c r="M16" s="256">
        <v>-15.5</v>
      </c>
      <c r="N16" s="256">
        <v>-16.5</v>
      </c>
      <c r="O16" s="256">
        <v>-16.7</v>
      </c>
      <c r="P16" s="256">
        <v>-17.5</v>
      </c>
      <c r="Q16" s="256">
        <v>-18.100000000000001</v>
      </c>
      <c r="R16" s="256">
        <v>-19.399999999999999</v>
      </c>
      <c r="S16" s="256">
        <v>-19.7</v>
      </c>
      <c r="T16" s="256">
        <v>-21.7</v>
      </c>
      <c r="U16" s="256">
        <v>-19.899999999999999</v>
      </c>
      <c r="V16" s="256">
        <v>-33.299999999999997</v>
      </c>
    </row>
    <row r="17" spans="1:22" ht="14.4" customHeight="1">
      <c r="A17" s="255" t="s">
        <v>443</v>
      </c>
      <c r="B17" s="256">
        <v>31.8</v>
      </c>
      <c r="C17" s="256">
        <v>1.4</v>
      </c>
      <c r="D17" s="256">
        <v>1.4</v>
      </c>
      <c r="E17" s="256">
        <v>1.4</v>
      </c>
      <c r="F17" s="256">
        <v>1.4</v>
      </c>
      <c r="G17" s="256">
        <v>1.5</v>
      </c>
      <c r="H17" s="256">
        <v>1.5</v>
      </c>
      <c r="I17" s="256">
        <v>1.6</v>
      </c>
      <c r="J17" s="256">
        <v>1.5</v>
      </c>
      <c r="K17" s="256">
        <v>1.5</v>
      </c>
      <c r="L17" s="256">
        <v>1.5</v>
      </c>
      <c r="M17" s="256">
        <v>1.5</v>
      </c>
      <c r="N17" s="256">
        <v>1.6</v>
      </c>
      <c r="O17" s="256">
        <v>1.6</v>
      </c>
      <c r="P17" s="256">
        <v>1.6</v>
      </c>
      <c r="Q17" s="256">
        <v>1.7</v>
      </c>
      <c r="R17" s="256">
        <v>1.7</v>
      </c>
      <c r="S17" s="256">
        <v>1.7</v>
      </c>
      <c r="T17" s="256">
        <v>1.8</v>
      </c>
      <c r="U17" s="256">
        <v>1.7</v>
      </c>
      <c r="V17" s="256">
        <v>2.4</v>
      </c>
    </row>
    <row r="18" spans="1:22" ht="14.4" customHeight="1">
      <c r="A18" s="255" t="s">
        <v>444</v>
      </c>
      <c r="B18" s="256">
        <v>-128</v>
      </c>
      <c r="C18" s="256">
        <v>-0.9</v>
      </c>
      <c r="D18" s="256">
        <v>-1.3</v>
      </c>
      <c r="E18" s="256">
        <v>-1.8</v>
      </c>
      <c r="F18" s="256">
        <v>-2.2999999999999998</v>
      </c>
      <c r="G18" s="256">
        <v>-2.9</v>
      </c>
      <c r="H18" s="256">
        <v>-3.4</v>
      </c>
      <c r="I18" s="256">
        <v>-3.9</v>
      </c>
      <c r="J18" s="256">
        <v>-4.3</v>
      </c>
      <c r="K18" s="256">
        <v>-4.8</v>
      </c>
      <c r="L18" s="256">
        <v>-5.0999999999999996</v>
      </c>
      <c r="M18" s="256">
        <v>-5.5</v>
      </c>
      <c r="N18" s="256">
        <v>-5.8</v>
      </c>
      <c r="O18" s="256">
        <v>-6.7</v>
      </c>
      <c r="P18" s="256">
        <v>-7</v>
      </c>
      <c r="Q18" s="256">
        <v>-7.9</v>
      </c>
      <c r="R18" s="256">
        <v>-8.6</v>
      </c>
      <c r="S18" s="256">
        <v>-9.3000000000000007</v>
      </c>
      <c r="T18" s="256">
        <v>-11</v>
      </c>
      <c r="U18" s="256">
        <v>-13.2</v>
      </c>
      <c r="V18" s="256">
        <v>-22.2</v>
      </c>
    </row>
    <row r="19" spans="1:22" ht="14.4" customHeight="1">
      <c r="A19" s="255" t="s">
        <v>445</v>
      </c>
      <c r="B19" s="256">
        <v>38.1</v>
      </c>
      <c r="C19" s="256">
        <v>0.2</v>
      </c>
      <c r="D19" s="256">
        <v>0.3</v>
      </c>
      <c r="E19" s="256">
        <v>0.5</v>
      </c>
      <c r="F19" s="256">
        <v>0.6</v>
      </c>
      <c r="G19" s="256">
        <v>0.8</v>
      </c>
      <c r="H19" s="256">
        <v>0.9</v>
      </c>
      <c r="I19" s="256">
        <v>1.1000000000000001</v>
      </c>
      <c r="J19" s="256">
        <v>1.2</v>
      </c>
      <c r="K19" s="256">
        <v>1.3</v>
      </c>
      <c r="L19" s="256">
        <v>1.4</v>
      </c>
      <c r="M19" s="256">
        <v>1.6</v>
      </c>
      <c r="N19" s="256">
        <v>1.7</v>
      </c>
      <c r="O19" s="256">
        <v>1.9</v>
      </c>
      <c r="P19" s="256">
        <v>2</v>
      </c>
      <c r="Q19" s="256">
        <v>2.2999999999999998</v>
      </c>
      <c r="R19" s="256">
        <v>2.5</v>
      </c>
      <c r="S19" s="256">
        <v>2.8</v>
      </c>
      <c r="T19" s="256">
        <v>3.3</v>
      </c>
      <c r="U19" s="256">
        <v>4.0999999999999996</v>
      </c>
      <c r="V19" s="256">
        <v>7.7</v>
      </c>
    </row>
    <row r="20" spans="1:22" ht="14.4" customHeight="1">
      <c r="A20" s="255" t="s">
        <v>446</v>
      </c>
      <c r="B20" s="256">
        <v>-78</v>
      </c>
      <c r="C20" s="256">
        <v>-0.4</v>
      </c>
      <c r="D20" s="256">
        <v>-0.3</v>
      </c>
      <c r="E20" s="256">
        <v>-0.3</v>
      </c>
      <c r="F20" s="256">
        <v>-0.3</v>
      </c>
      <c r="G20" s="256">
        <v>-0.3</v>
      </c>
      <c r="H20" s="256">
        <v>-0.5</v>
      </c>
      <c r="I20" s="256">
        <v>-0.3</v>
      </c>
      <c r="J20" s="256">
        <v>-0.4</v>
      </c>
      <c r="K20" s="256">
        <v>-0.4</v>
      </c>
      <c r="L20" s="256">
        <v>-0.4</v>
      </c>
      <c r="M20" s="256">
        <v>-0.6</v>
      </c>
      <c r="N20" s="256">
        <v>-0.8</v>
      </c>
      <c r="O20" s="256">
        <v>-0.8</v>
      </c>
      <c r="P20" s="256">
        <v>-0.7</v>
      </c>
      <c r="Q20" s="256">
        <v>-1.2</v>
      </c>
      <c r="R20" s="256">
        <v>-1.7</v>
      </c>
      <c r="S20" s="256">
        <v>-2</v>
      </c>
      <c r="T20" s="256">
        <v>-2.6</v>
      </c>
      <c r="U20" s="256">
        <v>-6.7</v>
      </c>
      <c r="V20" s="256">
        <v>-57.4</v>
      </c>
    </row>
    <row r="21" spans="1:22" ht="14.4" customHeight="1">
      <c r="A21" s="255" t="s">
        <v>447</v>
      </c>
      <c r="B21" s="256">
        <v>-147.30000000000001</v>
      </c>
      <c r="C21" s="256">
        <v>-0.5</v>
      </c>
      <c r="D21" s="256">
        <v>-0.9</v>
      </c>
      <c r="E21" s="256">
        <v>-1.5</v>
      </c>
      <c r="F21" s="256">
        <v>-2.2000000000000002</v>
      </c>
      <c r="G21" s="256">
        <v>-2.8</v>
      </c>
      <c r="H21" s="256">
        <v>-3.7</v>
      </c>
      <c r="I21" s="256">
        <v>-4.3</v>
      </c>
      <c r="J21" s="256">
        <v>-4.9000000000000004</v>
      </c>
      <c r="K21" s="256">
        <v>-5.3</v>
      </c>
      <c r="L21" s="256">
        <v>-5.8</v>
      </c>
      <c r="M21" s="256">
        <v>-6.2</v>
      </c>
      <c r="N21" s="256">
        <v>-6.8</v>
      </c>
      <c r="O21" s="256">
        <v>-7.6</v>
      </c>
      <c r="P21" s="256">
        <v>-8.1</v>
      </c>
      <c r="Q21" s="256">
        <v>-8.9</v>
      </c>
      <c r="R21" s="256">
        <v>-9.8000000000000007</v>
      </c>
      <c r="S21" s="256">
        <v>-10.7</v>
      </c>
      <c r="T21" s="256">
        <v>-12.5</v>
      </c>
      <c r="U21" s="256">
        <v>-15.4</v>
      </c>
      <c r="V21" s="256">
        <v>-29.3</v>
      </c>
    </row>
    <row r="22" spans="1:22" ht="14.4" customHeight="1">
      <c r="A22" s="255" t="s">
        <v>448</v>
      </c>
      <c r="B22" s="256">
        <v>-101.6</v>
      </c>
      <c r="C22" s="256">
        <v>-2.7</v>
      </c>
      <c r="D22" s="256">
        <v>0</v>
      </c>
      <c r="E22" s="256">
        <v>0</v>
      </c>
      <c r="F22" s="256">
        <v>-0.1</v>
      </c>
      <c r="G22" s="256">
        <v>0</v>
      </c>
      <c r="H22" s="256">
        <v>0</v>
      </c>
      <c r="I22" s="256">
        <v>-0.2</v>
      </c>
      <c r="J22" s="256">
        <v>-0.2</v>
      </c>
      <c r="K22" s="256">
        <v>-0.5</v>
      </c>
      <c r="L22" s="256">
        <v>-0.7</v>
      </c>
      <c r="M22" s="256">
        <v>-1.1000000000000001</v>
      </c>
      <c r="N22" s="256">
        <v>-1.5</v>
      </c>
      <c r="O22" s="256">
        <v>-1.9</v>
      </c>
      <c r="P22" s="256">
        <v>-2.6</v>
      </c>
      <c r="Q22" s="256">
        <v>-3.8</v>
      </c>
      <c r="R22" s="256">
        <v>-4.8</v>
      </c>
      <c r="S22" s="256">
        <v>-6.4</v>
      </c>
      <c r="T22" s="256">
        <v>-9.6999999999999993</v>
      </c>
      <c r="U22" s="256">
        <v>-15.9</v>
      </c>
      <c r="V22" s="256">
        <v>-49.4</v>
      </c>
    </row>
    <row r="23" spans="1:22" ht="14.4" customHeight="1">
      <c r="A23" s="255" t="s">
        <v>449</v>
      </c>
      <c r="B23" s="256">
        <v>-24.4</v>
      </c>
      <c r="C23" s="256">
        <v>-0.2</v>
      </c>
      <c r="D23" s="256">
        <v>-0.2</v>
      </c>
      <c r="E23" s="256">
        <v>-0.2</v>
      </c>
      <c r="F23" s="256">
        <v>-0.2</v>
      </c>
      <c r="G23" s="256">
        <v>-0.3</v>
      </c>
      <c r="H23" s="256">
        <v>-0.4</v>
      </c>
      <c r="I23" s="256">
        <v>-0.4</v>
      </c>
      <c r="J23" s="256">
        <v>-0.5</v>
      </c>
      <c r="K23" s="256">
        <v>-0.6</v>
      </c>
      <c r="L23" s="256">
        <v>-0.5</v>
      </c>
      <c r="M23" s="256">
        <v>-0.7</v>
      </c>
      <c r="N23" s="256">
        <v>-0.9</v>
      </c>
      <c r="O23" s="256">
        <v>-0.8</v>
      </c>
      <c r="P23" s="256">
        <v>-0.9</v>
      </c>
      <c r="Q23" s="256">
        <v>-1</v>
      </c>
      <c r="R23" s="256">
        <v>-1.1000000000000001</v>
      </c>
      <c r="S23" s="256">
        <v>-1.4</v>
      </c>
      <c r="T23" s="256">
        <v>-1.9</v>
      </c>
      <c r="U23" s="256">
        <v>-2.9</v>
      </c>
      <c r="V23" s="256">
        <v>-8.8000000000000007</v>
      </c>
    </row>
    <row r="24" spans="1:22" ht="14.4" customHeight="1">
      <c r="A24" s="255" t="s">
        <v>450</v>
      </c>
      <c r="B24" s="256">
        <v>-328.9</v>
      </c>
      <c r="C24" s="256">
        <v>-1.4</v>
      </c>
      <c r="D24" s="256">
        <v>-2.5</v>
      </c>
      <c r="E24" s="256">
        <v>-4.2</v>
      </c>
      <c r="F24" s="256">
        <v>-5.6</v>
      </c>
      <c r="G24" s="256">
        <v>-6.9</v>
      </c>
      <c r="H24" s="256">
        <v>-7.8</v>
      </c>
      <c r="I24" s="256">
        <v>-9.3000000000000007</v>
      </c>
      <c r="J24" s="256">
        <v>-10.9</v>
      </c>
      <c r="K24" s="256">
        <v>-12</v>
      </c>
      <c r="L24" s="256">
        <v>-12.9</v>
      </c>
      <c r="M24" s="256">
        <v>-13.8</v>
      </c>
      <c r="N24" s="256">
        <v>-14.6</v>
      </c>
      <c r="O24" s="256">
        <v>-17.5</v>
      </c>
      <c r="P24" s="256">
        <v>-18.100000000000001</v>
      </c>
      <c r="Q24" s="256">
        <v>-20.6</v>
      </c>
      <c r="R24" s="256">
        <v>-22.9</v>
      </c>
      <c r="S24" s="256">
        <v>-25</v>
      </c>
      <c r="T24" s="256">
        <v>-29.7</v>
      </c>
      <c r="U24" s="256">
        <v>-35.700000000000003</v>
      </c>
      <c r="V24" s="256">
        <v>-57.3</v>
      </c>
    </row>
    <row r="25" spans="1:22" ht="14.4" customHeight="1">
      <c r="A25" s="255" t="s">
        <v>451</v>
      </c>
      <c r="B25" s="256">
        <v>-33.200000000000003</v>
      </c>
      <c r="C25" s="256">
        <v>-0.1</v>
      </c>
      <c r="D25" s="256">
        <v>-0.2</v>
      </c>
      <c r="E25" s="256">
        <v>-0.4</v>
      </c>
      <c r="F25" s="256">
        <v>-0.5</v>
      </c>
      <c r="G25" s="256">
        <v>-0.7</v>
      </c>
      <c r="H25" s="256">
        <v>-0.8</v>
      </c>
      <c r="I25" s="256">
        <v>-0.9</v>
      </c>
      <c r="J25" s="256">
        <v>-1.1000000000000001</v>
      </c>
      <c r="K25" s="256">
        <v>-1.2</v>
      </c>
      <c r="L25" s="256">
        <v>-1.3</v>
      </c>
      <c r="M25" s="256">
        <v>-1.4</v>
      </c>
      <c r="N25" s="256">
        <v>-1.5</v>
      </c>
      <c r="O25" s="256">
        <v>-1.9</v>
      </c>
      <c r="P25" s="256">
        <v>-1.9</v>
      </c>
      <c r="Q25" s="256">
        <v>-2.2000000000000002</v>
      </c>
      <c r="R25" s="256">
        <v>-2.5</v>
      </c>
      <c r="S25" s="256">
        <v>-2.6</v>
      </c>
      <c r="T25" s="256">
        <v>-3.2</v>
      </c>
      <c r="U25" s="256">
        <v>-3.7</v>
      </c>
      <c r="V25" s="256">
        <v>-5.0999999999999996</v>
      </c>
    </row>
    <row r="26" spans="1:22" ht="14.4" customHeight="1">
      <c r="A26" s="255" t="s">
        <v>452</v>
      </c>
      <c r="B26" s="256">
        <v>-38</v>
      </c>
      <c r="C26" s="256">
        <v>-0.1</v>
      </c>
      <c r="D26" s="256">
        <v>-0.3</v>
      </c>
      <c r="E26" s="256">
        <v>-0.5</v>
      </c>
      <c r="F26" s="256">
        <v>-0.6</v>
      </c>
      <c r="G26" s="256">
        <v>-0.8</v>
      </c>
      <c r="H26" s="256">
        <v>-0.9</v>
      </c>
      <c r="I26" s="256">
        <v>-1.1000000000000001</v>
      </c>
      <c r="J26" s="256">
        <v>-1.3</v>
      </c>
      <c r="K26" s="256">
        <v>-1.3</v>
      </c>
      <c r="L26" s="256">
        <v>-1.5</v>
      </c>
      <c r="M26" s="256">
        <v>-1.6</v>
      </c>
      <c r="N26" s="256">
        <v>-1.6</v>
      </c>
      <c r="O26" s="256">
        <v>-1.9</v>
      </c>
      <c r="P26" s="256">
        <v>-2</v>
      </c>
      <c r="Q26" s="256">
        <v>-2.2000000000000002</v>
      </c>
      <c r="R26" s="256">
        <v>-2.5</v>
      </c>
      <c r="S26" s="256">
        <v>-2.7</v>
      </c>
      <c r="T26" s="256">
        <v>-3.2</v>
      </c>
      <c r="U26" s="256">
        <v>-4.0999999999999996</v>
      </c>
      <c r="V26" s="256">
        <v>-7.7</v>
      </c>
    </row>
    <row r="27" spans="1:22" ht="14.4" customHeight="1">
      <c r="A27" s="260" t="s">
        <v>453</v>
      </c>
      <c r="B27" s="261">
        <v>-142.80000000000001</v>
      </c>
      <c r="C27" s="261">
        <v>-0.5</v>
      </c>
      <c r="D27" s="261">
        <v>-0.8</v>
      </c>
      <c r="E27" s="261">
        <v>-1.3</v>
      </c>
      <c r="F27" s="261">
        <v>-1.7</v>
      </c>
      <c r="G27" s="261">
        <v>-2.1</v>
      </c>
      <c r="H27" s="261">
        <v>-2.4</v>
      </c>
      <c r="I27" s="261">
        <v>-2.8</v>
      </c>
      <c r="J27" s="261">
        <v>-3.6</v>
      </c>
      <c r="K27" s="261">
        <v>-4.0999999999999996</v>
      </c>
      <c r="L27" s="261">
        <v>-4.8</v>
      </c>
      <c r="M27" s="261">
        <v>-5.0999999999999996</v>
      </c>
      <c r="N27" s="261">
        <v>-5.6</v>
      </c>
      <c r="O27" s="261">
        <v>-6.7</v>
      </c>
      <c r="P27" s="261">
        <v>-7.1</v>
      </c>
      <c r="Q27" s="261">
        <v>-8.4</v>
      </c>
      <c r="R27" s="261">
        <v>-9.8000000000000007</v>
      </c>
      <c r="S27" s="261">
        <v>-11.3</v>
      </c>
      <c r="T27" s="261">
        <v>-14.3</v>
      </c>
      <c r="U27" s="261">
        <v>-18.2</v>
      </c>
      <c r="V27" s="261">
        <v>-32.299999999999997</v>
      </c>
    </row>
    <row r="28" spans="1:22" ht="14.4" customHeight="1">
      <c r="A28" s="253" t="s">
        <v>454</v>
      </c>
      <c r="B28" s="254">
        <v>591.79999999999995</v>
      </c>
      <c r="C28" s="254">
        <v>14.8</v>
      </c>
      <c r="D28" s="254">
        <v>22.4</v>
      </c>
      <c r="E28" s="254">
        <v>24.4</v>
      </c>
      <c r="F28" s="254">
        <v>25.3</v>
      </c>
      <c r="G28" s="254">
        <v>26.7</v>
      </c>
      <c r="H28" s="254">
        <v>28.8</v>
      </c>
      <c r="I28" s="254">
        <v>28.5</v>
      </c>
      <c r="J28" s="254">
        <v>26.8</v>
      </c>
      <c r="K28" s="254">
        <v>28.1</v>
      </c>
      <c r="L28" s="254">
        <v>28.4</v>
      </c>
      <c r="M28" s="254">
        <v>28.1</v>
      </c>
      <c r="N28" s="254">
        <v>30.9</v>
      </c>
      <c r="O28" s="254">
        <v>28.9</v>
      </c>
      <c r="P28" s="254">
        <v>31.5</v>
      </c>
      <c r="Q28" s="254">
        <v>30.7</v>
      </c>
      <c r="R28" s="254">
        <v>32.4</v>
      </c>
      <c r="S28" s="254">
        <v>32.1</v>
      </c>
      <c r="T28" s="254">
        <v>36</v>
      </c>
      <c r="U28" s="254">
        <v>39.6</v>
      </c>
      <c r="V28" s="254">
        <v>47.3</v>
      </c>
    </row>
    <row r="29" spans="1:22" ht="14.4" customHeight="1">
      <c r="A29" s="255" t="s">
        <v>455</v>
      </c>
      <c r="B29" s="256">
        <v>397.9</v>
      </c>
      <c r="C29" s="256">
        <v>2.4</v>
      </c>
      <c r="D29" s="256">
        <v>8.1999999999999993</v>
      </c>
      <c r="E29" s="256">
        <v>10.5</v>
      </c>
      <c r="F29" s="256">
        <v>12.2</v>
      </c>
      <c r="G29" s="256">
        <v>15.3</v>
      </c>
      <c r="H29" s="256">
        <v>18.899999999999999</v>
      </c>
      <c r="I29" s="256">
        <v>18.600000000000001</v>
      </c>
      <c r="J29" s="256">
        <v>17.7</v>
      </c>
      <c r="K29" s="256">
        <v>18.899999999999999</v>
      </c>
      <c r="L29" s="256">
        <v>20.100000000000001</v>
      </c>
      <c r="M29" s="256">
        <v>20.2</v>
      </c>
      <c r="N29" s="256">
        <v>23.4</v>
      </c>
      <c r="O29" s="256">
        <v>20.9</v>
      </c>
      <c r="P29" s="256">
        <v>23.8</v>
      </c>
      <c r="Q29" s="256">
        <v>23.1</v>
      </c>
      <c r="R29" s="256">
        <v>24.7</v>
      </c>
      <c r="S29" s="256">
        <v>24.4</v>
      </c>
      <c r="T29" s="256">
        <v>27.9</v>
      </c>
      <c r="U29" s="256">
        <v>30.2</v>
      </c>
      <c r="V29" s="256">
        <v>36.4</v>
      </c>
    </row>
    <row r="30" spans="1:22" ht="14.4" customHeight="1">
      <c r="A30" s="255" t="s">
        <v>456</v>
      </c>
      <c r="B30" s="256">
        <v>46.1</v>
      </c>
      <c r="C30" s="256">
        <v>2.5</v>
      </c>
      <c r="D30" s="256">
        <v>3.3</v>
      </c>
      <c r="E30" s="256">
        <v>2.9</v>
      </c>
      <c r="F30" s="256">
        <v>2.8</v>
      </c>
      <c r="G30" s="256">
        <v>2.9</v>
      </c>
      <c r="H30" s="256">
        <v>2.2000000000000002</v>
      </c>
      <c r="I30" s="256">
        <v>2.5</v>
      </c>
      <c r="J30" s="256">
        <v>2.2999999999999998</v>
      </c>
      <c r="K30" s="256">
        <v>2.6</v>
      </c>
      <c r="L30" s="256">
        <v>2</v>
      </c>
      <c r="M30" s="256">
        <v>1.6</v>
      </c>
      <c r="N30" s="256">
        <v>1.9</v>
      </c>
      <c r="O30" s="256">
        <v>2</v>
      </c>
      <c r="P30" s="256">
        <v>1.8</v>
      </c>
      <c r="Q30" s="256">
        <v>1.8</v>
      </c>
      <c r="R30" s="256">
        <v>1.6</v>
      </c>
      <c r="S30" s="256">
        <v>1.9</v>
      </c>
      <c r="T30" s="256">
        <v>1.8</v>
      </c>
      <c r="U30" s="256">
        <v>2.9</v>
      </c>
      <c r="V30" s="256">
        <v>2.5</v>
      </c>
    </row>
    <row r="31" spans="1:22" ht="14.4" customHeight="1">
      <c r="A31" s="255" t="s">
        <v>457</v>
      </c>
      <c r="B31" s="256">
        <v>38</v>
      </c>
      <c r="C31" s="256">
        <v>0.2</v>
      </c>
      <c r="D31" s="256">
        <v>0.4</v>
      </c>
      <c r="E31" s="256">
        <v>0.6</v>
      </c>
      <c r="F31" s="256">
        <v>0.7</v>
      </c>
      <c r="G31" s="256">
        <v>0.9</v>
      </c>
      <c r="H31" s="256">
        <v>1</v>
      </c>
      <c r="I31" s="256">
        <v>1.2</v>
      </c>
      <c r="J31" s="256">
        <v>1.4</v>
      </c>
      <c r="K31" s="256">
        <v>1.5</v>
      </c>
      <c r="L31" s="256">
        <v>1.6</v>
      </c>
      <c r="M31" s="256">
        <v>1.7</v>
      </c>
      <c r="N31" s="256">
        <v>1.8</v>
      </c>
      <c r="O31" s="256">
        <v>2</v>
      </c>
      <c r="P31" s="256">
        <v>2.1</v>
      </c>
      <c r="Q31" s="256">
        <v>2.4</v>
      </c>
      <c r="R31" s="256">
        <v>2.6</v>
      </c>
      <c r="S31" s="256">
        <v>2.8</v>
      </c>
      <c r="T31" s="256">
        <v>3.2</v>
      </c>
      <c r="U31" s="256">
        <v>3.8</v>
      </c>
      <c r="V31" s="256">
        <v>6.1</v>
      </c>
    </row>
    <row r="32" spans="1:22" ht="14.4" customHeight="1">
      <c r="A32" s="255" t="s">
        <v>458</v>
      </c>
      <c r="B32" s="256">
        <v>33.6</v>
      </c>
      <c r="C32" s="256">
        <v>3.2</v>
      </c>
      <c r="D32" s="256">
        <v>4</v>
      </c>
      <c r="E32" s="256">
        <v>3.2</v>
      </c>
      <c r="F32" s="256">
        <v>3</v>
      </c>
      <c r="G32" s="256">
        <v>2.7</v>
      </c>
      <c r="H32" s="256">
        <v>2.5</v>
      </c>
      <c r="I32" s="256">
        <v>1.8</v>
      </c>
      <c r="J32" s="256">
        <v>1.9</v>
      </c>
      <c r="K32" s="256">
        <v>1.7</v>
      </c>
      <c r="L32" s="256">
        <v>1.7</v>
      </c>
      <c r="M32" s="256">
        <v>1.5</v>
      </c>
      <c r="N32" s="256">
        <v>1.2</v>
      </c>
      <c r="O32" s="256">
        <v>1</v>
      </c>
      <c r="P32" s="256">
        <v>0.9</v>
      </c>
      <c r="Q32" s="256">
        <v>0.8</v>
      </c>
      <c r="R32" s="256">
        <v>0.8</v>
      </c>
      <c r="S32" s="256">
        <v>0.6</v>
      </c>
      <c r="T32" s="256">
        <v>0.4</v>
      </c>
      <c r="U32" s="256">
        <v>0.4</v>
      </c>
      <c r="V32" s="256">
        <v>0.3</v>
      </c>
    </row>
    <row r="33" spans="1:22" ht="14.4" customHeight="1">
      <c r="A33" s="255" t="s">
        <v>459</v>
      </c>
      <c r="B33" s="256">
        <v>33.9</v>
      </c>
      <c r="C33" s="256">
        <v>5.6</v>
      </c>
      <c r="D33" s="256">
        <v>4.4000000000000004</v>
      </c>
      <c r="E33" s="256">
        <v>4.0999999999999996</v>
      </c>
      <c r="F33" s="256">
        <v>4.3</v>
      </c>
      <c r="G33" s="256">
        <v>2.7</v>
      </c>
      <c r="H33" s="256">
        <v>1.9</v>
      </c>
      <c r="I33" s="256">
        <v>2</v>
      </c>
      <c r="J33" s="256">
        <v>1.6</v>
      </c>
      <c r="K33" s="256">
        <v>1.4</v>
      </c>
      <c r="L33" s="256">
        <v>0.9</v>
      </c>
      <c r="M33" s="256">
        <v>0.8</v>
      </c>
      <c r="N33" s="256">
        <v>0.8</v>
      </c>
      <c r="O33" s="256">
        <v>0.6</v>
      </c>
      <c r="P33" s="256">
        <v>0.6</v>
      </c>
      <c r="Q33" s="256">
        <v>0.5</v>
      </c>
      <c r="R33" s="256">
        <v>0.4</v>
      </c>
      <c r="S33" s="256">
        <v>0.4</v>
      </c>
      <c r="T33" s="256">
        <v>0.4</v>
      </c>
      <c r="U33" s="256">
        <v>0.2</v>
      </c>
      <c r="V33" s="256">
        <v>0.2</v>
      </c>
    </row>
    <row r="34" spans="1:22" ht="14.4" customHeight="1">
      <c r="A34" s="255" t="s">
        <v>460</v>
      </c>
      <c r="B34" s="256">
        <v>22.9</v>
      </c>
      <c r="C34" s="256">
        <v>0.5</v>
      </c>
      <c r="D34" s="256">
        <v>1.7</v>
      </c>
      <c r="E34" s="256">
        <v>2.1</v>
      </c>
      <c r="F34" s="256">
        <v>1.5</v>
      </c>
      <c r="G34" s="256">
        <v>1.3</v>
      </c>
      <c r="H34" s="256">
        <v>1.3</v>
      </c>
      <c r="I34" s="256">
        <v>1.3</v>
      </c>
      <c r="J34" s="256">
        <v>0.9</v>
      </c>
      <c r="K34" s="256">
        <v>1.1000000000000001</v>
      </c>
      <c r="L34" s="256">
        <v>1.1000000000000001</v>
      </c>
      <c r="M34" s="256">
        <v>1.3</v>
      </c>
      <c r="N34" s="256">
        <v>0.9</v>
      </c>
      <c r="O34" s="256">
        <v>1.2</v>
      </c>
      <c r="P34" s="256">
        <v>1.2</v>
      </c>
      <c r="Q34" s="256">
        <v>1</v>
      </c>
      <c r="R34" s="256">
        <v>1.2</v>
      </c>
      <c r="S34" s="256">
        <v>0.9</v>
      </c>
      <c r="T34" s="256">
        <v>1.1000000000000001</v>
      </c>
      <c r="U34" s="256">
        <v>0.8</v>
      </c>
      <c r="V34" s="256">
        <v>0.6</v>
      </c>
    </row>
    <row r="35" spans="1:22" ht="14.4" customHeight="1">
      <c r="A35" s="262" t="s">
        <v>461</v>
      </c>
      <c r="B35" s="261">
        <v>19.3</v>
      </c>
      <c r="C35" s="261">
        <v>0.4</v>
      </c>
      <c r="D35" s="261">
        <v>0.4</v>
      </c>
      <c r="E35" s="261">
        <v>0.8</v>
      </c>
      <c r="F35" s="261">
        <v>0.8</v>
      </c>
      <c r="G35" s="261">
        <v>0.9</v>
      </c>
      <c r="H35" s="261">
        <v>0.9</v>
      </c>
      <c r="I35" s="261">
        <v>1</v>
      </c>
      <c r="J35" s="261">
        <v>1</v>
      </c>
      <c r="K35" s="261">
        <v>1</v>
      </c>
      <c r="L35" s="261">
        <v>1</v>
      </c>
      <c r="M35" s="261">
        <v>1</v>
      </c>
      <c r="N35" s="261">
        <v>1</v>
      </c>
      <c r="O35" s="261">
        <v>1.1000000000000001</v>
      </c>
      <c r="P35" s="261">
        <v>1.1000000000000001</v>
      </c>
      <c r="Q35" s="261">
        <v>1.1000000000000001</v>
      </c>
      <c r="R35" s="261">
        <v>1.1000000000000001</v>
      </c>
      <c r="S35" s="261">
        <v>1.1000000000000001</v>
      </c>
      <c r="T35" s="261">
        <v>1.1000000000000001</v>
      </c>
      <c r="U35" s="261">
        <v>1.2</v>
      </c>
      <c r="V35" s="261">
        <v>1.2</v>
      </c>
    </row>
    <row r="36" spans="1:22" ht="14.4" customHeight="1">
      <c r="A36" s="253" t="s">
        <v>462</v>
      </c>
      <c r="B36" s="254">
        <v>745.3</v>
      </c>
      <c r="C36" s="254">
        <v>46.2</v>
      </c>
      <c r="D36" s="254">
        <v>42.4</v>
      </c>
      <c r="E36" s="254">
        <v>47.2</v>
      </c>
      <c r="F36" s="254">
        <v>48.4</v>
      </c>
      <c r="G36" s="254">
        <v>41.7</v>
      </c>
      <c r="H36" s="254">
        <v>40.799999999999997</v>
      </c>
      <c r="I36" s="254">
        <v>41.7</v>
      </c>
      <c r="J36" s="254">
        <v>40.700000000000003</v>
      </c>
      <c r="K36" s="254">
        <v>35.9</v>
      </c>
      <c r="L36" s="254">
        <v>35</v>
      </c>
      <c r="M36" s="254">
        <v>35.299999999999997</v>
      </c>
      <c r="N36" s="254">
        <v>35.4</v>
      </c>
      <c r="O36" s="254">
        <v>34.700000000000003</v>
      </c>
      <c r="P36" s="254">
        <v>34.6</v>
      </c>
      <c r="Q36" s="254">
        <v>30.8</v>
      </c>
      <c r="R36" s="254">
        <v>30.3</v>
      </c>
      <c r="S36" s="254">
        <v>31.4</v>
      </c>
      <c r="T36" s="254">
        <v>32</v>
      </c>
      <c r="U36" s="254">
        <v>30.8</v>
      </c>
      <c r="V36" s="254">
        <v>30.1</v>
      </c>
    </row>
    <row r="37" spans="1:22" ht="14.4" customHeight="1">
      <c r="A37" s="253" t="s">
        <v>463</v>
      </c>
      <c r="B37" s="254">
        <v>425.1</v>
      </c>
      <c r="C37" s="254">
        <v>26.7</v>
      </c>
      <c r="D37" s="254">
        <v>24</v>
      </c>
      <c r="E37" s="254">
        <v>28</v>
      </c>
      <c r="F37" s="254">
        <v>27.2</v>
      </c>
      <c r="G37" s="254">
        <v>24.2</v>
      </c>
      <c r="H37" s="254">
        <v>23.6</v>
      </c>
      <c r="I37" s="254">
        <v>24.2</v>
      </c>
      <c r="J37" s="254">
        <v>24.2</v>
      </c>
      <c r="K37" s="254">
        <v>19.600000000000001</v>
      </c>
      <c r="L37" s="254">
        <v>19.7</v>
      </c>
      <c r="M37" s="254">
        <v>20</v>
      </c>
      <c r="N37" s="254">
        <v>20.100000000000001</v>
      </c>
      <c r="O37" s="254">
        <v>20</v>
      </c>
      <c r="P37" s="254">
        <v>19.7</v>
      </c>
      <c r="Q37" s="254">
        <v>17.100000000000001</v>
      </c>
      <c r="R37" s="254">
        <v>16.600000000000001</v>
      </c>
      <c r="S37" s="254">
        <v>18.100000000000001</v>
      </c>
      <c r="T37" s="254">
        <v>18.100000000000001</v>
      </c>
      <c r="U37" s="254">
        <v>16.8</v>
      </c>
      <c r="V37" s="254">
        <v>17</v>
      </c>
    </row>
    <row r="38" spans="1:22" ht="14.4" customHeight="1">
      <c r="A38" s="255" t="s">
        <v>464</v>
      </c>
      <c r="B38" s="256">
        <v>209.4</v>
      </c>
      <c r="C38" s="256">
        <v>9.1</v>
      </c>
      <c r="D38" s="256">
        <v>8.4</v>
      </c>
      <c r="E38" s="256">
        <v>14.1</v>
      </c>
      <c r="F38" s="256">
        <v>14.1</v>
      </c>
      <c r="G38" s="256">
        <v>11.8</v>
      </c>
      <c r="H38" s="256">
        <v>12.2</v>
      </c>
      <c r="I38" s="256">
        <v>13.8</v>
      </c>
      <c r="J38" s="256">
        <v>13.6</v>
      </c>
      <c r="K38" s="256">
        <v>9.8000000000000007</v>
      </c>
      <c r="L38" s="256">
        <v>9.6999999999999993</v>
      </c>
      <c r="M38" s="256">
        <v>10.5</v>
      </c>
      <c r="N38" s="256">
        <v>10.7</v>
      </c>
      <c r="O38" s="256">
        <v>10.8</v>
      </c>
      <c r="P38" s="256">
        <v>10.8</v>
      </c>
      <c r="Q38" s="256">
        <v>7.8</v>
      </c>
      <c r="R38" s="256">
        <v>7.8</v>
      </c>
      <c r="S38" s="256">
        <v>9.1</v>
      </c>
      <c r="T38" s="256">
        <v>9.4</v>
      </c>
      <c r="U38" s="256">
        <v>8</v>
      </c>
      <c r="V38" s="256">
        <v>7.9</v>
      </c>
    </row>
    <row r="39" spans="1:22" ht="14.4" customHeight="1">
      <c r="A39" s="255" t="s">
        <v>465</v>
      </c>
      <c r="B39" s="256">
        <v>128.1</v>
      </c>
      <c r="C39" s="256">
        <v>9.8000000000000007</v>
      </c>
      <c r="D39" s="256">
        <v>8.9</v>
      </c>
      <c r="E39" s="256">
        <v>7.7</v>
      </c>
      <c r="F39" s="256">
        <v>7.5</v>
      </c>
      <c r="G39" s="256">
        <v>7.7</v>
      </c>
      <c r="H39" s="256">
        <v>7.2</v>
      </c>
      <c r="I39" s="256">
        <v>6.3</v>
      </c>
      <c r="J39" s="256">
        <v>6.6</v>
      </c>
      <c r="K39" s="256">
        <v>6</v>
      </c>
      <c r="L39" s="256">
        <v>6.3</v>
      </c>
      <c r="M39" s="256">
        <v>5.8</v>
      </c>
      <c r="N39" s="256">
        <v>5.7</v>
      </c>
      <c r="O39" s="256">
        <v>5.6</v>
      </c>
      <c r="P39" s="256">
        <v>5.3</v>
      </c>
      <c r="Q39" s="256">
        <v>5.7</v>
      </c>
      <c r="R39" s="256">
        <v>5.2</v>
      </c>
      <c r="S39" s="256">
        <v>5.4</v>
      </c>
      <c r="T39" s="256">
        <v>5</v>
      </c>
      <c r="U39" s="256">
        <v>5.0999999999999996</v>
      </c>
      <c r="V39" s="256">
        <v>5.3</v>
      </c>
    </row>
    <row r="40" spans="1:22" ht="14.4" customHeight="1">
      <c r="A40" s="255" t="s">
        <v>466</v>
      </c>
      <c r="B40" s="256">
        <v>80.8</v>
      </c>
      <c r="C40" s="256">
        <v>4.9000000000000004</v>
      </c>
      <c r="D40" s="256">
        <v>6.5</v>
      </c>
      <c r="E40" s="256">
        <v>7</v>
      </c>
      <c r="F40" s="256">
        <v>8.8000000000000007</v>
      </c>
      <c r="G40" s="256">
        <v>5.7</v>
      </c>
      <c r="H40" s="256">
        <v>4.7</v>
      </c>
      <c r="I40" s="256">
        <v>5.3</v>
      </c>
      <c r="J40" s="256">
        <v>4.7</v>
      </c>
      <c r="K40" s="256">
        <v>4.5</v>
      </c>
      <c r="L40" s="256">
        <v>3.6</v>
      </c>
      <c r="M40" s="256">
        <v>3.7</v>
      </c>
      <c r="N40" s="256">
        <v>3.4</v>
      </c>
      <c r="O40" s="256">
        <v>3.1</v>
      </c>
      <c r="P40" s="256">
        <v>3.1</v>
      </c>
      <c r="Q40" s="256">
        <v>2.5</v>
      </c>
      <c r="R40" s="256">
        <v>2.1</v>
      </c>
      <c r="S40" s="256">
        <v>2.1</v>
      </c>
      <c r="T40" s="256">
        <v>2</v>
      </c>
      <c r="U40" s="256">
        <v>1.7</v>
      </c>
      <c r="V40" s="256">
        <v>1.5</v>
      </c>
    </row>
    <row r="41" spans="1:22" ht="14.4" customHeight="1">
      <c r="A41" s="255" t="s">
        <v>467</v>
      </c>
      <c r="B41" s="256">
        <v>52.6</v>
      </c>
      <c r="C41" s="256">
        <v>2.6</v>
      </c>
      <c r="D41" s="256">
        <v>2.6</v>
      </c>
      <c r="E41" s="256">
        <v>2.6</v>
      </c>
      <c r="F41" s="256">
        <v>2.6</v>
      </c>
      <c r="G41" s="256">
        <v>2.6</v>
      </c>
      <c r="H41" s="256">
        <v>2.6</v>
      </c>
      <c r="I41" s="256">
        <v>2.6</v>
      </c>
      <c r="J41" s="256">
        <v>2.6</v>
      </c>
      <c r="K41" s="256">
        <v>2.6</v>
      </c>
      <c r="L41" s="256">
        <v>2.6</v>
      </c>
      <c r="M41" s="256">
        <v>2.6</v>
      </c>
      <c r="N41" s="256">
        <v>2.6</v>
      </c>
      <c r="O41" s="256">
        <v>2.6</v>
      </c>
      <c r="P41" s="256">
        <v>2.6</v>
      </c>
      <c r="Q41" s="256">
        <v>2.6</v>
      </c>
      <c r="R41" s="256">
        <v>2.6</v>
      </c>
      <c r="S41" s="256">
        <v>2.6</v>
      </c>
      <c r="T41" s="256">
        <v>2.6</v>
      </c>
      <c r="U41" s="256">
        <v>2.6</v>
      </c>
      <c r="V41" s="256">
        <v>2.6</v>
      </c>
    </row>
    <row r="42" spans="1:22" ht="14.4" customHeight="1">
      <c r="A42" s="255" t="s">
        <v>468</v>
      </c>
      <c r="B42" s="256">
        <v>16.100000000000001</v>
      </c>
      <c r="C42" s="256">
        <v>4.4000000000000004</v>
      </c>
      <c r="D42" s="256">
        <v>3.2</v>
      </c>
      <c r="E42" s="256">
        <v>2.6</v>
      </c>
      <c r="F42" s="256">
        <v>1.9</v>
      </c>
      <c r="G42" s="256">
        <v>1.1000000000000001</v>
      </c>
      <c r="H42" s="256">
        <v>0.6</v>
      </c>
      <c r="I42" s="256">
        <v>0.5</v>
      </c>
      <c r="J42" s="256">
        <v>0.4</v>
      </c>
      <c r="K42" s="256">
        <v>0.3</v>
      </c>
      <c r="L42" s="256">
        <v>0.2</v>
      </c>
      <c r="M42" s="256">
        <v>0.2</v>
      </c>
      <c r="N42" s="256">
        <v>0.2</v>
      </c>
      <c r="O42" s="256">
        <v>0.1</v>
      </c>
      <c r="P42" s="256">
        <v>0.1</v>
      </c>
      <c r="Q42" s="256">
        <v>0.1</v>
      </c>
      <c r="R42" s="256">
        <v>0.1</v>
      </c>
      <c r="S42" s="256">
        <v>0.1</v>
      </c>
      <c r="T42" s="256">
        <v>0.1</v>
      </c>
      <c r="U42" s="256">
        <v>0.1</v>
      </c>
      <c r="V42" s="256">
        <v>0.1</v>
      </c>
    </row>
    <row r="43" spans="1:22" ht="14.4" customHeight="1">
      <c r="A43" s="255" t="s">
        <v>469</v>
      </c>
      <c r="B43" s="256">
        <v>18.899999999999999</v>
      </c>
      <c r="C43" s="256">
        <v>0.8</v>
      </c>
      <c r="D43" s="256">
        <v>0.9</v>
      </c>
      <c r="E43" s="256">
        <v>1</v>
      </c>
      <c r="F43" s="256">
        <v>1.1000000000000001</v>
      </c>
      <c r="G43" s="256">
        <v>1</v>
      </c>
      <c r="H43" s="256">
        <v>1</v>
      </c>
      <c r="I43" s="256">
        <v>1</v>
      </c>
      <c r="J43" s="256">
        <v>1</v>
      </c>
      <c r="K43" s="256">
        <v>0.9</v>
      </c>
      <c r="L43" s="256">
        <v>0.9</v>
      </c>
      <c r="M43" s="256">
        <v>0.9</v>
      </c>
      <c r="N43" s="256">
        <v>0.9</v>
      </c>
      <c r="O43" s="256">
        <v>0.9</v>
      </c>
      <c r="P43" s="256">
        <v>0.9</v>
      </c>
      <c r="Q43" s="256">
        <v>0.9</v>
      </c>
      <c r="R43" s="256">
        <v>0.9</v>
      </c>
      <c r="S43" s="256">
        <v>0.9</v>
      </c>
      <c r="T43" s="256">
        <v>1</v>
      </c>
      <c r="U43" s="256">
        <v>1</v>
      </c>
      <c r="V43" s="256">
        <v>1.1000000000000001</v>
      </c>
    </row>
    <row r="44" spans="1:22" ht="14.4" customHeight="1">
      <c r="A44" s="253" t="s">
        <v>470</v>
      </c>
      <c r="B44" s="263">
        <v>239.4</v>
      </c>
      <c r="C44" s="263">
        <v>14.6</v>
      </c>
      <c r="D44" s="263">
        <v>11.9</v>
      </c>
      <c r="E44" s="263">
        <v>12.3</v>
      </c>
      <c r="F44" s="263">
        <v>12.3</v>
      </c>
      <c r="G44" s="263">
        <v>11.8</v>
      </c>
      <c r="H44" s="263">
        <v>12.4</v>
      </c>
      <c r="I44" s="263">
        <v>12.1</v>
      </c>
      <c r="J44" s="263">
        <v>11.9</v>
      </c>
      <c r="K44" s="263">
        <v>11.7</v>
      </c>
      <c r="L44" s="263">
        <v>11.6</v>
      </c>
      <c r="M44" s="263">
        <v>11.6</v>
      </c>
      <c r="N44" s="263">
        <v>11.7</v>
      </c>
      <c r="O44" s="263">
        <v>11.6</v>
      </c>
      <c r="P44" s="263">
        <v>11.8</v>
      </c>
      <c r="Q44" s="263">
        <v>11.4</v>
      </c>
      <c r="R44" s="263">
        <v>11.7</v>
      </c>
      <c r="S44" s="263">
        <v>11.2</v>
      </c>
      <c r="T44" s="263">
        <v>11.9</v>
      </c>
      <c r="U44" s="263">
        <v>12.3</v>
      </c>
      <c r="V44" s="263">
        <v>11.5</v>
      </c>
    </row>
    <row r="45" spans="1:22" ht="14.4" customHeight="1">
      <c r="A45" s="255" t="s">
        <v>471</v>
      </c>
      <c r="B45" s="256">
        <v>241.5</v>
      </c>
      <c r="C45" s="256">
        <v>14</v>
      </c>
      <c r="D45" s="256">
        <v>11.4</v>
      </c>
      <c r="E45" s="256">
        <v>11.8</v>
      </c>
      <c r="F45" s="256">
        <v>11.9</v>
      </c>
      <c r="G45" s="256">
        <v>11.5</v>
      </c>
      <c r="H45" s="256">
        <v>12.1</v>
      </c>
      <c r="I45" s="256">
        <v>11.9</v>
      </c>
      <c r="J45" s="256">
        <v>11.7</v>
      </c>
      <c r="K45" s="256">
        <v>11.6</v>
      </c>
      <c r="L45" s="256">
        <v>11.5</v>
      </c>
      <c r="M45" s="256">
        <v>11.5</v>
      </c>
      <c r="N45" s="256">
        <v>11.7</v>
      </c>
      <c r="O45" s="256">
        <v>11.7</v>
      </c>
      <c r="P45" s="256">
        <v>11.9</v>
      </c>
      <c r="Q45" s="256">
        <v>11.6</v>
      </c>
      <c r="R45" s="256">
        <v>12</v>
      </c>
      <c r="S45" s="256">
        <v>11.6</v>
      </c>
      <c r="T45" s="256">
        <v>12.5</v>
      </c>
      <c r="U45" s="256">
        <v>13.2</v>
      </c>
      <c r="V45" s="256">
        <v>14.4</v>
      </c>
    </row>
    <row r="46" spans="1:22" ht="14.4" customHeight="1">
      <c r="A46" s="260" t="s">
        <v>472</v>
      </c>
      <c r="B46" s="261">
        <v>-2.1</v>
      </c>
      <c r="C46" s="261">
        <v>0.6</v>
      </c>
      <c r="D46" s="261">
        <v>0.5</v>
      </c>
      <c r="E46" s="261">
        <v>0.5</v>
      </c>
      <c r="F46" s="261">
        <v>0.4</v>
      </c>
      <c r="G46" s="261">
        <v>0.3</v>
      </c>
      <c r="H46" s="261">
        <v>0.3</v>
      </c>
      <c r="I46" s="261">
        <v>0.2</v>
      </c>
      <c r="J46" s="261">
        <v>0.2</v>
      </c>
      <c r="K46" s="261">
        <v>0.1</v>
      </c>
      <c r="L46" s="261">
        <v>0.1</v>
      </c>
      <c r="M46" s="261">
        <v>0.1</v>
      </c>
      <c r="N46" s="261">
        <v>0</v>
      </c>
      <c r="O46" s="261">
        <v>-0.1</v>
      </c>
      <c r="P46" s="261">
        <v>-0.1</v>
      </c>
      <c r="Q46" s="261">
        <v>-0.2</v>
      </c>
      <c r="R46" s="261">
        <v>-0.3</v>
      </c>
      <c r="S46" s="261">
        <v>-0.4</v>
      </c>
      <c r="T46" s="261">
        <v>-0.6</v>
      </c>
      <c r="U46" s="261">
        <v>-0.9</v>
      </c>
      <c r="V46" s="261">
        <v>-2.9</v>
      </c>
    </row>
    <row r="47" spans="1:22" ht="14.4" customHeight="1">
      <c r="A47" s="257" t="s">
        <v>473</v>
      </c>
      <c r="B47" s="254">
        <v>2149.3000000000002</v>
      </c>
      <c r="C47" s="254">
        <v>57.8</v>
      </c>
      <c r="D47" s="254">
        <v>65.5</v>
      </c>
      <c r="E47" s="254">
        <v>78.5</v>
      </c>
      <c r="F47" s="254">
        <v>83.5</v>
      </c>
      <c r="G47" s="254">
        <v>82.6</v>
      </c>
      <c r="H47" s="254">
        <v>86.4</v>
      </c>
      <c r="I47" s="254">
        <v>90.9</v>
      </c>
      <c r="J47" s="254">
        <v>92.4</v>
      </c>
      <c r="K47" s="254">
        <v>90.9</v>
      </c>
      <c r="L47" s="254">
        <v>92.5</v>
      </c>
      <c r="M47" s="254">
        <v>95.5</v>
      </c>
      <c r="N47" s="254">
        <v>99.8</v>
      </c>
      <c r="O47" s="254">
        <v>103</v>
      </c>
      <c r="P47" s="254">
        <v>106.8</v>
      </c>
      <c r="Q47" s="254">
        <v>108.8</v>
      </c>
      <c r="R47" s="254">
        <v>114.5</v>
      </c>
      <c r="S47" s="254">
        <v>122.9</v>
      </c>
      <c r="T47" s="254">
        <v>133.69999999999999</v>
      </c>
      <c r="U47" s="254">
        <v>158.69999999999999</v>
      </c>
      <c r="V47" s="254">
        <v>284.39999999999998</v>
      </c>
    </row>
    <row r="48" spans="1:22" ht="14.4" customHeight="1">
      <c r="A48" s="264" t="s">
        <v>474</v>
      </c>
      <c r="B48" s="254">
        <v>-66.2</v>
      </c>
      <c r="C48" s="254">
        <v>-1.8</v>
      </c>
      <c r="D48" s="254">
        <v>-2</v>
      </c>
      <c r="E48" s="254">
        <v>-2.2000000000000002</v>
      </c>
      <c r="F48" s="254">
        <v>-2.4</v>
      </c>
      <c r="G48" s="254">
        <v>-2.2999999999999998</v>
      </c>
      <c r="H48" s="254">
        <v>-2.5</v>
      </c>
      <c r="I48" s="254">
        <v>-2.6</v>
      </c>
      <c r="J48" s="254">
        <v>-2.7</v>
      </c>
      <c r="K48" s="254">
        <v>-2.7</v>
      </c>
      <c r="L48" s="254">
        <v>-2.7</v>
      </c>
      <c r="M48" s="254">
        <v>-2.8</v>
      </c>
      <c r="N48" s="254">
        <v>-3</v>
      </c>
      <c r="O48" s="254">
        <v>-3.1</v>
      </c>
      <c r="P48" s="254">
        <v>-3.3</v>
      </c>
      <c r="Q48" s="254">
        <v>-3.3</v>
      </c>
      <c r="R48" s="254">
        <v>-3.6</v>
      </c>
      <c r="S48" s="254">
        <v>-3.9</v>
      </c>
      <c r="T48" s="254">
        <v>-4.5</v>
      </c>
      <c r="U48" s="254">
        <v>-5.2</v>
      </c>
      <c r="V48" s="254">
        <v>-9.8000000000000007</v>
      </c>
    </row>
    <row r="49" spans="1:22" ht="14.4" customHeight="1">
      <c r="A49" s="257" t="s">
        <v>475</v>
      </c>
      <c r="B49" s="254">
        <v>2083.1</v>
      </c>
      <c r="C49" s="254">
        <v>56</v>
      </c>
      <c r="D49" s="254">
        <v>63.5</v>
      </c>
      <c r="E49" s="254">
        <v>76.3</v>
      </c>
      <c r="F49" s="254">
        <v>81.099999999999994</v>
      </c>
      <c r="G49" s="254">
        <v>80.3</v>
      </c>
      <c r="H49" s="254">
        <v>83.9</v>
      </c>
      <c r="I49" s="254">
        <v>88.3</v>
      </c>
      <c r="J49" s="254">
        <v>89.8</v>
      </c>
      <c r="K49" s="254">
        <v>88.2</v>
      </c>
      <c r="L49" s="254">
        <v>89.8</v>
      </c>
      <c r="M49" s="254">
        <v>92.7</v>
      </c>
      <c r="N49" s="254">
        <v>96.8</v>
      </c>
      <c r="O49" s="254">
        <v>99.9</v>
      </c>
      <c r="P49" s="254">
        <v>103.6</v>
      </c>
      <c r="Q49" s="254">
        <v>105.4</v>
      </c>
      <c r="R49" s="254">
        <v>110.9</v>
      </c>
      <c r="S49" s="254">
        <v>119.1</v>
      </c>
      <c r="T49" s="254">
        <v>129.30000000000001</v>
      </c>
      <c r="U49" s="254">
        <v>153.5</v>
      </c>
      <c r="V49" s="254">
        <v>274.7</v>
      </c>
    </row>
    <row r="50" spans="1:22" ht="14.4" customHeight="1">
      <c r="A50" s="265" t="s">
        <v>476</v>
      </c>
      <c r="B50" s="266">
        <v>2369.9</v>
      </c>
      <c r="C50" s="266">
        <v>57.5</v>
      </c>
      <c r="D50" s="266">
        <v>65.8</v>
      </c>
      <c r="E50" s="266">
        <v>79.8</v>
      </c>
      <c r="F50" s="266">
        <v>85.6</v>
      </c>
      <c r="G50" s="266">
        <v>85.8</v>
      </c>
      <c r="H50" s="266">
        <v>90.4</v>
      </c>
      <c r="I50" s="266">
        <v>95.8</v>
      </c>
      <c r="J50" s="266">
        <v>98.5</v>
      </c>
      <c r="K50" s="266">
        <v>97.7</v>
      </c>
      <c r="L50" s="266">
        <v>99.9</v>
      </c>
      <c r="M50" s="266">
        <v>103.8</v>
      </c>
      <c r="N50" s="266">
        <v>108.6</v>
      </c>
      <c r="O50" s="266">
        <v>113.4</v>
      </c>
      <c r="P50" s="266">
        <v>117.8</v>
      </c>
      <c r="Q50" s="266">
        <v>121.6</v>
      </c>
      <c r="R50" s="266">
        <v>128.9</v>
      </c>
      <c r="S50" s="266">
        <v>139.19999999999999</v>
      </c>
      <c r="T50" s="266">
        <v>152.69999999999999</v>
      </c>
      <c r="U50" s="266">
        <v>183.5</v>
      </c>
      <c r="V50" s="266">
        <v>343.5</v>
      </c>
    </row>
    <row r="51" spans="1:22" ht="14.4" customHeight="1">
      <c r="A51" s="253" t="s">
        <v>477</v>
      </c>
      <c r="B51" s="254">
        <v>1750.5</v>
      </c>
      <c r="C51" s="254">
        <v>19.100000000000001</v>
      </c>
      <c r="D51" s="254">
        <v>33.6</v>
      </c>
      <c r="E51" s="254">
        <v>40.799999999999997</v>
      </c>
      <c r="F51" s="254">
        <v>46</v>
      </c>
      <c r="G51" s="254">
        <v>52.7</v>
      </c>
      <c r="H51" s="254">
        <v>58.7</v>
      </c>
      <c r="I51" s="254">
        <v>62.9</v>
      </c>
      <c r="J51" s="254">
        <v>66.2</v>
      </c>
      <c r="K51" s="254">
        <v>69.900000000000006</v>
      </c>
      <c r="L51" s="254">
        <v>73.099999999999994</v>
      </c>
      <c r="M51" s="254">
        <v>77</v>
      </c>
      <c r="N51" s="254">
        <v>82.3</v>
      </c>
      <c r="O51" s="254">
        <v>86.7</v>
      </c>
      <c r="P51" s="254">
        <v>91.6</v>
      </c>
      <c r="Q51" s="254">
        <v>98.3</v>
      </c>
      <c r="R51" s="254">
        <v>106.1</v>
      </c>
      <c r="S51" s="254">
        <v>113.9</v>
      </c>
      <c r="T51" s="254">
        <v>126.9</v>
      </c>
      <c r="U51" s="254">
        <v>152</v>
      </c>
      <c r="V51" s="254">
        <v>292.60000000000002</v>
      </c>
    </row>
    <row r="52" spans="1:22" ht="14.4" customHeight="1">
      <c r="A52" s="253" t="s">
        <v>478</v>
      </c>
      <c r="B52" s="254">
        <v>1666.2</v>
      </c>
      <c r="C52" s="254">
        <v>19.3</v>
      </c>
      <c r="D52" s="254">
        <v>33.799999999999997</v>
      </c>
      <c r="E52" s="254">
        <v>40.9</v>
      </c>
      <c r="F52" s="254">
        <v>45.9</v>
      </c>
      <c r="G52" s="254">
        <v>52.2</v>
      </c>
      <c r="H52" s="254">
        <v>57.9</v>
      </c>
      <c r="I52" s="254">
        <v>62</v>
      </c>
      <c r="J52" s="254">
        <v>65.099999999999994</v>
      </c>
      <c r="K52" s="254">
        <v>68.599999999999994</v>
      </c>
      <c r="L52" s="254">
        <v>71.7</v>
      </c>
      <c r="M52" s="254">
        <v>75.2</v>
      </c>
      <c r="N52" s="254">
        <v>80.3</v>
      </c>
      <c r="O52" s="254">
        <v>84.4</v>
      </c>
      <c r="P52" s="254">
        <v>89.2</v>
      </c>
      <c r="Q52" s="254">
        <v>95.2</v>
      </c>
      <c r="R52" s="254">
        <v>102.4</v>
      </c>
      <c r="S52" s="254">
        <v>109.7</v>
      </c>
      <c r="T52" s="254">
        <v>121.7</v>
      </c>
      <c r="U52" s="254">
        <v>143.30000000000001</v>
      </c>
      <c r="V52" s="254">
        <v>247.3</v>
      </c>
    </row>
    <row r="53" spans="1:22" ht="14.4" customHeight="1">
      <c r="A53" s="253" t="s">
        <v>479</v>
      </c>
      <c r="B53" s="254">
        <v>2172.1</v>
      </c>
      <c r="C53" s="254">
        <v>51</v>
      </c>
      <c r="D53" s="254">
        <v>64.3</v>
      </c>
      <c r="E53" s="254">
        <v>75.900000000000006</v>
      </c>
      <c r="F53" s="254">
        <v>81.900000000000006</v>
      </c>
      <c r="G53" s="254">
        <v>82</v>
      </c>
      <c r="H53" s="254">
        <v>86.3</v>
      </c>
      <c r="I53" s="254">
        <v>91.5</v>
      </c>
      <c r="J53" s="254">
        <v>94</v>
      </c>
      <c r="K53" s="254">
        <v>92.7</v>
      </c>
      <c r="L53" s="254">
        <v>95.1</v>
      </c>
      <c r="M53" s="254">
        <v>98.9</v>
      </c>
      <c r="N53" s="254">
        <v>103.9</v>
      </c>
      <c r="O53" s="254">
        <v>107.5</v>
      </c>
      <c r="P53" s="254">
        <v>112</v>
      </c>
      <c r="Q53" s="254">
        <v>114.7</v>
      </c>
      <c r="R53" s="254">
        <v>121</v>
      </c>
      <c r="S53" s="254">
        <v>129.9</v>
      </c>
      <c r="T53" s="254">
        <v>141.69999999999999</v>
      </c>
      <c r="U53" s="254">
        <v>161.80000000000001</v>
      </c>
      <c r="V53" s="254">
        <v>265.89999999999998</v>
      </c>
    </row>
    <row r="54" spans="1:22" ht="14.4" customHeight="1">
      <c r="A54" s="260" t="s">
        <v>480</v>
      </c>
      <c r="B54" s="261">
        <v>109.7</v>
      </c>
      <c r="C54" s="261">
        <v>2</v>
      </c>
      <c r="D54" s="261">
        <v>2.4</v>
      </c>
      <c r="E54" s="261">
        <v>2.2999999999999998</v>
      </c>
      <c r="F54" s="261">
        <v>2.6</v>
      </c>
      <c r="G54" s="261">
        <v>3.3</v>
      </c>
      <c r="H54" s="261">
        <v>3.8</v>
      </c>
      <c r="I54" s="261">
        <v>4</v>
      </c>
      <c r="J54" s="261">
        <v>4.0999999999999996</v>
      </c>
      <c r="K54" s="261">
        <v>4.4000000000000004</v>
      </c>
      <c r="L54" s="261">
        <v>4.5999999999999996</v>
      </c>
      <c r="M54" s="261">
        <v>4.9000000000000004</v>
      </c>
      <c r="N54" s="261">
        <v>5.4</v>
      </c>
      <c r="O54" s="261">
        <v>5.5</v>
      </c>
      <c r="P54" s="261">
        <v>6</v>
      </c>
      <c r="Q54" s="261">
        <v>6.4</v>
      </c>
      <c r="R54" s="261">
        <v>7</v>
      </c>
      <c r="S54" s="261">
        <v>7.4</v>
      </c>
      <c r="T54" s="261">
        <v>7.9</v>
      </c>
      <c r="U54" s="261">
        <v>9.3000000000000007</v>
      </c>
      <c r="V54" s="261">
        <v>16.3</v>
      </c>
    </row>
    <row r="55" spans="1:22" ht="14.4" customHeight="1">
      <c r="A55" s="255" t="s">
        <v>317</v>
      </c>
      <c r="B55" s="256">
        <v>47</v>
      </c>
      <c r="C55" s="256">
        <v>2.4</v>
      </c>
      <c r="D55" s="256">
        <v>2.2999999999999998</v>
      </c>
      <c r="E55" s="256">
        <v>2.2999999999999998</v>
      </c>
      <c r="F55" s="256">
        <v>2.2999999999999998</v>
      </c>
      <c r="G55" s="256">
        <v>2.4</v>
      </c>
      <c r="H55" s="256">
        <v>2.4</v>
      </c>
      <c r="I55" s="256">
        <v>2.4</v>
      </c>
      <c r="J55" s="256">
        <v>2.4</v>
      </c>
      <c r="K55" s="256">
        <v>2.4</v>
      </c>
      <c r="L55" s="256">
        <v>2.4</v>
      </c>
      <c r="M55" s="256">
        <v>2.2999999999999998</v>
      </c>
      <c r="N55" s="256">
        <v>2.4</v>
      </c>
      <c r="O55" s="256">
        <v>2.4</v>
      </c>
      <c r="P55" s="256">
        <v>2.4</v>
      </c>
      <c r="Q55" s="256">
        <v>2.4</v>
      </c>
      <c r="R55" s="256">
        <v>2.4</v>
      </c>
      <c r="S55" s="256">
        <v>2.2999999999999998</v>
      </c>
      <c r="T55" s="256">
        <v>2.2999999999999998</v>
      </c>
      <c r="U55" s="256">
        <v>2.4</v>
      </c>
      <c r="V55" s="256">
        <v>2.2999999999999998</v>
      </c>
    </row>
    <row r="56" spans="1:22" ht="14.4" customHeight="1">
      <c r="A56" s="255" t="s">
        <v>316</v>
      </c>
      <c r="B56" s="256">
        <v>68.400000000000006</v>
      </c>
      <c r="C56" s="256">
        <v>3.4</v>
      </c>
      <c r="D56" s="256">
        <v>3.4</v>
      </c>
      <c r="E56" s="256">
        <v>3.4</v>
      </c>
      <c r="F56" s="256">
        <v>3.4</v>
      </c>
      <c r="G56" s="256">
        <v>3.4</v>
      </c>
      <c r="H56" s="256">
        <v>3.4</v>
      </c>
      <c r="I56" s="256">
        <v>3.4</v>
      </c>
      <c r="J56" s="256">
        <v>3.4</v>
      </c>
      <c r="K56" s="256">
        <v>3.4</v>
      </c>
      <c r="L56" s="256">
        <v>3.4</v>
      </c>
      <c r="M56" s="256">
        <v>3.4</v>
      </c>
      <c r="N56" s="256">
        <v>3.4</v>
      </c>
      <c r="O56" s="256">
        <v>3.4</v>
      </c>
      <c r="P56" s="256">
        <v>3.4</v>
      </c>
      <c r="Q56" s="256">
        <v>3.4</v>
      </c>
      <c r="R56" s="256">
        <v>3.4</v>
      </c>
      <c r="S56" s="256">
        <v>3.4</v>
      </c>
      <c r="T56" s="256">
        <v>3.4</v>
      </c>
      <c r="U56" s="256">
        <v>3.4</v>
      </c>
      <c r="V56" s="256">
        <v>3.4</v>
      </c>
    </row>
    <row r="57" spans="1:22">
      <c r="A57" s="243"/>
      <c r="B57" s="244"/>
      <c r="C57" s="244"/>
      <c r="D57" s="244"/>
      <c r="E57" s="244"/>
      <c r="F57" s="244"/>
      <c r="G57" s="244"/>
      <c r="H57" s="244"/>
      <c r="I57" s="244"/>
      <c r="J57" s="244"/>
      <c r="K57" s="244"/>
      <c r="L57" s="244"/>
      <c r="M57" s="244"/>
      <c r="N57" s="244"/>
      <c r="O57" s="244"/>
      <c r="P57" s="244"/>
      <c r="Q57" s="244"/>
      <c r="R57" s="244"/>
      <c r="S57" s="244"/>
      <c r="T57" s="244"/>
      <c r="U57" s="244"/>
      <c r="V57" s="244"/>
    </row>
    <row r="58" spans="1:22">
      <c r="A58" s="243" t="s">
        <v>481</v>
      </c>
      <c r="B58" s="245"/>
      <c r="C58" s="245"/>
      <c r="D58" s="245"/>
      <c r="E58" s="245"/>
      <c r="F58" s="245"/>
      <c r="G58" s="245"/>
      <c r="H58" s="245"/>
      <c r="I58" s="245"/>
      <c r="J58" s="245"/>
      <c r="K58" s="245"/>
      <c r="L58" s="245"/>
      <c r="M58" s="245"/>
      <c r="N58" s="245"/>
      <c r="O58" s="245"/>
      <c r="P58" s="245"/>
      <c r="Q58" s="245"/>
      <c r="R58" s="245"/>
      <c r="S58" s="245"/>
      <c r="T58" s="245"/>
      <c r="U58" s="245"/>
      <c r="V58" s="245"/>
    </row>
    <row r="59" spans="1:22">
      <c r="A59" s="243" t="s">
        <v>484</v>
      </c>
      <c r="B59" s="245"/>
      <c r="C59" s="245"/>
      <c r="D59" s="245"/>
      <c r="E59" s="245"/>
      <c r="F59" s="245"/>
      <c r="G59" s="245"/>
      <c r="H59" s="245"/>
      <c r="I59" s="245"/>
      <c r="J59" s="245"/>
      <c r="K59" s="245"/>
      <c r="L59" s="245"/>
      <c r="M59" s="245"/>
      <c r="N59" s="245"/>
      <c r="O59" s="245"/>
      <c r="P59" s="245"/>
      <c r="Q59" s="245"/>
      <c r="R59" s="245"/>
      <c r="S59" s="245"/>
      <c r="T59" s="245"/>
      <c r="U59" s="245"/>
      <c r="V59" s="245"/>
    </row>
    <row r="60" spans="1:22">
      <c r="A60" s="243" t="s">
        <v>333</v>
      </c>
      <c r="B60" s="245"/>
      <c r="C60" s="245"/>
      <c r="D60" s="245"/>
      <c r="E60" s="245"/>
      <c r="F60" s="245"/>
      <c r="G60" s="245"/>
      <c r="H60" s="245"/>
      <c r="I60" s="245"/>
      <c r="J60" s="245"/>
      <c r="K60" s="245"/>
      <c r="L60" s="245"/>
      <c r="M60" s="245"/>
      <c r="N60" s="245"/>
      <c r="O60" s="245"/>
      <c r="P60" s="245"/>
      <c r="Q60" s="245"/>
      <c r="R60" s="245"/>
      <c r="S60" s="245"/>
      <c r="T60" s="245"/>
      <c r="U60" s="245"/>
      <c r="V60" s="245"/>
    </row>
    <row r="61" spans="1:22">
      <c r="A61" s="243" t="s">
        <v>334</v>
      </c>
      <c r="B61" s="245"/>
      <c r="C61" s="245"/>
      <c r="D61" s="245"/>
      <c r="E61" s="245"/>
      <c r="F61" s="245"/>
      <c r="G61" s="245"/>
      <c r="H61" s="245"/>
      <c r="I61" s="245"/>
      <c r="J61" s="245"/>
      <c r="K61" s="245"/>
      <c r="L61" s="245"/>
      <c r="M61" s="245"/>
      <c r="N61" s="245"/>
      <c r="O61" s="245"/>
      <c r="P61" s="245"/>
      <c r="Q61" s="245"/>
      <c r="R61" s="245"/>
      <c r="S61" s="245"/>
      <c r="T61" s="245"/>
      <c r="U61" s="245"/>
      <c r="V61" s="245"/>
    </row>
    <row r="62" spans="1:22">
      <c r="A62" s="243"/>
      <c r="B62" s="246"/>
      <c r="C62" s="246"/>
      <c r="D62" s="246"/>
      <c r="E62" s="246"/>
      <c r="F62" s="246"/>
      <c r="G62" s="246"/>
      <c r="H62" s="246"/>
      <c r="I62" s="246"/>
      <c r="J62" s="246"/>
      <c r="K62" s="246"/>
      <c r="L62" s="246"/>
      <c r="M62" s="246"/>
      <c r="N62" s="246"/>
      <c r="O62" s="246"/>
      <c r="P62" s="246"/>
      <c r="Q62" s="246"/>
      <c r="R62" s="246"/>
      <c r="S62" s="246"/>
      <c r="T62" s="246"/>
      <c r="U62" s="246"/>
      <c r="V62" s="246"/>
    </row>
    <row r="63" spans="1:22">
      <c r="A63" s="243"/>
      <c r="B63" s="245"/>
      <c r="C63" s="245"/>
      <c r="D63" s="245"/>
      <c r="E63" s="245"/>
      <c r="F63" s="245"/>
      <c r="G63" s="245"/>
      <c r="H63" s="245"/>
      <c r="I63" s="245"/>
      <c r="J63" s="245"/>
      <c r="K63" s="245"/>
      <c r="L63" s="245"/>
      <c r="M63" s="245"/>
      <c r="N63" s="245"/>
      <c r="O63" s="245"/>
      <c r="P63" s="245"/>
      <c r="Q63" s="245"/>
      <c r="R63" s="245"/>
      <c r="S63" s="245"/>
      <c r="T63" s="245"/>
      <c r="U63" s="245"/>
      <c r="V63" s="245"/>
    </row>
    <row r="64" spans="1:22">
      <c r="A64" s="241" t="s">
        <v>402</v>
      </c>
      <c r="B64" s="239" t="s">
        <v>50</v>
      </c>
      <c r="C64" s="239" t="s">
        <v>296</v>
      </c>
      <c r="D64" s="239" t="s">
        <v>297</v>
      </c>
      <c r="E64" s="239" t="s">
        <v>298</v>
      </c>
      <c r="F64" s="239" t="s">
        <v>299</v>
      </c>
      <c r="G64" s="239" t="s">
        <v>300</v>
      </c>
      <c r="H64" s="239" t="s">
        <v>301</v>
      </c>
      <c r="I64" s="239" t="s">
        <v>302</v>
      </c>
      <c r="J64" s="239" t="s">
        <v>303</v>
      </c>
      <c r="K64" s="239" t="s">
        <v>304</v>
      </c>
      <c r="L64" s="239" t="s">
        <v>305</v>
      </c>
      <c r="M64" s="239" t="s">
        <v>306</v>
      </c>
      <c r="N64" s="239" t="s">
        <v>307</v>
      </c>
      <c r="O64" s="239" t="s">
        <v>308</v>
      </c>
      <c r="P64" s="239" t="s">
        <v>309</v>
      </c>
      <c r="Q64" s="239" t="s">
        <v>310</v>
      </c>
      <c r="R64" s="239" t="s">
        <v>311</v>
      </c>
      <c r="S64" s="239" t="s">
        <v>312</v>
      </c>
      <c r="T64" s="239" t="s">
        <v>313</v>
      </c>
      <c r="U64" s="239" t="s">
        <v>314</v>
      </c>
      <c r="V64" s="239" t="s">
        <v>315</v>
      </c>
    </row>
    <row r="65" spans="1:24">
      <c r="A65" s="243" t="s">
        <v>406</v>
      </c>
      <c r="B65" s="247">
        <f>B14</f>
        <v>2369.9</v>
      </c>
      <c r="C65" s="247">
        <f t="shared" ref="C65:V65" si="0">C14</f>
        <v>11.9</v>
      </c>
      <c r="D65" s="247">
        <f t="shared" si="0"/>
        <v>18.8</v>
      </c>
      <c r="E65" s="247">
        <f t="shared" si="0"/>
        <v>28.8</v>
      </c>
      <c r="F65" s="247">
        <f t="shared" si="0"/>
        <v>36.9</v>
      </c>
      <c r="G65" s="247">
        <f t="shared" si="0"/>
        <v>46</v>
      </c>
      <c r="H65" s="247">
        <f t="shared" si="0"/>
        <v>53.5</v>
      </c>
      <c r="I65" s="247">
        <f t="shared" si="0"/>
        <v>62.2</v>
      </c>
      <c r="J65" s="247">
        <f t="shared" si="0"/>
        <v>71.8</v>
      </c>
      <c r="K65" s="247">
        <f t="shared" si="0"/>
        <v>77.8</v>
      </c>
      <c r="L65" s="247">
        <f t="shared" si="0"/>
        <v>83.9</v>
      </c>
      <c r="M65" s="247">
        <f t="shared" si="0"/>
        <v>91.7</v>
      </c>
      <c r="N65" s="247">
        <f t="shared" si="0"/>
        <v>97.8</v>
      </c>
      <c r="O65" s="247">
        <f t="shared" si="0"/>
        <v>111.8</v>
      </c>
      <c r="P65" s="247">
        <f t="shared" si="0"/>
        <v>117.4</v>
      </c>
      <c r="Q65" s="247">
        <f t="shared" si="0"/>
        <v>133.80000000000001</v>
      </c>
      <c r="R65" s="247">
        <f t="shared" si="0"/>
        <v>148.9</v>
      </c>
      <c r="S65" s="247">
        <f t="shared" si="0"/>
        <v>166.1</v>
      </c>
      <c r="T65" s="247">
        <f t="shared" si="0"/>
        <v>194</v>
      </c>
      <c r="U65" s="247">
        <f t="shared" si="0"/>
        <v>248.2</v>
      </c>
      <c r="V65" s="247">
        <f t="shared" si="0"/>
        <v>568.70000000000005</v>
      </c>
      <c r="X65" s="27"/>
    </row>
    <row r="66" spans="1:24">
      <c r="A66" s="243" t="s">
        <v>403</v>
      </c>
      <c r="B66" s="247">
        <f xml:space="preserve"> (B14+B24+B29)*$B14/($B14+$B24+$B29)</f>
        <v>2369.9</v>
      </c>
      <c r="C66" s="247">
        <f t="shared" ref="C66:V66" si="1" xml:space="preserve"> (C14+C24+C29)*$B14/($B14+$B24+$B29)</f>
        <v>12.535040387059741</v>
      </c>
      <c r="D66" s="247">
        <f t="shared" si="1"/>
        <v>23.806859649842142</v>
      </c>
      <c r="E66" s="247">
        <f t="shared" si="1"/>
        <v>34.10697035548813</v>
      </c>
      <c r="F66" s="247">
        <f t="shared" si="1"/>
        <v>42.269322235434011</v>
      </c>
      <c r="G66" s="247">
        <f t="shared" si="1"/>
        <v>52.860945508220922</v>
      </c>
      <c r="H66" s="247">
        <f t="shared" si="1"/>
        <v>62.77237279101233</v>
      </c>
      <c r="I66" s="247">
        <f t="shared" si="1"/>
        <v>69.477161835253597</v>
      </c>
      <c r="J66" s="247">
        <f t="shared" si="1"/>
        <v>76.376292590922134</v>
      </c>
      <c r="K66" s="247">
        <f t="shared" si="1"/>
        <v>82.303714789454247</v>
      </c>
      <c r="L66" s="247">
        <f t="shared" si="1"/>
        <v>88.522649555127302</v>
      </c>
      <c r="M66" s="247">
        <f t="shared" si="1"/>
        <v>95.324609455082225</v>
      </c>
      <c r="N66" s="247">
        <f t="shared" si="1"/>
        <v>103.58413219074173</v>
      </c>
      <c r="O66" s="247">
        <f t="shared" si="1"/>
        <v>111.94082578211487</v>
      </c>
      <c r="P66" s="247">
        <f t="shared" si="1"/>
        <v>119.61732338349256</v>
      </c>
      <c r="Q66" s="247">
        <f t="shared" si="1"/>
        <v>132.44387633769324</v>
      </c>
      <c r="R66" s="247">
        <f t="shared" si="1"/>
        <v>146.43647956045757</v>
      </c>
      <c r="S66" s="247">
        <f t="shared" si="1"/>
        <v>160.8177662060765</v>
      </c>
      <c r="T66" s="247">
        <f t="shared" si="1"/>
        <v>186.76238468161878</v>
      </c>
      <c r="U66" s="247">
        <f t="shared" si="1"/>
        <v>235.83366681700764</v>
      </c>
      <c r="V66" s="247">
        <f t="shared" si="1"/>
        <v>532.3019475993276</v>
      </c>
      <c r="X66" s="27"/>
    </row>
    <row r="67" spans="1:24">
      <c r="A67" s="55" t="s">
        <v>398</v>
      </c>
      <c r="B67" s="247">
        <f>B24+B29</f>
        <v>69</v>
      </c>
      <c r="C67" s="247">
        <f t="shared" ref="C67:V67" si="2">C24+C29</f>
        <v>1</v>
      </c>
      <c r="D67" s="247">
        <f t="shared" si="2"/>
        <v>5.6999999999999993</v>
      </c>
      <c r="E67" s="247">
        <f t="shared" si="2"/>
        <v>6.3</v>
      </c>
      <c r="F67" s="247">
        <f t="shared" si="2"/>
        <v>6.6</v>
      </c>
      <c r="G67" s="247">
        <f t="shared" si="2"/>
        <v>8.4</v>
      </c>
      <c r="H67" s="247">
        <f t="shared" si="2"/>
        <v>11.099999999999998</v>
      </c>
      <c r="I67" s="247">
        <f t="shared" si="2"/>
        <v>9.3000000000000007</v>
      </c>
      <c r="J67" s="247">
        <f t="shared" si="2"/>
        <v>6.7999999999999989</v>
      </c>
      <c r="K67" s="247">
        <f t="shared" si="2"/>
        <v>6.8999999999999986</v>
      </c>
      <c r="L67" s="247">
        <f t="shared" si="2"/>
        <v>7.2000000000000011</v>
      </c>
      <c r="M67" s="247">
        <f t="shared" si="2"/>
        <v>6.3999999999999986</v>
      </c>
      <c r="N67" s="247">
        <f t="shared" si="2"/>
        <v>8.7999999999999989</v>
      </c>
      <c r="O67" s="247">
        <f t="shared" si="2"/>
        <v>3.3999999999999986</v>
      </c>
      <c r="P67" s="247">
        <f t="shared" si="2"/>
        <v>5.6999999999999993</v>
      </c>
      <c r="Q67" s="247">
        <f t="shared" si="2"/>
        <v>2.5</v>
      </c>
      <c r="R67" s="247">
        <f t="shared" si="2"/>
        <v>1.8000000000000007</v>
      </c>
      <c r="S67" s="247">
        <f t="shared" si="2"/>
        <v>-0.60000000000000142</v>
      </c>
      <c r="T67" s="247">
        <f t="shared" si="2"/>
        <v>-1.8000000000000007</v>
      </c>
      <c r="U67" s="247">
        <f t="shared" si="2"/>
        <v>-5.5000000000000036</v>
      </c>
      <c r="V67" s="247">
        <f t="shared" si="2"/>
        <v>-20.9</v>
      </c>
      <c r="X67" s="27"/>
    </row>
    <row r="68" spans="1:24">
      <c r="A68" s="55" t="s">
        <v>397</v>
      </c>
      <c r="B68" s="247">
        <f xml:space="preserve"> - (B14+B24+B29)*(1-$B14/($B14+$B24+$B29))</f>
        <v>-69.000000000000128</v>
      </c>
      <c r="C68" s="247">
        <f t="shared" ref="C68:V68" si="3" xml:space="preserve"> - (C14+C24+C29)*(1-$B14/($B14+$B24+$B29))</f>
        <v>-0.36495961294026058</v>
      </c>
      <c r="D68" s="247">
        <f t="shared" si="3"/>
        <v>-0.69314035015785924</v>
      </c>
      <c r="E68" s="247">
        <f t="shared" si="3"/>
        <v>-0.99302964451187181</v>
      </c>
      <c r="F68" s="247">
        <f t="shared" si="3"/>
        <v>-1.230677764565995</v>
      </c>
      <c r="G68" s="247">
        <f t="shared" si="3"/>
        <v>-1.5390544917790836</v>
      </c>
      <c r="H68" s="247">
        <f t="shared" si="3"/>
        <v>-1.8276272089876613</v>
      </c>
      <c r="I68" s="247">
        <f t="shared" si="3"/>
        <v>-2.0228381647464055</v>
      </c>
      <c r="J68" s="247">
        <f t="shared" si="3"/>
        <v>-2.2237074090778668</v>
      </c>
      <c r="K68" s="247">
        <f t="shared" si="3"/>
        <v>-2.3962852105457415</v>
      </c>
      <c r="L68" s="247">
        <f t="shared" si="3"/>
        <v>-2.5773504448726929</v>
      </c>
      <c r="M68" s="247">
        <f t="shared" si="3"/>
        <v>-2.775390544917796</v>
      </c>
      <c r="N68" s="247">
        <f t="shared" si="3"/>
        <v>-3.0158678092582774</v>
      </c>
      <c r="O68" s="247">
        <f t="shared" si="3"/>
        <v>-3.2591742178851173</v>
      </c>
      <c r="P68" s="247">
        <f t="shared" si="3"/>
        <v>-3.4826766165074483</v>
      </c>
      <c r="Q68" s="247">
        <f t="shared" si="3"/>
        <v>-3.8561236623067847</v>
      </c>
      <c r="R68" s="247">
        <f t="shared" si="3"/>
        <v>-4.2635204395424235</v>
      </c>
      <c r="S68" s="247">
        <f t="shared" si="3"/>
        <v>-4.6822337939234977</v>
      </c>
      <c r="T68" s="247">
        <f t="shared" si="3"/>
        <v>-5.4376153183812477</v>
      </c>
      <c r="U68" s="247">
        <f t="shared" si="3"/>
        <v>-6.866333182992344</v>
      </c>
      <c r="V68" s="247">
        <f t="shared" si="3"/>
        <v>-15.498052400672464</v>
      </c>
      <c r="X68" s="27"/>
    </row>
    <row r="69" spans="1:24">
      <c r="A69" s="243" t="s">
        <v>404</v>
      </c>
      <c r="B69" s="247">
        <f xml:space="preserve"> (B14+B24+B25+B29+B30+B31-($B31/$B27)*B27)*$B14/($B14+$B24+$B25+$B29+$B30)</f>
        <v>2369.9</v>
      </c>
      <c r="C69" s="247">
        <f t="shared" ref="C69:V69" si="4" xml:space="preserve"> (C14+C24+C25+C29+C30+C31-($B31/$B27)*C27)*$B14/($B14+$B24+$B25+$B29+$B30)</f>
        <v>14.85362883223279</v>
      </c>
      <c r="D69" s="247">
        <f t="shared" si="4"/>
        <v>26.858913236556557</v>
      </c>
      <c r="E69" s="247">
        <f t="shared" si="4"/>
        <v>36.58958342615945</v>
      </c>
      <c r="F69" s="247">
        <f t="shared" si="4"/>
        <v>44.509443013684809</v>
      </c>
      <c r="G69" s="247">
        <f t="shared" si="4"/>
        <v>55.039111721040491</v>
      </c>
      <c r="H69" s="247">
        <f t="shared" si="4"/>
        <v>64.144608214441675</v>
      </c>
      <c r="I69" s="247">
        <f t="shared" si="4"/>
        <v>71.097871831659504</v>
      </c>
      <c r="J69" s="247">
        <f t="shared" si="4"/>
        <v>77.5616100947272</v>
      </c>
      <c r="K69" s="247">
        <f t="shared" si="4"/>
        <v>83.619215597161457</v>
      </c>
      <c r="L69" s="247">
        <f t="shared" si="4"/>
        <v>89.045420034397665</v>
      </c>
      <c r="M69" s="247">
        <f t="shared" si="4"/>
        <v>95.347788213906995</v>
      </c>
      <c r="N69" s="247">
        <f t="shared" si="4"/>
        <v>103.72522404507934</v>
      </c>
      <c r="O69" s="247">
        <f t="shared" si="4"/>
        <v>111.6583506361187</v>
      </c>
      <c r="P69" s="247">
        <f t="shared" si="4"/>
        <v>119.09491223849032</v>
      </c>
      <c r="Q69" s="247">
        <f t="shared" si="4"/>
        <v>131.51959640696157</v>
      </c>
      <c r="R69" s="247">
        <f t="shared" si="4"/>
        <v>144.78849520720271</v>
      </c>
      <c r="S69" s="247">
        <f t="shared" si="4"/>
        <v>159.09492783327545</v>
      </c>
      <c r="T69" s="247">
        <f t="shared" si="4"/>
        <v>183.84140920419074</v>
      </c>
      <c r="U69" s="247">
        <f t="shared" si="4"/>
        <v>232.81127295032547</v>
      </c>
      <c r="V69" s="247">
        <f t="shared" si="4"/>
        <v>524.57623592385005</v>
      </c>
      <c r="X69" s="27"/>
    </row>
    <row r="70" spans="1:24">
      <c r="A70" s="55" t="s">
        <v>398</v>
      </c>
      <c r="B70" s="196">
        <f>B24+B25+B29+B30+B31-($B31/$B27)*B27</f>
        <v>81.900000000000006</v>
      </c>
      <c r="C70" s="196">
        <f t="shared" ref="C70:V70" si="5">C24+C25+C29+C30+C31-($B31/$B27)*C27</f>
        <v>3.4669467787114847</v>
      </c>
      <c r="D70" s="196">
        <f t="shared" si="5"/>
        <v>8.9871148459383754</v>
      </c>
      <c r="E70" s="196">
        <f t="shared" si="5"/>
        <v>9.054061624649858</v>
      </c>
      <c r="F70" s="196">
        <f t="shared" si="5"/>
        <v>9.1476190476190453</v>
      </c>
      <c r="G70" s="196">
        <f t="shared" si="5"/>
        <v>10.941176470588236</v>
      </c>
      <c r="H70" s="196">
        <f t="shared" si="5"/>
        <v>12.861344537815127</v>
      </c>
      <c r="I70" s="196">
        <f t="shared" si="5"/>
        <v>11.354901960784314</v>
      </c>
      <c r="J70" s="196">
        <f t="shared" si="5"/>
        <v>8.4420168067226875</v>
      </c>
      <c r="K70" s="196">
        <f t="shared" si="5"/>
        <v>8.7089635854341729</v>
      </c>
      <c r="L70" s="196">
        <f t="shared" si="5"/>
        <v>8.2226890756302531</v>
      </c>
      <c r="M70" s="196">
        <f t="shared" si="5"/>
        <v>6.9428571428571404</v>
      </c>
      <c r="N70" s="196">
        <f t="shared" si="5"/>
        <v>9.5098039215686256</v>
      </c>
      <c r="O70" s="196">
        <f t="shared" si="5"/>
        <v>3.7170868347338937</v>
      </c>
      <c r="P70" s="196">
        <f t="shared" si="5"/>
        <v>5.8106442577030819</v>
      </c>
      <c r="Q70" s="196">
        <f t="shared" si="5"/>
        <v>2.2647058823529411</v>
      </c>
      <c r="R70" s="196">
        <f t="shared" si="5"/>
        <v>0.89215686274509887</v>
      </c>
      <c r="S70" s="196">
        <f t="shared" si="5"/>
        <v>-1.5070028011204513</v>
      </c>
      <c r="T70" s="196">
        <f t="shared" si="5"/>
        <v>-3.8053221288515409</v>
      </c>
      <c r="U70" s="196">
        <f t="shared" si="5"/>
        <v>-7.3431372549019667</v>
      </c>
      <c r="V70" s="196">
        <f t="shared" si="5"/>
        <v>-25.995238095238093</v>
      </c>
      <c r="X70" s="27"/>
    </row>
    <row r="71" spans="1:24">
      <c r="A71" s="55" t="s">
        <v>397</v>
      </c>
      <c r="B71" s="196">
        <f xml:space="preserve"> -(B14+B24+B25+B29+B30+B31-($B31/$B27)*B27)*(1-$B14/($B14+$B24+$B25+$B29+$B30))</f>
        <v>-81.899999999999636</v>
      </c>
      <c r="C71" s="196">
        <f t="shared" ref="C71:V71" si="6" xml:space="preserve"> -(C14+C24+C25+C29+C30+C31-($B31/$B27)*C27)*(1-$B14/($B14+$B24+$B25+$B29+$B30))</f>
        <v>-0.51331794647869533</v>
      </c>
      <c r="D71" s="196">
        <f t="shared" si="6"/>
        <v>-0.92820160938181873</v>
      </c>
      <c r="E71" s="196">
        <f t="shared" si="6"/>
        <v>-1.2644781984904196</v>
      </c>
      <c r="F71" s="196">
        <f t="shared" si="6"/>
        <v>-1.5381760339342458</v>
      </c>
      <c r="G71" s="196">
        <f t="shared" si="6"/>
        <v>-1.902064749547743</v>
      </c>
      <c r="H71" s="196">
        <f t="shared" si="6"/>
        <v>-2.2167363233734543</v>
      </c>
      <c r="I71" s="196">
        <f t="shared" si="6"/>
        <v>-2.4570301291248104</v>
      </c>
      <c r="J71" s="196">
        <f t="shared" si="6"/>
        <v>-2.6804067119954973</v>
      </c>
      <c r="K71" s="196">
        <f t="shared" si="6"/>
        <v>-2.8897479882727093</v>
      </c>
      <c r="L71" s="196">
        <f t="shared" si="6"/>
        <v>-3.0772690412325989</v>
      </c>
      <c r="M71" s="196">
        <f t="shared" si="6"/>
        <v>-3.2950689289501449</v>
      </c>
      <c r="N71" s="196">
        <f t="shared" si="6"/>
        <v>-3.5845798764892867</v>
      </c>
      <c r="O71" s="196">
        <f t="shared" si="6"/>
        <v>-3.8587361986151656</v>
      </c>
      <c r="P71" s="196">
        <f t="shared" si="6"/>
        <v>-4.1157320192127571</v>
      </c>
      <c r="Q71" s="196">
        <f t="shared" si="6"/>
        <v>-4.5451094753914107</v>
      </c>
      <c r="R71" s="196">
        <f t="shared" si="6"/>
        <v>-5.0036616555423645</v>
      </c>
      <c r="S71" s="196">
        <f t="shared" si="6"/>
        <v>-5.4980693656041186</v>
      </c>
      <c r="T71" s="196">
        <f t="shared" si="6"/>
        <v>-6.3532686669577432</v>
      </c>
      <c r="U71" s="196">
        <f t="shared" si="6"/>
        <v>-8.0455897947725941</v>
      </c>
      <c r="V71" s="196">
        <f t="shared" si="6"/>
        <v>-18.128525980911906</v>
      </c>
      <c r="X71" s="27"/>
    </row>
    <row r="72" spans="1:24">
      <c r="A72" s="243" t="s">
        <v>405</v>
      </c>
      <c r="B72" s="247">
        <f xml:space="preserve"> B2+B8+B24+B25+B29+B30</f>
        <v>2106.4999999999995</v>
      </c>
      <c r="C72" s="247">
        <f t="shared" ref="C72:V72" si="7" xml:space="preserve"> C2+C8+C24+C25+C29+C30</f>
        <v>14.299999999999999</v>
      </c>
      <c r="D72" s="247">
        <f t="shared" si="7"/>
        <v>25.5</v>
      </c>
      <c r="E72" s="247">
        <f t="shared" si="7"/>
        <v>34</v>
      </c>
      <c r="F72" s="247">
        <f t="shared" si="7"/>
        <v>41.099999999999994</v>
      </c>
      <c r="G72" s="247">
        <f t="shared" si="7"/>
        <v>50.4</v>
      </c>
      <c r="H72" s="247">
        <f t="shared" si="7"/>
        <v>58.7</v>
      </c>
      <c r="I72" s="247">
        <f t="shared" si="7"/>
        <v>64.400000000000006</v>
      </c>
      <c r="J72" s="247">
        <f t="shared" si="7"/>
        <v>69.7</v>
      </c>
      <c r="K72" s="247">
        <f t="shared" si="7"/>
        <v>74.900000000000006</v>
      </c>
      <c r="L72" s="247">
        <f t="shared" si="7"/>
        <v>79.8</v>
      </c>
      <c r="M72" s="247">
        <f t="shared" si="7"/>
        <v>85</v>
      </c>
      <c r="N72" s="247">
        <f t="shared" si="7"/>
        <v>92.800000000000011</v>
      </c>
      <c r="O72" s="247">
        <f t="shared" si="7"/>
        <v>99</v>
      </c>
      <c r="P72" s="247">
        <f t="shared" si="7"/>
        <v>105.89999999999998</v>
      </c>
      <c r="Q72" s="247">
        <f t="shared" si="7"/>
        <v>116.3</v>
      </c>
      <c r="R72" s="247">
        <f t="shared" si="7"/>
        <v>127.8</v>
      </c>
      <c r="S72" s="247">
        <f t="shared" si="7"/>
        <v>140.20000000000002</v>
      </c>
      <c r="T72" s="247">
        <f t="shared" si="7"/>
        <v>162.10000000000002</v>
      </c>
      <c r="U72" s="247">
        <f t="shared" si="7"/>
        <v>204.9</v>
      </c>
      <c r="V72" s="247">
        <f t="shared" si="7"/>
        <v>459.49999999999994</v>
      </c>
      <c r="X72" s="27"/>
    </row>
    <row r="73" spans="1:24">
      <c r="A73" s="243"/>
      <c r="B73" s="248"/>
      <c r="C73" s="248"/>
      <c r="D73" s="248"/>
      <c r="E73" s="248"/>
      <c r="F73" s="248"/>
      <c r="G73" s="248"/>
      <c r="H73" s="248"/>
      <c r="I73" s="248"/>
      <c r="J73" s="248"/>
      <c r="K73" s="248"/>
      <c r="L73" s="248"/>
      <c r="M73" s="248"/>
      <c r="N73" s="248"/>
      <c r="O73" s="248"/>
      <c r="P73" s="248"/>
      <c r="Q73" s="248"/>
      <c r="R73" s="248"/>
      <c r="S73" s="248"/>
      <c r="T73" s="248"/>
      <c r="U73" s="248"/>
      <c r="V73" s="248"/>
    </row>
    <row r="74" spans="1:24">
      <c r="A74" s="243" t="s">
        <v>335</v>
      </c>
      <c r="B74" s="196"/>
      <c r="C74" s="196"/>
      <c r="D74" s="196"/>
      <c r="E74" s="196"/>
      <c r="F74" s="196"/>
      <c r="G74" s="196"/>
      <c r="H74" s="196"/>
      <c r="I74" s="196"/>
      <c r="J74" s="196"/>
      <c r="K74" s="196"/>
      <c r="L74" s="196"/>
      <c r="M74" s="196"/>
      <c r="N74" s="196"/>
      <c r="O74" s="196"/>
      <c r="P74" s="196"/>
      <c r="Q74" s="196"/>
      <c r="R74" s="196"/>
      <c r="S74" s="196"/>
      <c r="T74" s="196"/>
      <c r="U74" s="243"/>
      <c r="V74" s="243"/>
    </row>
    <row r="75" spans="1:24">
      <c r="A75" s="243"/>
      <c r="B75" s="245"/>
      <c r="C75" s="245"/>
      <c r="D75" s="245"/>
      <c r="E75" s="245"/>
      <c r="F75" s="245"/>
      <c r="G75" s="245"/>
      <c r="H75" s="245"/>
      <c r="I75" s="245"/>
      <c r="J75" s="245"/>
      <c r="K75" s="245"/>
      <c r="L75" s="245"/>
      <c r="M75" s="245"/>
      <c r="N75" s="245"/>
      <c r="O75" s="245"/>
      <c r="P75" s="245"/>
      <c r="Q75" s="245"/>
      <c r="R75" s="245"/>
      <c r="S75" s="245"/>
      <c r="T75" s="245"/>
      <c r="U75" s="245"/>
      <c r="V75" s="245"/>
    </row>
    <row r="76" spans="1:24">
      <c r="A76" s="241" t="s">
        <v>318</v>
      </c>
      <c r="B76" s="239" t="s">
        <v>50</v>
      </c>
      <c r="C76" s="239" t="s">
        <v>296</v>
      </c>
      <c r="D76" s="239" t="s">
        <v>297</v>
      </c>
      <c r="E76" s="239" t="s">
        <v>298</v>
      </c>
      <c r="F76" s="239" t="s">
        <v>299</v>
      </c>
      <c r="G76" s="239" t="s">
        <v>300</v>
      </c>
      <c r="H76" s="239" t="s">
        <v>301</v>
      </c>
      <c r="I76" s="239" t="s">
        <v>302</v>
      </c>
      <c r="J76" s="239" t="s">
        <v>303</v>
      </c>
      <c r="K76" s="239" t="s">
        <v>304</v>
      </c>
      <c r="L76" s="239" t="s">
        <v>305</v>
      </c>
      <c r="M76" s="239" t="s">
        <v>306</v>
      </c>
      <c r="N76" s="239" t="s">
        <v>307</v>
      </c>
      <c r="O76" s="239" t="s">
        <v>308</v>
      </c>
      <c r="P76" s="239" t="s">
        <v>309</v>
      </c>
      <c r="Q76" s="239" t="s">
        <v>310</v>
      </c>
      <c r="R76" s="239" t="s">
        <v>311</v>
      </c>
      <c r="S76" s="239" t="s">
        <v>312</v>
      </c>
      <c r="T76" s="239" t="s">
        <v>313</v>
      </c>
      <c r="U76" s="239" t="s">
        <v>314</v>
      </c>
      <c r="V76" s="239" t="s">
        <v>315</v>
      </c>
    </row>
    <row r="77" spans="1:24">
      <c r="A77" s="243" t="s">
        <v>399</v>
      </c>
      <c r="B77" s="181">
        <f>-B15/B65</f>
        <v>0.53626735305287143</v>
      </c>
      <c r="C77" s="181">
        <f t="shared" ref="C77:V77" si="8">-C15/C65</f>
        <v>1.1428571428571428</v>
      </c>
      <c r="D77" s="181">
        <f t="shared" si="8"/>
        <v>0.8457446808510638</v>
      </c>
      <c r="E77" s="181">
        <f t="shared" si="8"/>
        <v>0.63541666666666663</v>
      </c>
      <c r="F77" s="181">
        <f t="shared" si="8"/>
        <v>0.61517615176151763</v>
      </c>
      <c r="G77" s="181">
        <f t="shared" si="8"/>
        <v>0.57173913043478264</v>
      </c>
      <c r="H77" s="181">
        <f t="shared" si="8"/>
        <v>0.56261682242990652</v>
      </c>
      <c r="I77" s="181">
        <f t="shared" si="8"/>
        <v>0.545016077170418</v>
      </c>
      <c r="J77" s="181">
        <f t="shared" si="8"/>
        <v>0.53342618384401108</v>
      </c>
      <c r="K77" s="181">
        <f t="shared" si="8"/>
        <v>0.53341902313624678</v>
      </c>
      <c r="L77" s="181">
        <f t="shared" si="8"/>
        <v>0.53277711561382601</v>
      </c>
      <c r="M77" s="181">
        <f t="shared" si="8"/>
        <v>0.52780806979280259</v>
      </c>
      <c r="N77" s="181">
        <f t="shared" si="8"/>
        <v>0.53578732106339466</v>
      </c>
      <c r="O77" s="181">
        <f t="shared" si="8"/>
        <v>0.52683363148479423</v>
      </c>
      <c r="P77" s="181">
        <f t="shared" si="8"/>
        <v>0.53236797274275982</v>
      </c>
      <c r="Q77" s="181">
        <f t="shared" si="8"/>
        <v>0.52615844544095669</v>
      </c>
      <c r="R77" s="181">
        <f t="shared" si="8"/>
        <v>0.53055742108797854</v>
      </c>
      <c r="S77" s="181">
        <f t="shared" si="8"/>
        <v>0.52137266706803131</v>
      </c>
      <c r="T77" s="181">
        <f t="shared" si="8"/>
        <v>0.54020618556701028</v>
      </c>
      <c r="U77" s="181">
        <f t="shared" si="8"/>
        <v>0.5233682514101532</v>
      </c>
      <c r="V77" s="181">
        <f t="shared" si="8"/>
        <v>0.5150342887286794</v>
      </c>
    </row>
    <row r="78" spans="1:24">
      <c r="A78" s="243" t="s">
        <v>329</v>
      </c>
      <c r="B78" s="181">
        <f>-B15/B66</f>
        <v>0.53626735305287143</v>
      </c>
      <c r="C78" s="181">
        <f t="shared" ref="C78:V78" si="9">-C15/C66</f>
        <v>1.0849586104277451</v>
      </c>
      <c r="D78" s="181">
        <f t="shared" si="9"/>
        <v>0.66787473164716327</v>
      </c>
      <c r="E78" s="181">
        <f t="shared" si="9"/>
        <v>0.53654721628053836</v>
      </c>
      <c r="F78" s="181">
        <f t="shared" si="9"/>
        <v>0.53703250488768861</v>
      </c>
      <c r="G78" s="181">
        <f t="shared" si="9"/>
        <v>0.49753177411307997</v>
      </c>
      <c r="H78" s="181">
        <f t="shared" si="9"/>
        <v>0.47951031101232616</v>
      </c>
      <c r="I78" s="181">
        <f t="shared" si="9"/>
        <v>0.48793012127330032</v>
      </c>
      <c r="J78" s="181">
        <f t="shared" si="9"/>
        <v>0.50146450817059196</v>
      </c>
      <c r="K78" s="181">
        <f t="shared" si="9"/>
        <v>0.50422997438406614</v>
      </c>
      <c r="L78" s="181">
        <f t="shared" si="9"/>
        <v>0.50495551392373506</v>
      </c>
      <c r="M78" s="181">
        <f t="shared" si="9"/>
        <v>0.50773877046731042</v>
      </c>
      <c r="N78" s="181">
        <f t="shared" si="9"/>
        <v>0.50586898680108339</v>
      </c>
      <c r="O78" s="181">
        <f t="shared" si="9"/>
        <v>0.52617085490011306</v>
      </c>
      <c r="P78" s="181">
        <f t="shared" si="9"/>
        <v>0.52249956972892042</v>
      </c>
      <c r="Q78" s="181">
        <f t="shared" si="9"/>
        <v>0.5315459041722741</v>
      </c>
      <c r="R78" s="181">
        <f t="shared" si="9"/>
        <v>0.53948305939288965</v>
      </c>
      <c r="S78" s="181">
        <f t="shared" si="9"/>
        <v>0.53849771727974549</v>
      </c>
      <c r="T78" s="181">
        <f t="shared" si="9"/>
        <v>0.56114083239329327</v>
      </c>
      <c r="U78" s="181">
        <f t="shared" si="9"/>
        <v>0.55081194196414029</v>
      </c>
      <c r="V78" s="181">
        <f t="shared" si="9"/>
        <v>0.5502516031004091</v>
      </c>
    </row>
    <row r="79" spans="1:24">
      <c r="A79" s="243" t="s">
        <v>423</v>
      </c>
      <c r="B79" s="181">
        <f>- (B15 - (B16+B17)*(B30+B31+B32+B33)/B52)/B66</f>
        <v>0.52525649415685927</v>
      </c>
      <c r="C79" s="181">
        <f>- (C15 - (C16+C17)*(C30+C31+C32+C33)/C52)/C66</f>
        <v>0.76171964618113719</v>
      </c>
      <c r="D79" s="181">
        <f t="shared" ref="D79:V79" si="10">- (D15 - (D16+D17)*(D30+D31+D32+D33)/D52)/D66</f>
        <v>0.5220140319087323</v>
      </c>
      <c r="E79" s="181">
        <f t="shared" si="10"/>
        <v>0.46996538207457633</v>
      </c>
      <c r="F79" s="181">
        <f t="shared" si="10"/>
        <v>0.48303701074505501</v>
      </c>
      <c r="G79" s="181">
        <f t="shared" si="10"/>
        <v>0.4638570713388806</v>
      </c>
      <c r="H79" s="181">
        <f t="shared" si="10"/>
        <v>0.45609043961452767</v>
      </c>
      <c r="I79" s="181">
        <f t="shared" si="10"/>
        <v>0.46773318505159645</v>
      </c>
      <c r="J79" s="181">
        <f t="shared" si="10"/>
        <v>0.48365310861915367</v>
      </c>
      <c r="K79" s="181">
        <f t="shared" si="10"/>
        <v>0.48828958389105059</v>
      </c>
      <c r="L79" s="181">
        <f t="shared" si="10"/>
        <v>0.49215906624655487</v>
      </c>
      <c r="M79" s="181">
        <f t="shared" si="10"/>
        <v>0.49680189700463312</v>
      </c>
      <c r="N79" s="181">
        <f t="shared" si="10"/>
        <v>0.49565836132005897</v>
      </c>
      <c r="O79" s="181">
        <f t="shared" si="10"/>
        <v>0.51722062849614425</v>
      </c>
      <c r="P79" s="181">
        <f t="shared" si="10"/>
        <v>0.51445260774561552</v>
      </c>
      <c r="Q79" s="181">
        <f t="shared" si="10"/>
        <v>0.52439208915419921</v>
      </c>
      <c r="R79" s="181">
        <f t="shared" si="10"/>
        <v>0.53310897528282575</v>
      </c>
      <c r="S79" s="181">
        <f t="shared" si="10"/>
        <v>0.53268195417683606</v>
      </c>
      <c r="T79" s="181">
        <f t="shared" si="10"/>
        <v>0.55606273435509745</v>
      </c>
      <c r="U79" s="181">
        <f t="shared" si="10"/>
        <v>0.5468805870376573</v>
      </c>
      <c r="V79" s="181">
        <f t="shared" si="10"/>
        <v>0.54811552218340809</v>
      </c>
    </row>
    <row r="80" spans="1:24">
      <c r="A80" s="243" t="s">
        <v>424</v>
      </c>
      <c r="B80" s="181">
        <f t="shared" ref="B80:V80" si="11">- (B15 - (B16+B17)*(B30+B31+B32+B33+($B67/$B29)*B29)/B52)/B66</f>
        <v>0.52024495547727578</v>
      </c>
      <c r="C80" s="181">
        <f t="shared" si="11"/>
        <v>0.75002162887741475</v>
      </c>
      <c r="D80" s="181">
        <f t="shared" si="11"/>
        <v>0.50487280411737223</v>
      </c>
      <c r="E80" s="181">
        <f t="shared" si="11"/>
        <v>0.458740121009024</v>
      </c>
      <c r="F80" s="181">
        <f t="shared" si="11"/>
        <v>0.47245985871326102</v>
      </c>
      <c r="G80" s="181">
        <f t="shared" si="11"/>
        <v>0.45414565605026685</v>
      </c>
      <c r="H80" s="181">
        <f t="shared" si="11"/>
        <v>0.44599075366795654</v>
      </c>
      <c r="I80" s="181">
        <f t="shared" si="11"/>
        <v>0.45904733502330303</v>
      </c>
      <c r="J80" s="181">
        <f t="shared" si="11"/>
        <v>0.47606009869476884</v>
      </c>
      <c r="K80" s="181">
        <f t="shared" si="11"/>
        <v>0.48103348128223578</v>
      </c>
      <c r="L80" s="181">
        <f t="shared" si="11"/>
        <v>0.48496509090687595</v>
      </c>
      <c r="M80" s="181">
        <f t="shared" si="11"/>
        <v>0.48996070654387508</v>
      </c>
      <c r="N80" s="181">
        <f t="shared" si="11"/>
        <v>0.48838946456751953</v>
      </c>
      <c r="O80" s="181">
        <f t="shared" si="11"/>
        <v>0.51142810996260957</v>
      </c>
      <c r="P80" s="181">
        <f t="shared" si="11"/>
        <v>0.50830239274231881</v>
      </c>
      <c r="Q80" s="181">
        <f t="shared" si="11"/>
        <v>0.5191817961352545</v>
      </c>
      <c r="R80" s="181">
        <f t="shared" si="11"/>
        <v>0.52805310253014193</v>
      </c>
      <c r="S80" s="181">
        <f t="shared" si="11"/>
        <v>0.52836480724312773</v>
      </c>
      <c r="T80" s="181">
        <f t="shared" si="11"/>
        <v>0.55182676858076052</v>
      </c>
      <c r="U80" s="181">
        <f t="shared" si="11"/>
        <v>0.54406024689719201</v>
      </c>
      <c r="V80" s="181">
        <f t="shared" si="11"/>
        <v>0.54663384755889877</v>
      </c>
    </row>
    <row r="81" spans="1:22">
      <c r="A81" s="243" t="s">
        <v>330</v>
      </c>
      <c r="B81" s="181">
        <f>-B15/B69</f>
        <v>0.53626735305287143</v>
      </c>
      <c r="C81" s="181">
        <f t="shared" ref="C81:V81" si="12">-C15/C69</f>
        <v>0.91560117420516252</v>
      </c>
      <c r="D81" s="181">
        <f t="shared" si="12"/>
        <v>0.59198225408313121</v>
      </c>
      <c r="E81" s="181">
        <f t="shared" si="12"/>
        <v>0.50014234343309172</v>
      </c>
      <c r="F81" s="181">
        <f t="shared" si="12"/>
        <v>0.51000413537012113</v>
      </c>
      <c r="G81" s="181">
        <f t="shared" si="12"/>
        <v>0.47784201411713501</v>
      </c>
      <c r="H81" s="181">
        <f t="shared" si="12"/>
        <v>0.46925222302976377</v>
      </c>
      <c r="I81" s="181">
        <f t="shared" si="12"/>
        <v>0.47680752076891997</v>
      </c>
      <c r="J81" s="181">
        <f t="shared" si="12"/>
        <v>0.49380099192401516</v>
      </c>
      <c r="K81" s="181">
        <f t="shared" si="12"/>
        <v>0.49629740847998055</v>
      </c>
      <c r="L81" s="181">
        <f t="shared" si="12"/>
        <v>0.50199100619361092</v>
      </c>
      <c r="M81" s="181">
        <f t="shared" si="12"/>
        <v>0.50761534070845493</v>
      </c>
      <c r="N81" s="181">
        <f t="shared" si="12"/>
        <v>0.5051808803731942</v>
      </c>
      <c r="O81" s="181">
        <f t="shared" si="12"/>
        <v>0.52750197064927196</v>
      </c>
      <c r="P81" s="181">
        <f t="shared" si="12"/>
        <v>0.52479151984966665</v>
      </c>
      <c r="Q81" s="181">
        <f t="shared" si="12"/>
        <v>0.53528144796126831</v>
      </c>
      <c r="R81" s="181">
        <f t="shared" si="12"/>
        <v>0.54562346191211764</v>
      </c>
      <c r="S81" s="181">
        <f t="shared" si="12"/>
        <v>0.54432910702692561</v>
      </c>
      <c r="T81" s="181">
        <f t="shared" si="12"/>
        <v>0.57005655283897294</v>
      </c>
      <c r="U81" s="181">
        <f t="shared" si="12"/>
        <v>0.55796267231319396</v>
      </c>
      <c r="V81" s="181">
        <f t="shared" si="12"/>
        <v>0.55835544948802962</v>
      </c>
    </row>
    <row r="82" spans="1:22">
      <c r="A82" s="243" t="s">
        <v>331</v>
      </c>
      <c r="B82" s="181">
        <f>- (B15 - (B16+B17)*(B32+B33+B34)/B52)/B69</f>
        <v>0.52970151107266361</v>
      </c>
      <c r="C82" s="181">
        <f t="shared" ref="C82:V82" si="13">- (C15 - (C16+C17)*(C32+C33+C34)/C52)/C69</f>
        <v>0.69500296383966997</v>
      </c>
      <c r="D82" s="181">
        <f t="shared" si="13"/>
        <v>0.48406572430656103</v>
      </c>
      <c r="E82" s="181">
        <f t="shared" si="13"/>
        <v>0.4461234688714778</v>
      </c>
      <c r="F82" s="181">
        <f t="shared" si="13"/>
        <v>0.46822210299252037</v>
      </c>
      <c r="G82" s="181">
        <f t="shared" si="13"/>
        <v>0.45428857888316615</v>
      </c>
      <c r="H82" s="181">
        <f t="shared" si="13"/>
        <v>0.45206308267537793</v>
      </c>
      <c r="I82" s="181">
        <f t="shared" si="13"/>
        <v>0.46338667533705713</v>
      </c>
      <c r="J82" s="181">
        <f t="shared" si="13"/>
        <v>0.48308259135813431</v>
      </c>
      <c r="K82" s="181">
        <f t="shared" si="13"/>
        <v>0.48714513269045551</v>
      </c>
      <c r="L82" s="181">
        <f t="shared" si="13"/>
        <v>0.49439924956716141</v>
      </c>
      <c r="M82" s="181">
        <f t="shared" si="13"/>
        <v>0.50058620266013576</v>
      </c>
      <c r="N82" s="181">
        <f t="shared" si="13"/>
        <v>0.49999306705840008</v>
      </c>
      <c r="O82" s="181">
        <f t="shared" si="13"/>
        <v>0.52301553623174135</v>
      </c>
      <c r="P82" s="181">
        <f t="shared" si="13"/>
        <v>0.5207503898143041</v>
      </c>
      <c r="Q82" s="181">
        <f t="shared" si="13"/>
        <v>0.53226882856294733</v>
      </c>
      <c r="R82" s="181">
        <f t="shared" si="13"/>
        <v>0.54275829124088215</v>
      </c>
      <c r="S82" s="181">
        <f t="shared" si="13"/>
        <v>0.54236952636706171</v>
      </c>
      <c r="T82" s="181">
        <f t="shared" si="13"/>
        <v>0.56836660710653408</v>
      </c>
      <c r="U82" s="181">
        <f t="shared" si="13"/>
        <v>0.55719892582235953</v>
      </c>
      <c r="V82" s="181">
        <f t="shared" si="13"/>
        <v>0.5580934391450092</v>
      </c>
    </row>
    <row r="83" spans="1:22">
      <c r="A83" s="243" t="s">
        <v>400</v>
      </c>
      <c r="B83" s="181">
        <f t="shared" ref="B83:V83" si="14">- (B15 - (B16+B17)*(B32+B33+B34+$B70/($B29+$B30+$B31)*(B29+B30+B31))/B52)/B69</f>
        <v>0.52375303255298422</v>
      </c>
      <c r="C83" s="181">
        <f t="shared" si="14"/>
        <v>0.6744475570472811</v>
      </c>
      <c r="D83" s="181">
        <f t="shared" si="14"/>
        <v>0.46246091573551973</v>
      </c>
      <c r="E83" s="181">
        <f t="shared" si="14"/>
        <v>0.43245302621844828</v>
      </c>
      <c r="F83" s="181">
        <f t="shared" si="14"/>
        <v>0.45555598862716523</v>
      </c>
      <c r="G83" s="181">
        <f t="shared" si="14"/>
        <v>0.44287952357811095</v>
      </c>
      <c r="H83" s="181">
        <f t="shared" si="14"/>
        <v>0.44073885899115472</v>
      </c>
      <c r="I83" s="181">
        <f t="shared" si="14"/>
        <v>0.45341538354981792</v>
      </c>
      <c r="J83" s="181">
        <f t="shared" si="14"/>
        <v>0.47422474906475598</v>
      </c>
      <c r="K83" s="181">
        <f t="shared" si="14"/>
        <v>0.47862895905642638</v>
      </c>
      <c r="L83" s="181">
        <f t="shared" si="14"/>
        <v>0.48613647769061252</v>
      </c>
      <c r="M83" s="181">
        <f t="shared" si="14"/>
        <v>0.49278961981971542</v>
      </c>
      <c r="N83" s="181">
        <f t="shared" si="14"/>
        <v>0.49175562266431472</v>
      </c>
      <c r="O83" s="181">
        <f t="shared" si="14"/>
        <v>0.51623631974388251</v>
      </c>
      <c r="P83" s="181">
        <f t="shared" si="14"/>
        <v>0.51370580027063995</v>
      </c>
      <c r="Q83" s="181">
        <f t="shared" si="14"/>
        <v>0.52619285405985883</v>
      </c>
      <c r="R83" s="181">
        <f t="shared" si="14"/>
        <v>0.53689591130186587</v>
      </c>
      <c r="S83" s="181">
        <f t="shared" si="14"/>
        <v>0.5372698878096831</v>
      </c>
      <c r="T83" s="181">
        <f t="shared" si="14"/>
        <v>0.56339436898083672</v>
      </c>
      <c r="U83" s="181">
        <f t="shared" si="14"/>
        <v>0.55377846656418594</v>
      </c>
      <c r="V83" s="181">
        <f t="shared" si="14"/>
        <v>0.55627216581569638</v>
      </c>
    </row>
    <row r="84" spans="1:22">
      <c r="A84" s="241"/>
      <c r="B84" s="239" t="s">
        <v>50</v>
      </c>
      <c r="C84" s="274" t="s">
        <v>319</v>
      </c>
      <c r="D84" s="274"/>
      <c r="E84" s="274" t="s">
        <v>320</v>
      </c>
      <c r="F84" s="274"/>
      <c r="G84" s="274" t="s">
        <v>321</v>
      </c>
      <c r="H84" s="274"/>
      <c r="I84" s="274" t="s">
        <v>322</v>
      </c>
      <c r="J84" s="274"/>
      <c r="K84" s="274" t="s">
        <v>323</v>
      </c>
      <c r="L84" s="274"/>
      <c r="M84" s="274" t="s">
        <v>324</v>
      </c>
      <c r="N84" s="274"/>
      <c r="O84" s="274" t="s">
        <v>325</v>
      </c>
      <c r="P84" s="274"/>
      <c r="Q84" s="274" t="s">
        <v>326</v>
      </c>
      <c r="R84" s="274"/>
      <c r="S84" s="274" t="s">
        <v>327</v>
      </c>
      <c r="T84" s="274"/>
      <c r="U84" s="274" t="s">
        <v>328</v>
      </c>
      <c r="V84" s="274"/>
    </row>
    <row r="85" spans="1:22">
      <c r="A85" s="243" t="s">
        <v>399</v>
      </c>
      <c r="B85" s="250">
        <f>B77</f>
        <v>0.53626735305287143</v>
      </c>
      <c r="C85" s="291">
        <f t="shared" ref="C85:C91" si="15">SUMPRODUCT(C77:D77,C$42:D$42)/SUM(C$42:D$42)</f>
        <v>1.0177571588545831</v>
      </c>
      <c r="D85" s="291"/>
      <c r="E85" s="291">
        <f>SUMPRODUCT(E77:F77,E$42:F$42)/SUM(E$42:F$42)</f>
        <v>0.6268706714844926</v>
      </c>
      <c r="F85" s="291"/>
      <c r="G85" s="291">
        <f>SUMPRODUCT(G77:H77,G$42:H$42)/SUM(G$42:H$42)</f>
        <v>0.56851949231541454</v>
      </c>
      <c r="H85" s="291"/>
      <c r="I85" s="291">
        <f>SUMPRODUCT(I77:J77,I$42:J$42)/SUM(I$42:J$42)</f>
        <v>0.53986501346979265</v>
      </c>
      <c r="J85" s="291"/>
      <c r="K85" s="291">
        <f>SUMPRODUCT(K77:L77,K$42:L$42)/SUM(K$42:L$42)</f>
        <v>0.53316226012727852</v>
      </c>
      <c r="L85" s="291"/>
      <c r="M85" s="291">
        <f>SUMPRODUCT(M77:N77,M$42:N$42)/SUM(M$42:N$42)</f>
        <v>0.53179769542809863</v>
      </c>
      <c r="N85" s="291"/>
      <c r="O85" s="291">
        <f>SUMPRODUCT(O77:P77,O$42:P$42)/SUM(O$42:P$42)</f>
        <v>0.52960080211377702</v>
      </c>
      <c r="P85" s="291"/>
      <c r="Q85" s="291">
        <f>SUMPRODUCT(Q77:R77,Q$42:R$42)/SUM(Q$42:R$42)</f>
        <v>0.52835793326446756</v>
      </c>
      <c r="R85" s="291"/>
      <c r="S85" s="291">
        <f>SUMPRODUCT(S77:T77,S$42:T$42)/SUM(S$42:T$42)</f>
        <v>0.5307894263175208</v>
      </c>
      <c r="T85" s="291"/>
      <c r="U85" s="291">
        <f>SUMPRODUCT(U77:V77,U$42:V$42)/SUM(U$42:V$42)</f>
        <v>0.5192012700694163</v>
      </c>
      <c r="V85" s="291"/>
    </row>
    <row r="86" spans="1:22">
      <c r="A86" s="243" t="s">
        <v>329</v>
      </c>
      <c r="B86" s="250">
        <f>B78</f>
        <v>0.53626735305287143</v>
      </c>
      <c r="C86" s="291">
        <f t="shared" si="15"/>
        <v>0.90934434567802636</v>
      </c>
      <c r="D86" s="291"/>
      <c r="E86" s="291">
        <f>SUMPRODUCT(E78:F78,E$42:F$42)/SUM(E$42:F$42)</f>
        <v>0.53675211591466843</v>
      </c>
      <c r="F86" s="291"/>
      <c r="G86" s="291">
        <f>SUMPRODUCT(G78:H78,G$42:H$42)/SUM(G$42:H$42)</f>
        <v>0.49117125772457859</v>
      </c>
      <c r="H86" s="291"/>
      <c r="I86" s="291">
        <f>SUMPRODUCT(I78:J78,I$42:J$42)/SUM(I$42:J$42)</f>
        <v>0.49394540433876327</v>
      </c>
      <c r="J86" s="291"/>
      <c r="K86" s="291">
        <f>SUMPRODUCT(K78:L78,K$42:L$42)/SUM(K$42:L$42)</f>
        <v>0.50452019019993366</v>
      </c>
      <c r="L86" s="291"/>
      <c r="M86" s="291">
        <f>SUMPRODUCT(M78:N78,M$42:N$42)/SUM(M$42:N$42)</f>
        <v>0.50680387863419685</v>
      </c>
      <c r="N86" s="291"/>
      <c r="O86" s="291">
        <f>SUMPRODUCT(O78:P78,O$42:P$42)/SUM(O$42:P$42)</f>
        <v>0.52433521231451674</v>
      </c>
      <c r="P86" s="291"/>
      <c r="Q86" s="291">
        <f>SUMPRODUCT(Q78:R78,Q$42:R$42)/SUM(Q$42:R$42)</f>
        <v>0.53551448178258187</v>
      </c>
      <c r="R86" s="291"/>
      <c r="S86" s="291">
        <f>SUMPRODUCT(S78:T78,S$42:T$42)/SUM(S$42:T$42)</f>
        <v>0.54981927483651938</v>
      </c>
      <c r="T86" s="291"/>
      <c r="U86" s="291">
        <f>SUMPRODUCT(U78:V78,U$42:V$42)/SUM(U$42:V$42)</f>
        <v>0.5505317725322747</v>
      </c>
      <c r="V86" s="291"/>
    </row>
    <row r="87" spans="1:22">
      <c r="A87" s="243" t="s">
        <v>423</v>
      </c>
      <c r="B87" s="250">
        <f t="shared" ref="B87:B88" si="16">B79</f>
        <v>0.52525649415685927</v>
      </c>
      <c r="C87" s="291">
        <f t="shared" si="15"/>
        <v>0.66079096648749303</v>
      </c>
      <c r="D87" s="291"/>
      <c r="E87" s="291">
        <f t="shared" ref="E87:E88" si="17">SUMPRODUCT(E79:F79,E$42:F$42)/SUM(E$42:F$42)</f>
        <v>0.47548451417988957</v>
      </c>
      <c r="F87" s="291"/>
      <c r="G87" s="291">
        <f t="shared" ref="G87:G88" si="18">SUMPRODUCT(G79:H79,G$42:H$42)/SUM(G$42:H$42)</f>
        <v>0.46111590720087364</v>
      </c>
      <c r="H87" s="291"/>
      <c r="I87" s="291">
        <f t="shared" ref="I87:I88" si="19">SUMPRODUCT(I79:J79,I$42:J$42)/SUM(I$42:J$42)</f>
        <v>0.47480870663717745</v>
      </c>
      <c r="J87" s="291"/>
      <c r="K87" s="291">
        <f t="shared" ref="K87:K88" si="20">SUMPRODUCT(K79:L79,K$42:L$42)/SUM(K$42:L$42)</f>
        <v>0.48983737683325235</v>
      </c>
      <c r="L87" s="291"/>
      <c r="M87" s="291">
        <f t="shared" ref="M87:M88" si="21">SUMPRODUCT(M79:N79,M$42:N$42)/SUM(M$42:N$42)</f>
        <v>0.4962301291623461</v>
      </c>
      <c r="N87" s="291"/>
      <c r="O87" s="291">
        <f t="shared" ref="O87:O88" si="22">SUMPRODUCT(O79:P79,O$42:P$42)/SUM(O$42:P$42)</f>
        <v>0.51583661812087989</v>
      </c>
      <c r="P87" s="291"/>
      <c r="Q87" s="291">
        <f t="shared" ref="Q87:Q88" si="23">SUMPRODUCT(Q79:R79,Q$42:R$42)/SUM(Q$42:R$42)</f>
        <v>0.52875053221851243</v>
      </c>
      <c r="R87" s="291"/>
      <c r="S87" s="291">
        <f t="shared" ref="S87:S88" si="24">SUMPRODUCT(S79:T79,S$42:T$42)/SUM(S$42:T$42)</f>
        <v>0.5443723442659667</v>
      </c>
      <c r="T87" s="291"/>
      <c r="U87" s="291">
        <f t="shared" ref="U87:U88" si="25">SUMPRODUCT(U79:V79,U$42:V$42)/SUM(U$42:V$42)</f>
        <v>0.54749805461053269</v>
      </c>
      <c r="V87" s="291"/>
    </row>
    <row r="88" spans="1:22" s="43" customFormat="1">
      <c r="A88" s="243" t="s">
        <v>424</v>
      </c>
      <c r="B88" s="250">
        <f t="shared" si="16"/>
        <v>0.52024495547727578</v>
      </c>
      <c r="C88" s="291">
        <f t="shared" si="15"/>
        <v>0.64680107108371265</v>
      </c>
      <c r="D88" s="291"/>
      <c r="E88" s="291">
        <f t="shared" si="17"/>
        <v>0.46453289915081303</v>
      </c>
      <c r="F88" s="291"/>
      <c r="G88" s="291">
        <f t="shared" si="18"/>
        <v>0.45126745520945144</v>
      </c>
      <c r="H88" s="291"/>
      <c r="I88" s="291">
        <f t="shared" si="19"/>
        <v>0.46660856332173228</v>
      </c>
      <c r="J88" s="291"/>
      <c r="K88" s="291">
        <f t="shared" si="20"/>
        <v>0.48260612513209189</v>
      </c>
      <c r="L88" s="291"/>
      <c r="M88" s="291">
        <f t="shared" si="21"/>
        <v>0.48917508555569733</v>
      </c>
      <c r="N88" s="291"/>
      <c r="O88" s="291">
        <f t="shared" si="22"/>
        <v>0.50986525135246419</v>
      </c>
      <c r="P88" s="291"/>
      <c r="Q88" s="291">
        <f t="shared" si="23"/>
        <v>0.52361744933269816</v>
      </c>
      <c r="R88" s="291"/>
      <c r="S88" s="291">
        <f t="shared" si="24"/>
        <v>0.54009578791194413</v>
      </c>
      <c r="T88" s="291"/>
      <c r="U88" s="291">
        <f t="shared" si="25"/>
        <v>0.54534704722804539</v>
      </c>
      <c r="V88" s="291"/>
    </row>
    <row r="89" spans="1:22">
      <c r="A89" s="243" t="s">
        <v>330</v>
      </c>
      <c r="B89" s="250">
        <f>B81</f>
        <v>0.53626735305287143</v>
      </c>
      <c r="C89" s="291">
        <f t="shared" si="15"/>
        <v>0.77934057625904407</v>
      </c>
      <c r="D89" s="291"/>
      <c r="E89" s="291">
        <f>SUMPRODUCT(E81:F81,E$42:F$42)/SUM(E$42:F$42)</f>
        <v>0.50430621113983742</v>
      </c>
      <c r="F89" s="291"/>
      <c r="G89" s="291">
        <f>SUMPRODUCT(G81:H81,G$42:H$42)/SUM(G$42:H$42)</f>
        <v>0.47481032314512162</v>
      </c>
      <c r="H89" s="291"/>
      <c r="I89" s="291">
        <f>SUMPRODUCT(I81:J81,I$42:J$42)/SUM(I$42:J$42)</f>
        <v>0.48436017461562897</v>
      </c>
      <c r="J89" s="291"/>
      <c r="K89" s="291">
        <f>SUMPRODUCT(K81:L81,K$42:L$42)/SUM(K$42:L$42)</f>
        <v>0.49857484756543269</v>
      </c>
      <c r="L89" s="291"/>
      <c r="M89" s="291">
        <f>SUMPRODUCT(M81:N81,M$42:N$42)/SUM(M$42:N$42)</f>
        <v>0.50639811054082451</v>
      </c>
      <c r="N89" s="291"/>
      <c r="O89" s="291">
        <f>SUMPRODUCT(O81:P81,O$42:P$42)/SUM(O$42:P$42)</f>
        <v>0.52614674524946925</v>
      </c>
      <c r="P89" s="291"/>
      <c r="Q89" s="291">
        <f>SUMPRODUCT(Q81:R81,Q$42:R$42)/SUM(Q$42:R$42)</f>
        <v>0.54045245493669292</v>
      </c>
      <c r="R89" s="291"/>
      <c r="S89" s="291">
        <f>SUMPRODUCT(S81:T81,S$42:T$42)/SUM(S$42:T$42)</f>
        <v>0.55719282993294927</v>
      </c>
      <c r="T89" s="291"/>
      <c r="U89" s="291">
        <f>SUMPRODUCT(U81:V81,U$42:V$42)/SUM(U$42:V$42)</f>
        <v>0.55815906090061174</v>
      </c>
      <c r="V89" s="291"/>
    </row>
    <row r="90" spans="1:22">
      <c r="A90" s="243" t="s">
        <v>331</v>
      </c>
      <c r="B90" s="250">
        <f>B82</f>
        <v>0.52970151107266361</v>
      </c>
      <c r="C90" s="291">
        <f>SUMPRODUCT(C82:D82,C$42:D$42)/SUM(C$42:D$42)</f>
        <v>0.60618728403625566</v>
      </c>
      <c r="D90" s="291"/>
      <c r="E90" s="291">
        <f>SUMPRODUCT(E82:F82,E$42:F$42)/SUM(E$42:F$42)</f>
        <v>0.45545400327814023</v>
      </c>
      <c r="F90" s="291"/>
      <c r="G90" s="291">
        <f>SUMPRODUCT(G82:H82,G$42:H$42)/SUM(G$42:H$42)</f>
        <v>0.45350310963335849</v>
      </c>
      <c r="H90" s="291"/>
      <c r="I90" s="291">
        <f>SUMPRODUCT(I82:J82,I$42:J$42)/SUM(I$42:J$42)</f>
        <v>0.47214041579086924</v>
      </c>
      <c r="J90" s="291"/>
      <c r="K90" s="291">
        <f>SUMPRODUCT(K82:L82,K$42:L$42)/SUM(K$42:L$42)</f>
        <v>0.49004677944113789</v>
      </c>
      <c r="L90" s="291"/>
      <c r="M90" s="291">
        <f>SUMPRODUCT(M82:N82,M$42:N$42)/SUM(M$42:N$42)</f>
        <v>0.50028963485926792</v>
      </c>
      <c r="N90" s="291"/>
      <c r="O90" s="291">
        <f>SUMPRODUCT(O82:P82,O$42:P$42)/SUM(O$42:P$42)</f>
        <v>0.52188296302302273</v>
      </c>
      <c r="P90" s="291"/>
      <c r="Q90" s="291">
        <f>SUMPRODUCT(Q82:R82,Q$42:R$42)/SUM(Q$42:R$42)</f>
        <v>0.53751355990191463</v>
      </c>
      <c r="R90" s="291"/>
      <c r="S90" s="291">
        <f>SUMPRODUCT(S82:T82,S$42:T$42)/SUM(S$42:T$42)</f>
        <v>0.55536806673679784</v>
      </c>
      <c r="T90" s="291"/>
      <c r="U90" s="291">
        <f>SUMPRODUCT(U82:V82,U$42:V$42)/SUM(U$42:V$42)</f>
        <v>0.55764618248368436</v>
      </c>
      <c r="V90" s="291"/>
    </row>
    <row r="91" spans="1:22">
      <c r="A91" s="243" t="s">
        <v>400</v>
      </c>
      <c r="B91" s="250">
        <f>B83</f>
        <v>0.52375303255298422</v>
      </c>
      <c r="C91" s="291">
        <f t="shared" si="15"/>
        <v>0.58519002386338148</v>
      </c>
      <c r="D91" s="291"/>
      <c r="E91" s="291">
        <f>SUMPRODUCT(E83:F83,E$42:F$42)/SUM(E$42:F$42)</f>
        <v>0.44220761034657319</v>
      </c>
      <c r="F91" s="291"/>
      <c r="G91" s="291">
        <f>SUMPRODUCT(G83:H83,G$42:H$42)/SUM(G$42:H$42)</f>
        <v>0.44212399490036169</v>
      </c>
      <c r="H91" s="291"/>
      <c r="I91" s="291">
        <f>SUMPRODUCT(I83:J83,I$42:J$42)/SUM(I$42:J$42)</f>
        <v>0.4626639904453459</v>
      </c>
      <c r="J91" s="291"/>
      <c r="K91" s="291">
        <f>SUMPRODUCT(K83:L83,K$42:L$42)/SUM(K$42:L$42)</f>
        <v>0.48163196651010082</v>
      </c>
      <c r="L91" s="291"/>
      <c r="M91" s="291">
        <f>SUMPRODUCT(M83:N83,M$42:N$42)/SUM(M$42:N$42)</f>
        <v>0.49227262124201504</v>
      </c>
      <c r="N91" s="291"/>
      <c r="O91" s="291">
        <f>SUMPRODUCT(O83:P83,O$42:P$42)/SUM(O$42:P$42)</f>
        <v>0.51497106000726123</v>
      </c>
      <c r="P91" s="291"/>
      <c r="Q91" s="291">
        <f>SUMPRODUCT(Q83:R83,Q$42:R$42)/SUM(Q$42:R$42)</f>
        <v>0.53154438268086235</v>
      </c>
      <c r="R91" s="291"/>
      <c r="S91" s="291">
        <f>SUMPRODUCT(S83:T83,S$42:T$42)/SUM(S$42:T$42)</f>
        <v>0.55033212839525991</v>
      </c>
      <c r="T91" s="291"/>
      <c r="U91" s="291">
        <f>SUMPRODUCT(U83:V83,U$42:V$42)/SUM(U$42:V$42)</f>
        <v>0.55502531618994111</v>
      </c>
      <c r="V91" s="291"/>
    </row>
    <row r="92" spans="1:22">
      <c r="A92" s="243"/>
      <c r="B92" s="173"/>
      <c r="C92" s="249"/>
      <c r="D92" s="249"/>
      <c r="E92" s="249"/>
      <c r="F92" s="249"/>
      <c r="G92" s="249"/>
      <c r="H92" s="249"/>
      <c r="I92" s="249"/>
      <c r="J92" s="249"/>
      <c r="K92" s="249"/>
      <c r="L92" s="249"/>
      <c r="M92" s="249"/>
      <c r="N92" s="249"/>
      <c r="O92" s="249"/>
      <c r="P92" s="249"/>
      <c r="Q92" s="249"/>
      <c r="R92" s="249"/>
      <c r="S92" s="249"/>
      <c r="T92" s="249"/>
      <c r="U92" s="249"/>
      <c r="V92" s="249"/>
    </row>
    <row r="93" spans="1:22">
      <c r="A93" s="243" t="s">
        <v>332</v>
      </c>
      <c r="B93" s="249"/>
      <c r="C93" s="249"/>
      <c r="D93" s="249"/>
      <c r="E93" s="249"/>
      <c r="F93" s="249"/>
      <c r="G93" s="249"/>
      <c r="H93" s="249"/>
      <c r="I93" s="249"/>
      <c r="J93" s="249"/>
      <c r="K93" s="249"/>
      <c r="L93" s="249"/>
      <c r="M93" s="249"/>
      <c r="N93" s="249"/>
      <c r="O93" s="249"/>
      <c r="P93" s="249"/>
      <c r="Q93" s="249"/>
      <c r="R93" s="249"/>
      <c r="S93" s="249"/>
      <c r="T93" s="249"/>
      <c r="U93" s="249"/>
      <c r="V93" s="249"/>
    </row>
    <row r="94" spans="1:22">
      <c r="A94" s="243" t="s">
        <v>425</v>
      </c>
      <c r="B94" s="249"/>
      <c r="C94" s="249"/>
      <c r="D94" s="249"/>
      <c r="E94" s="249"/>
      <c r="F94" s="249"/>
      <c r="G94" s="249"/>
      <c r="H94" s="249"/>
      <c r="I94" s="249"/>
      <c r="J94" s="249"/>
      <c r="K94" s="249"/>
      <c r="L94" s="249"/>
      <c r="M94" s="249"/>
      <c r="N94" s="249"/>
      <c r="O94" s="249"/>
      <c r="P94" s="249"/>
      <c r="Q94" s="249"/>
      <c r="R94" s="249"/>
      <c r="S94" s="249"/>
      <c r="T94" s="249"/>
      <c r="U94" s="249"/>
      <c r="V94" s="249"/>
    </row>
    <row r="95" spans="1:22">
      <c r="A95" s="243" t="s">
        <v>426</v>
      </c>
      <c r="B95" s="249"/>
      <c r="C95" s="249"/>
      <c r="D95" s="249"/>
      <c r="E95" s="249"/>
      <c r="F95" s="249"/>
      <c r="G95" s="249"/>
      <c r="H95" s="249"/>
      <c r="I95" s="249"/>
      <c r="J95" s="249"/>
      <c r="K95" s="249"/>
      <c r="L95" s="249"/>
      <c r="M95" s="249"/>
      <c r="N95" s="249"/>
      <c r="O95" s="249"/>
      <c r="P95" s="249"/>
      <c r="Q95" s="249"/>
      <c r="R95" s="249"/>
      <c r="S95" s="249"/>
      <c r="T95" s="249"/>
      <c r="U95" s="249"/>
      <c r="V95" s="249"/>
    </row>
    <row r="96" spans="1:22">
      <c r="A96" s="243" t="s">
        <v>401</v>
      </c>
      <c r="B96" s="249"/>
      <c r="C96" s="249"/>
      <c r="D96" s="249"/>
      <c r="E96" s="249"/>
      <c r="F96" s="249"/>
      <c r="G96" s="249"/>
      <c r="H96" s="249"/>
      <c r="I96" s="249"/>
      <c r="J96" s="249"/>
      <c r="K96" s="249"/>
      <c r="L96" s="249"/>
      <c r="M96" s="249"/>
      <c r="N96" s="249"/>
      <c r="O96" s="249"/>
      <c r="P96" s="249"/>
      <c r="Q96" s="249"/>
      <c r="R96" s="249"/>
      <c r="S96" s="249"/>
      <c r="T96" s="249"/>
      <c r="U96" s="249"/>
      <c r="V96" s="249"/>
    </row>
    <row r="97" spans="1:22">
      <c r="A97" s="243" t="s">
        <v>485</v>
      </c>
      <c r="B97" s="249"/>
      <c r="C97" s="249"/>
      <c r="D97" s="249"/>
      <c r="E97" s="249"/>
      <c r="F97" s="249"/>
      <c r="G97" s="249"/>
      <c r="H97" s="249"/>
      <c r="I97" s="249"/>
      <c r="J97" s="249"/>
      <c r="K97" s="249"/>
      <c r="L97" s="249"/>
      <c r="M97" s="249"/>
      <c r="N97" s="249"/>
      <c r="O97" s="249"/>
      <c r="P97" s="249"/>
      <c r="Q97" s="249"/>
      <c r="R97" s="249"/>
      <c r="S97" s="249"/>
      <c r="T97" s="249"/>
      <c r="U97" s="249"/>
      <c r="V97" s="249"/>
    </row>
    <row r="98" spans="1:22">
      <c r="A98" s="243"/>
      <c r="B98" s="249"/>
      <c r="C98" s="249"/>
      <c r="D98" s="249"/>
      <c r="E98" s="249"/>
      <c r="F98" s="249"/>
      <c r="G98" s="249"/>
      <c r="H98" s="249"/>
      <c r="I98" s="249"/>
      <c r="J98" s="249"/>
      <c r="K98" s="249"/>
      <c r="L98" s="249"/>
      <c r="M98" s="249"/>
      <c r="N98" s="249"/>
      <c r="O98" s="249"/>
      <c r="P98" s="249"/>
      <c r="Q98" s="249"/>
      <c r="R98" s="249"/>
      <c r="S98" s="249"/>
      <c r="T98" s="249"/>
      <c r="U98" s="249"/>
      <c r="V98" s="249"/>
    </row>
    <row r="99" spans="1:22">
      <c r="A99" s="241" t="s">
        <v>396</v>
      </c>
      <c r="B99" s="239" t="s">
        <v>50</v>
      </c>
      <c r="C99" s="239" t="s">
        <v>296</v>
      </c>
      <c r="D99" s="239" t="s">
        <v>297</v>
      </c>
      <c r="E99" s="239" t="s">
        <v>298</v>
      </c>
      <c r="F99" s="239" t="s">
        <v>299</v>
      </c>
      <c r="G99" s="239" t="s">
        <v>300</v>
      </c>
      <c r="H99" s="239" t="s">
        <v>301</v>
      </c>
      <c r="I99" s="239" t="s">
        <v>302</v>
      </c>
      <c r="J99" s="239" t="s">
        <v>303</v>
      </c>
      <c r="K99" s="239" t="s">
        <v>304</v>
      </c>
      <c r="L99" s="239" t="s">
        <v>305</v>
      </c>
      <c r="M99" s="239" t="s">
        <v>306</v>
      </c>
      <c r="N99" s="239" t="s">
        <v>307</v>
      </c>
      <c r="O99" s="239" t="s">
        <v>308</v>
      </c>
      <c r="P99" s="239" t="s">
        <v>309</v>
      </c>
      <c r="Q99" s="239" t="s">
        <v>310</v>
      </c>
      <c r="R99" s="239" t="s">
        <v>311</v>
      </c>
      <c r="S99" s="239" t="s">
        <v>312</v>
      </c>
      <c r="T99" s="239" t="s">
        <v>313</v>
      </c>
      <c r="U99" s="239" t="s">
        <v>314</v>
      </c>
      <c r="V99" s="239" t="s">
        <v>315</v>
      </c>
    </row>
    <row r="100" spans="1:22">
      <c r="A100" s="243" t="s">
        <v>482</v>
      </c>
      <c r="B100" s="181">
        <f t="shared" ref="B100:V100" si="26">- (B16+B17 - (B16+B17)*(B32+B33+B34+$B70/($B29+$B30+$B31)*(B29+B30+B31))/B52)/B69</f>
        <v>0.10850344396274833</v>
      </c>
      <c r="C100" s="181">
        <f t="shared" si="26"/>
        <v>0.21664696994469976</v>
      </c>
      <c r="D100" s="181">
        <f t="shared" si="26"/>
        <v>0.23162506823140566</v>
      </c>
      <c r="E100" s="181">
        <f t="shared" si="26"/>
        <v>0.16735025401620837</v>
      </c>
      <c r="F100" s="181">
        <f t="shared" si="26"/>
        <v>0.16348313577202978</v>
      </c>
      <c r="G100" s="181">
        <f t="shared" si="26"/>
        <v>0.14854337800025591</v>
      </c>
      <c r="H100" s="181">
        <f t="shared" si="26"/>
        <v>0.14609211429804722</v>
      </c>
      <c r="I100" s="181">
        <f t="shared" si="26"/>
        <v>0.13976323861923048</v>
      </c>
      <c r="J100" s="181">
        <f t="shared" si="26"/>
        <v>0.13900736551320525</v>
      </c>
      <c r="K100" s="181">
        <f t="shared" si="26"/>
        <v>0.13181872180535567</v>
      </c>
      <c r="L100" s="181">
        <f t="shared" si="26"/>
        <v>0.13126140396090105</v>
      </c>
      <c r="M100" s="181">
        <f t="shared" si="26"/>
        <v>0.13200516278725988</v>
      </c>
      <c r="N100" s="181">
        <f t="shared" si="26"/>
        <v>0.130223504076628</v>
      </c>
      <c r="O100" s="181">
        <f t="shared" si="26"/>
        <v>0.12396830082303179</v>
      </c>
      <c r="P100" s="181">
        <f t="shared" si="26"/>
        <v>0.12242124307072849</v>
      </c>
      <c r="Q100" s="181">
        <f t="shared" si="26"/>
        <v>0.1156076524986587</v>
      </c>
      <c r="R100" s="181">
        <f t="shared" si="26"/>
        <v>0.11351973136246318</v>
      </c>
      <c r="S100" s="181">
        <f t="shared" si="26"/>
        <v>0.10608077993385066</v>
      </c>
      <c r="T100" s="181">
        <f t="shared" si="26"/>
        <v>0.10158328753018026</v>
      </c>
      <c r="U100" s="181">
        <f t="shared" si="26"/>
        <v>7.3990702919969176E-2</v>
      </c>
      <c r="V100" s="181">
        <f t="shared" si="26"/>
        <v>5.6821405263071688E-2</v>
      </c>
    </row>
    <row r="101" spans="1:22">
      <c r="A101" s="243" t="s">
        <v>395</v>
      </c>
      <c r="B101" s="181">
        <f>- (B18+B19)/B69</f>
        <v>3.7934090045993504E-2</v>
      </c>
      <c r="C101" s="181">
        <f t="shared" ref="C101:V101" si="27">- (C18+C19)/C69</f>
        <v>4.7126531025265719E-2</v>
      </c>
      <c r="D101" s="181">
        <f t="shared" si="27"/>
        <v>3.723158830711517E-2</v>
      </c>
      <c r="E101" s="181">
        <f t="shared" si="27"/>
        <v>3.5529237511640395E-2</v>
      </c>
      <c r="F101" s="181">
        <f t="shared" si="27"/>
        <v>3.8194142296440782E-2</v>
      </c>
      <c r="G101" s="181">
        <f t="shared" si="27"/>
        <v>3.8154685537870089E-2</v>
      </c>
      <c r="H101" s="181">
        <f t="shared" si="27"/>
        <v>3.8974437128717919E-2</v>
      </c>
      <c r="I101" s="181">
        <f t="shared" si="27"/>
        <v>3.9382332098907846E-2</v>
      </c>
      <c r="J101" s="181">
        <f t="shared" si="27"/>
        <v>3.9968226500377201E-2</v>
      </c>
      <c r="K101" s="181">
        <f t="shared" si="27"/>
        <v>4.1856407944094745E-2</v>
      </c>
      <c r="L101" s="181">
        <f t="shared" si="27"/>
        <v>4.1551828253162421E-2</v>
      </c>
      <c r="M101" s="181">
        <f t="shared" si="27"/>
        <v>4.0902889024028388E-2</v>
      </c>
      <c r="N101" s="181">
        <f t="shared" si="27"/>
        <v>3.9527511632253744E-2</v>
      </c>
      <c r="O101" s="181">
        <f t="shared" si="27"/>
        <v>4.2988276046120641E-2</v>
      </c>
      <c r="P101" s="181">
        <f t="shared" si="27"/>
        <v>4.1983321587973334E-2</v>
      </c>
      <c r="Q101" s="181">
        <f t="shared" si="27"/>
        <v>4.2579206087828163E-2</v>
      </c>
      <c r="R101" s="181">
        <f t="shared" si="27"/>
        <v>4.2130419210935667E-2</v>
      </c>
      <c r="S101" s="181">
        <f t="shared" si="27"/>
        <v>4.0856110804561398E-2</v>
      </c>
      <c r="T101" s="181">
        <f t="shared" si="27"/>
        <v>4.1883926115077207E-2</v>
      </c>
      <c r="U101" s="181">
        <f t="shared" si="27"/>
        <v>3.9087454334488562E-2</v>
      </c>
      <c r="V101" s="181">
        <f t="shared" si="27"/>
        <v>2.7641358885546023E-2</v>
      </c>
    </row>
    <row r="102" spans="1:22">
      <c r="A102" s="242" t="s">
        <v>486</v>
      </c>
      <c r="B102" s="181">
        <f>- B20/B$69</f>
        <v>3.2912781130005488E-2</v>
      </c>
      <c r="C102" s="181">
        <f t="shared" ref="C102:V109" si="28">- C20/C$69</f>
        <v>2.692944630015184E-2</v>
      </c>
      <c r="D102" s="181">
        <f t="shared" si="28"/>
        <v>1.1169476492134551E-2</v>
      </c>
      <c r="E102" s="181">
        <f t="shared" si="28"/>
        <v>8.1990548103785515E-3</v>
      </c>
      <c r="F102" s="181">
        <f t="shared" si="28"/>
        <v>6.7401427581954337E-3</v>
      </c>
      <c r="G102" s="181">
        <f t="shared" si="28"/>
        <v>5.4506693625528705E-3</v>
      </c>
      <c r="H102" s="181">
        <f t="shared" si="28"/>
        <v>7.794887425743584E-3</v>
      </c>
      <c r="I102" s="181">
        <f t="shared" si="28"/>
        <v>4.2195355820258407E-3</v>
      </c>
      <c r="J102" s="181">
        <f t="shared" si="28"/>
        <v>5.1571905161777046E-3</v>
      </c>
      <c r="K102" s="181">
        <f t="shared" si="28"/>
        <v>4.7835894793251139E-3</v>
      </c>
      <c r="L102" s="181">
        <f t="shared" si="28"/>
        <v>4.4920895408824242E-3</v>
      </c>
      <c r="M102" s="181">
        <f t="shared" si="28"/>
        <v>6.292752157542829E-3</v>
      </c>
      <c r="N102" s="181">
        <f t="shared" si="28"/>
        <v>7.7126851965373172E-3</v>
      </c>
      <c r="O102" s="181">
        <f t="shared" si="28"/>
        <v>7.1647126743534396E-3</v>
      </c>
      <c r="P102" s="181">
        <f t="shared" si="28"/>
        <v>5.8776650223162658E-3</v>
      </c>
      <c r="Q102" s="181">
        <f t="shared" si="28"/>
        <v>9.12411559024889E-3</v>
      </c>
      <c r="R102" s="181">
        <f t="shared" si="28"/>
        <v>1.1741264370260759E-2</v>
      </c>
      <c r="S102" s="181">
        <f t="shared" si="28"/>
        <v>1.2571111016788121E-2</v>
      </c>
      <c r="T102" s="181">
        <f t="shared" si="28"/>
        <v>1.4142624402493604E-2</v>
      </c>
      <c r="U102" s="181">
        <f t="shared" si="28"/>
        <v>2.8778675169348726E-2</v>
      </c>
      <c r="V102" s="181">
        <f t="shared" si="28"/>
        <v>0.10942165517450633</v>
      </c>
    </row>
    <row r="103" spans="1:22">
      <c r="A103" s="242" t="s">
        <v>447</v>
      </c>
      <c r="B103" s="181">
        <f t="shared" ref="B103:Q109" si="29">- B21/B$69</f>
        <v>6.2154521287818051E-2</v>
      </c>
      <c r="C103" s="181">
        <f t="shared" si="29"/>
        <v>3.3661807875189798E-2</v>
      </c>
      <c r="D103" s="181">
        <f t="shared" si="29"/>
        <v>3.3508429476403652E-2</v>
      </c>
      <c r="E103" s="181">
        <f t="shared" si="29"/>
        <v>4.0995274051892766E-2</v>
      </c>
      <c r="F103" s="181">
        <f t="shared" si="29"/>
        <v>4.9427713560099854E-2</v>
      </c>
      <c r="G103" s="181">
        <f t="shared" si="29"/>
        <v>5.0872914050493455E-2</v>
      </c>
      <c r="H103" s="181">
        <f t="shared" si="29"/>
        <v>5.7682166950502524E-2</v>
      </c>
      <c r="I103" s="181">
        <f t="shared" si="29"/>
        <v>6.0480010009037043E-2</v>
      </c>
      <c r="J103" s="181">
        <f t="shared" si="29"/>
        <v>6.3175583823176881E-2</v>
      </c>
      <c r="K103" s="181">
        <f t="shared" si="29"/>
        <v>6.338256060105775E-2</v>
      </c>
      <c r="L103" s="181">
        <f t="shared" si="29"/>
        <v>6.5135298342795148E-2</v>
      </c>
      <c r="M103" s="181">
        <f t="shared" si="29"/>
        <v>6.5025105627942573E-2</v>
      </c>
      <c r="N103" s="181">
        <f t="shared" si="29"/>
        <v>6.5557824170567186E-2</v>
      </c>
      <c r="O103" s="181">
        <f t="shared" si="29"/>
        <v>6.8064770406357666E-2</v>
      </c>
      <c r="P103" s="181">
        <f t="shared" si="29"/>
        <v>6.801298097251679E-2</v>
      </c>
      <c r="Q103" s="181">
        <f t="shared" si="29"/>
        <v>6.7670523961012613E-2</v>
      </c>
      <c r="R103" s="181">
        <f t="shared" si="28"/>
        <v>6.7684935781503211E-2</v>
      </c>
      <c r="S103" s="181">
        <f t="shared" si="28"/>
        <v>6.7255443939816445E-2</v>
      </c>
      <c r="T103" s="181">
        <f t="shared" si="28"/>
        <v>6.7993386550450008E-2</v>
      </c>
      <c r="U103" s="181">
        <f t="shared" si="28"/>
        <v>6.6147999642980654E-2</v>
      </c>
      <c r="V103" s="181">
        <f t="shared" si="28"/>
        <v>5.5854607954930933E-2</v>
      </c>
    </row>
    <row r="104" spans="1:22">
      <c r="A104" s="242" t="s">
        <v>487</v>
      </c>
      <c r="B104" s="181">
        <f t="shared" si="29"/>
        <v>4.2871007215494319E-2</v>
      </c>
      <c r="C104" s="181">
        <f t="shared" si="28"/>
        <v>0.18177376252602492</v>
      </c>
      <c r="D104" s="181">
        <f t="shared" si="28"/>
        <v>0</v>
      </c>
      <c r="E104" s="181">
        <f t="shared" si="28"/>
        <v>0</v>
      </c>
      <c r="F104" s="181">
        <f t="shared" si="28"/>
        <v>2.2467142527318115E-3</v>
      </c>
      <c r="G104" s="181">
        <f t="shared" si="28"/>
        <v>0</v>
      </c>
      <c r="H104" s="181">
        <f t="shared" si="28"/>
        <v>0</v>
      </c>
      <c r="I104" s="181">
        <f t="shared" si="28"/>
        <v>2.8130237213505604E-3</v>
      </c>
      <c r="J104" s="181">
        <f t="shared" si="28"/>
        <v>2.5785952580888523E-3</v>
      </c>
      <c r="K104" s="181">
        <f t="shared" si="28"/>
        <v>5.9794868491563919E-3</v>
      </c>
      <c r="L104" s="181">
        <f t="shared" si="28"/>
        <v>7.8611566965442418E-3</v>
      </c>
      <c r="M104" s="181">
        <f t="shared" si="28"/>
        <v>1.1536712288828521E-2</v>
      </c>
      <c r="N104" s="181">
        <f t="shared" si="28"/>
        <v>1.4461284743507469E-2</v>
      </c>
      <c r="O104" s="181">
        <f t="shared" si="28"/>
        <v>1.7016192601589417E-2</v>
      </c>
      <c r="P104" s="181">
        <f t="shared" si="28"/>
        <v>2.1831327225746131E-2</v>
      </c>
      <c r="Q104" s="181">
        <f t="shared" si="28"/>
        <v>2.8893032702454819E-2</v>
      </c>
      <c r="R104" s="181">
        <f t="shared" si="28"/>
        <v>3.315180528073626E-2</v>
      </c>
      <c r="S104" s="181">
        <f t="shared" si="28"/>
        <v>4.0227555253721986E-2</v>
      </c>
      <c r="T104" s="181">
        <f t="shared" si="28"/>
        <v>5.2762867963149204E-2</v>
      </c>
      <c r="U104" s="181">
        <f t="shared" si="28"/>
        <v>6.8295661969051458E-2</v>
      </c>
      <c r="V104" s="181">
        <f t="shared" si="28"/>
        <v>9.4171250272136103E-2</v>
      </c>
    </row>
    <row r="105" spans="1:22">
      <c r="A105" s="242" t="s">
        <v>488</v>
      </c>
      <c r="B105" s="181">
        <f t="shared" si="29"/>
        <v>1.0295793071437612E-2</v>
      </c>
      <c r="C105" s="181">
        <f t="shared" si="28"/>
        <v>1.346472315007592E-2</v>
      </c>
      <c r="D105" s="181">
        <f t="shared" si="28"/>
        <v>7.4463176614230344E-3</v>
      </c>
      <c r="E105" s="181">
        <f t="shared" si="28"/>
        <v>5.4660365402523685E-3</v>
      </c>
      <c r="F105" s="181">
        <f t="shared" si="28"/>
        <v>4.493428505463623E-3</v>
      </c>
      <c r="G105" s="181">
        <f t="shared" si="28"/>
        <v>5.4506693625528705E-3</v>
      </c>
      <c r="H105" s="181">
        <f t="shared" si="28"/>
        <v>6.2359099405948672E-3</v>
      </c>
      <c r="I105" s="181">
        <f t="shared" si="28"/>
        <v>5.6260474427011209E-3</v>
      </c>
      <c r="J105" s="181">
        <f t="shared" si="28"/>
        <v>6.4464881452221305E-3</v>
      </c>
      <c r="K105" s="181">
        <f t="shared" si="28"/>
        <v>7.1753842189876699E-3</v>
      </c>
      <c r="L105" s="181">
        <f t="shared" si="28"/>
        <v>5.6151119261030301E-3</v>
      </c>
      <c r="M105" s="181">
        <f t="shared" si="28"/>
        <v>7.3415441837999668E-3</v>
      </c>
      <c r="N105" s="181">
        <f t="shared" si="28"/>
        <v>8.6767708461044819E-3</v>
      </c>
      <c r="O105" s="181">
        <f t="shared" si="28"/>
        <v>7.1647126743534396E-3</v>
      </c>
      <c r="P105" s="181">
        <f t="shared" si="28"/>
        <v>7.5569978858351997E-3</v>
      </c>
      <c r="Q105" s="181">
        <f t="shared" si="28"/>
        <v>7.603429658540742E-3</v>
      </c>
      <c r="R105" s="181">
        <f t="shared" si="28"/>
        <v>7.5972887101687274E-3</v>
      </c>
      <c r="S105" s="181">
        <f t="shared" si="28"/>
        <v>8.7997777117516836E-3</v>
      </c>
      <c r="T105" s="181">
        <f t="shared" si="28"/>
        <v>1.0334994755668401E-2</v>
      </c>
      <c r="U105" s="181">
        <f t="shared" si="28"/>
        <v>1.2456441491210642E-2</v>
      </c>
      <c r="V105" s="181">
        <f t="shared" si="28"/>
        <v>1.6775445392607245E-2</v>
      </c>
    </row>
    <row r="106" spans="1:22">
      <c r="A106" s="242" t="s">
        <v>489</v>
      </c>
      <c r="B106" s="181">
        <f t="shared" si="29"/>
        <v>0.13878222709818977</v>
      </c>
      <c r="C106" s="181">
        <f t="shared" si="28"/>
        <v>9.4253062050531439E-2</v>
      </c>
      <c r="D106" s="181">
        <f t="shared" si="28"/>
        <v>9.3078970767787927E-2</v>
      </c>
      <c r="E106" s="181">
        <f t="shared" si="28"/>
        <v>0.11478676734529975</v>
      </c>
      <c r="F106" s="181">
        <f t="shared" si="28"/>
        <v>0.12581599815298142</v>
      </c>
      <c r="G106" s="181">
        <f t="shared" si="28"/>
        <v>0.12536539533871602</v>
      </c>
      <c r="H106" s="181">
        <f t="shared" si="28"/>
        <v>0.1216002438415999</v>
      </c>
      <c r="I106" s="181">
        <f t="shared" si="28"/>
        <v>0.13080560304280106</v>
      </c>
      <c r="J106" s="181">
        <f t="shared" si="28"/>
        <v>0.14053344156584244</v>
      </c>
      <c r="K106" s="181">
        <f t="shared" si="28"/>
        <v>0.14350768437975342</v>
      </c>
      <c r="L106" s="181">
        <f t="shared" si="28"/>
        <v>0.14486988769345818</v>
      </c>
      <c r="M106" s="181">
        <f t="shared" si="28"/>
        <v>0.14473329962348508</v>
      </c>
      <c r="N106" s="181">
        <f t="shared" si="28"/>
        <v>0.14075650483680602</v>
      </c>
      <c r="O106" s="181">
        <f t="shared" si="28"/>
        <v>0.15672808975148148</v>
      </c>
      <c r="P106" s="181">
        <f t="shared" si="28"/>
        <v>0.15197962414846347</v>
      </c>
      <c r="Q106" s="181">
        <f t="shared" si="28"/>
        <v>0.15663065096593928</v>
      </c>
      <c r="R106" s="181">
        <f t="shared" si="28"/>
        <v>0.15816173769351258</v>
      </c>
      <c r="S106" s="181">
        <f t="shared" si="28"/>
        <v>0.15713888770985152</v>
      </c>
      <c r="T106" s="181">
        <f t="shared" si="28"/>
        <v>0.16155228644386924</v>
      </c>
      <c r="U106" s="181">
        <f t="shared" si="28"/>
        <v>0.15334309008145516</v>
      </c>
      <c r="V106" s="181">
        <f t="shared" si="28"/>
        <v>0.1092310251132267</v>
      </c>
    </row>
    <row r="107" spans="1:22">
      <c r="A107" s="242" t="s">
        <v>490</v>
      </c>
      <c r="B107" s="181">
        <f t="shared" si="29"/>
        <v>1.400902991687413E-2</v>
      </c>
      <c r="C107" s="181">
        <f t="shared" si="28"/>
        <v>6.73236157503796E-3</v>
      </c>
      <c r="D107" s="181">
        <f t="shared" si="28"/>
        <v>7.4463176614230344E-3</v>
      </c>
      <c r="E107" s="181">
        <f t="shared" si="28"/>
        <v>1.0932073080504737E-2</v>
      </c>
      <c r="F107" s="181">
        <f t="shared" si="28"/>
        <v>1.1233571263659056E-2</v>
      </c>
      <c r="G107" s="181">
        <f t="shared" si="28"/>
        <v>1.2718228512623364E-2</v>
      </c>
      <c r="H107" s="181">
        <f t="shared" si="28"/>
        <v>1.2471819881189734E-2</v>
      </c>
      <c r="I107" s="181">
        <f t="shared" si="28"/>
        <v>1.2658606746077522E-2</v>
      </c>
      <c r="J107" s="181">
        <f t="shared" si="28"/>
        <v>1.4182273919488687E-2</v>
      </c>
      <c r="K107" s="181">
        <f t="shared" si="28"/>
        <v>1.435076843797534E-2</v>
      </c>
      <c r="L107" s="181">
        <f t="shared" si="28"/>
        <v>1.4599291007867879E-2</v>
      </c>
      <c r="M107" s="181">
        <f t="shared" si="28"/>
        <v>1.4683088367599934E-2</v>
      </c>
      <c r="N107" s="181">
        <f t="shared" si="28"/>
        <v>1.4461284743507469E-2</v>
      </c>
      <c r="O107" s="181">
        <f t="shared" si="28"/>
        <v>1.7016192601589417E-2</v>
      </c>
      <c r="P107" s="181">
        <f t="shared" si="28"/>
        <v>1.5953662203429864E-2</v>
      </c>
      <c r="Q107" s="181">
        <f t="shared" si="28"/>
        <v>1.6727545248789635E-2</v>
      </c>
      <c r="R107" s="181">
        <f t="shared" si="28"/>
        <v>1.7266565250383469E-2</v>
      </c>
      <c r="S107" s="181">
        <f t="shared" si="28"/>
        <v>1.6342444321824558E-2</v>
      </c>
      <c r="T107" s="181">
        <f t="shared" si="28"/>
        <v>1.7406306956915203E-2</v>
      </c>
      <c r="U107" s="181">
        <f t="shared" si="28"/>
        <v>1.5892701212923924E-2</v>
      </c>
      <c r="V107" s="181">
        <f t="shared" si="28"/>
        <v>9.7221331252610142E-3</v>
      </c>
    </row>
    <row r="108" spans="1:22">
      <c r="A108" s="242" t="s">
        <v>491</v>
      </c>
      <c r="B108" s="181">
        <f t="shared" si="29"/>
        <v>1.6034431832566774E-2</v>
      </c>
      <c r="C108" s="181">
        <f t="shared" si="28"/>
        <v>6.73236157503796E-3</v>
      </c>
      <c r="D108" s="181">
        <f t="shared" si="28"/>
        <v>1.1169476492134551E-2</v>
      </c>
      <c r="E108" s="181">
        <f t="shared" si="28"/>
        <v>1.3665091350630921E-2</v>
      </c>
      <c r="F108" s="181">
        <f t="shared" si="28"/>
        <v>1.3480285516390867E-2</v>
      </c>
      <c r="G108" s="181">
        <f t="shared" si="28"/>
        <v>1.4535118300140988E-2</v>
      </c>
      <c r="H108" s="181">
        <f t="shared" si="28"/>
        <v>1.403079736633845E-2</v>
      </c>
      <c r="I108" s="181">
        <f t="shared" si="28"/>
        <v>1.5471630467428084E-2</v>
      </c>
      <c r="J108" s="181">
        <f t="shared" si="28"/>
        <v>1.6760869177577541E-2</v>
      </c>
      <c r="K108" s="181">
        <f t="shared" si="28"/>
        <v>1.554666580780662E-2</v>
      </c>
      <c r="L108" s="181">
        <f t="shared" si="28"/>
        <v>1.684533577830909E-2</v>
      </c>
      <c r="M108" s="181">
        <f t="shared" si="28"/>
        <v>1.6780672420114214E-2</v>
      </c>
      <c r="N108" s="181">
        <f t="shared" si="28"/>
        <v>1.5425370393074634E-2</v>
      </c>
      <c r="O108" s="181">
        <f t="shared" si="28"/>
        <v>1.7016192601589417E-2</v>
      </c>
      <c r="P108" s="181">
        <f t="shared" si="28"/>
        <v>1.6793328635189331E-2</v>
      </c>
      <c r="Q108" s="181">
        <f t="shared" si="28"/>
        <v>1.6727545248789635E-2</v>
      </c>
      <c r="R108" s="181">
        <f t="shared" si="28"/>
        <v>1.7266565250383469E-2</v>
      </c>
      <c r="S108" s="181">
        <f t="shared" si="28"/>
        <v>1.6970999872663962E-2</v>
      </c>
      <c r="T108" s="181">
        <f t="shared" si="28"/>
        <v>1.7406306956915203E-2</v>
      </c>
      <c r="U108" s="181">
        <f t="shared" si="28"/>
        <v>1.7610831073780562E-2</v>
      </c>
      <c r="V108" s="181">
        <f t="shared" si="28"/>
        <v>1.4678514718531337E-2</v>
      </c>
    </row>
    <row r="109" spans="1:22">
      <c r="A109" s="242" t="s">
        <v>492</v>
      </c>
      <c r="B109" s="181">
        <f t="shared" si="29"/>
        <v>6.02557069918562E-2</v>
      </c>
      <c r="C109" s="181">
        <f t="shared" si="28"/>
        <v>3.3661807875189798E-2</v>
      </c>
      <c r="D109" s="181">
        <f t="shared" si="28"/>
        <v>2.9785270645692138E-2</v>
      </c>
      <c r="E109" s="181">
        <f t="shared" si="28"/>
        <v>3.5529237511640395E-2</v>
      </c>
      <c r="F109" s="181">
        <f t="shared" si="28"/>
        <v>3.8194142296440789E-2</v>
      </c>
      <c r="G109" s="181">
        <f t="shared" si="28"/>
        <v>3.8154685537870096E-2</v>
      </c>
      <c r="H109" s="181">
        <f t="shared" si="28"/>
        <v>3.7415459643569203E-2</v>
      </c>
      <c r="I109" s="181">
        <f t="shared" si="28"/>
        <v>3.9382332098907846E-2</v>
      </c>
      <c r="J109" s="181">
        <f t="shared" si="28"/>
        <v>4.6414714645599341E-2</v>
      </c>
      <c r="K109" s="181">
        <f t="shared" si="28"/>
        <v>4.9031792163082413E-2</v>
      </c>
      <c r="L109" s="181">
        <f t="shared" si="28"/>
        <v>5.3905074490589087E-2</v>
      </c>
      <c r="M109" s="181">
        <f t="shared" si="28"/>
        <v>5.3488393339114045E-2</v>
      </c>
      <c r="N109" s="181">
        <f t="shared" si="28"/>
        <v>5.3988796375761212E-2</v>
      </c>
      <c r="O109" s="181">
        <f t="shared" si="28"/>
        <v>6.0004468647710051E-2</v>
      </c>
      <c r="P109" s="181">
        <f t="shared" si="28"/>
        <v>5.9616316654922126E-2</v>
      </c>
      <c r="Q109" s="181">
        <f t="shared" si="28"/>
        <v>6.3868809131742241E-2</v>
      </c>
      <c r="R109" s="181">
        <f t="shared" si="28"/>
        <v>6.7684935781503211E-2</v>
      </c>
      <c r="S109" s="181">
        <f t="shared" si="28"/>
        <v>7.1026777244852887E-2</v>
      </c>
      <c r="T109" s="181">
        <f t="shared" si="28"/>
        <v>7.7784434213714823E-2</v>
      </c>
      <c r="U109" s="181">
        <f t="shared" si="28"/>
        <v>7.8174908668977125E-2</v>
      </c>
      <c r="V109" s="181">
        <f t="shared" si="28"/>
        <v>6.1573509793319756E-2</v>
      </c>
    </row>
    <row r="111" spans="1:22">
      <c r="B111" s="90"/>
    </row>
  </sheetData>
  <mergeCells count="80">
    <mergeCell ref="O84:P84"/>
    <mergeCell ref="Q84:R84"/>
    <mergeCell ref="S84:T84"/>
    <mergeCell ref="U84:V84"/>
    <mergeCell ref="C85:D85"/>
    <mergeCell ref="E85:F85"/>
    <mergeCell ref="G85:H85"/>
    <mergeCell ref="I85:J85"/>
    <mergeCell ref="K85:L85"/>
    <mergeCell ref="M85:N85"/>
    <mergeCell ref="C84:D84"/>
    <mergeCell ref="E84:F84"/>
    <mergeCell ref="G84:H84"/>
    <mergeCell ref="I84:J84"/>
    <mergeCell ref="K84:L84"/>
    <mergeCell ref="M84:N84"/>
    <mergeCell ref="O85:P85"/>
    <mergeCell ref="Q85:R85"/>
    <mergeCell ref="S85:T85"/>
    <mergeCell ref="U85:V85"/>
    <mergeCell ref="C86:D86"/>
    <mergeCell ref="E86:F86"/>
    <mergeCell ref="G86:H86"/>
    <mergeCell ref="I86:J86"/>
    <mergeCell ref="K86:L86"/>
    <mergeCell ref="M86:N86"/>
    <mergeCell ref="O86:P86"/>
    <mergeCell ref="Q86:R86"/>
    <mergeCell ref="S86:T86"/>
    <mergeCell ref="U86:V86"/>
    <mergeCell ref="C87:D87"/>
    <mergeCell ref="E87:F87"/>
    <mergeCell ref="G87:H87"/>
    <mergeCell ref="I87:J87"/>
    <mergeCell ref="K87:L87"/>
    <mergeCell ref="M87:N87"/>
    <mergeCell ref="O87:P87"/>
    <mergeCell ref="Q87:R87"/>
    <mergeCell ref="S87:T87"/>
    <mergeCell ref="U87:V87"/>
    <mergeCell ref="C88:D88"/>
    <mergeCell ref="E88:F88"/>
    <mergeCell ref="G88:H88"/>
    <mergeCell ref="I88:J88"/>
    <mergeCell ref="K88:L88"/>
    <mergeCell ref="M88:N88"/>
    <mergeCell ref="O88:P88"/>
    <mergeCell ref="Q88:R88"/>
    <mergeCell ref="S88:T88"/>
    <mergeCell ref="U88:V88"/>
    <mergeCell ref="C89:D89"/>
    <mergeCell ref="E89:F89"/>
    <mergeCell ref="G89:H89"/>
    <mergeCell ref="I89:J89"/>
    <mergeCell ref="K89:L89"/>
    <mergeCell ref="M89:N89"/>
    <mergeCell ref="C90:D90"/>
    <mergeCell ref="E90:F90"/>
    <mergeCell ref="G90:H90"/>
    <mergeCell ref="I90:J90"/>
    <mergeCell ref="K90:L90"/>
    <mergeCell ref="M91:N91"/>
    <mergeCell ref="O89:P89"/>
    <mergeCell ref="Q89:R89"/>
    <mergeCell ref="S89:T89"/>
    <mergeCell ref="U89:V89"/>
    <mergeCell ref="M90:N90"/>
    <mergeCell ref="C91:D91"/>
    <mergeCell ref="E91:F91"/>
    <mergeCell ref="G91:H91"/>
    <mergeCell ref="I91:J91"/>
    <mergeCell ref="K91:L91"/>
    <mergeCell ref="O91:P91"/>
    <mergeCell ref="Q91:R91"/>
    <mergeCell ref="S91:T91"/>
    <mergeCell ref="U91:V91"/>
    <mergeCell ref="O90:P90"/>
    <mergeCell ref="Q90:R90"/>
    <mergeCell ref="S90:T90"/>
    <mergeCell ref="U90:V90"/>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C5522-3DEA-425A-B8AF-466B345A54FE}">
  <sheetPr codeName="Feuil2"/>
  <dimension ref="B2:AL72"/>
  <sheetViews>
    <sheetView zoomScale="70" zoomScaleNormal="70" workbookViewId="0">
      <selection activeCell="U29" sqref="U29"/>
    </sheetView>
  </sheetViews>
  <sheetFormatPr baseColWidth="10" defaultRowHeight="14.4"/>
  <cols>
    <col min="1" max="1" width="3.109375" customWidth="1"/>
    <col min="2" max="6" width="12.5546875" style="85" customWidth="1"/>
    <col min="7" max="7" width="12.5546875" style="22" customWidth="1"/>
    <col min="8" max="8" width="13" style="22" customWidth="1"/>
    <col min="9" max="9" width="13" style="240" customWidth="1"/>
    <col min="10" max="10" width="4.5546875" style="240" customWidth="1"/>
    <col min="11" max="17" width="13" style="22" customWidth="1"/>
    <col min="18" max="18" width="11.5546875" style="20"/>
    <col min="19" max="21" width="11.5546875" style="206"/>
    <col min="22" max="22" width="11.44140625" style="20"/>
    <col min="23" max="24" width="11.5546875" style="206"/>
    <col min="25" max="25" width="11.44140625" style="20"/>
    <col min="26" max="26" width="11.5546875" style="206"/>
    <col min="27" max="27" width="11.44140625" style="20"/>
    <col min="30" max="30" width="13.6640625" bestFit="1" customWidth="1"/>
    <col min="31" max="33" width="12" customWidth="1"/>
    <col min="34" max="34" width="12" style="85" customWidth="1"/>
    <col min="35" max="35" width="12" customWidth="1"/>
    <col min="37" max="37" width="13.33203125" bestFit="1" customWidth="1"/>
  </cols>
  <sheetData>
    <row r="2" spans="2:38" s="30" customFormat="1" ht="23.4" customHeight="1">
      <c r="B2" s="274" t="s">
        <v>94</v>
      </c>
      <c r="C2" s="274"/>
      <c r="D2" s="274"/>
      <c r="E2" s="274"/>
      <c r="F2" s="274"/>
      <c r="H2" s="274" t="s">
        <v>43</v>
      </c>
      <c r="I2" s="274"/>
      <c r="J2" s="274"/>
      <c r="K2" s="274"/>
      <c r="L2" s="274"/>
      <c r="M2" s="274"/>
      <c r="N2" s="274"/>
      <c r="O2" s="274"/>
      <c r="P2" s="274"/>
      <c r="Q2" s="274"/>
      <c r="R2" s="274"/>
      <c r="S2" s="25"/>
      <c r="T2" s="25"/>
      <c r="U2" s="213"/>
      <c r="V2" s="294" t="s">
        <v>495</v>
      </c>
      <c r="W2" s="294"/>
      <c r="X2" s="294"/>
      <c r="Y2" s="294"/>
      <c r="Z2" s="302"/>
      <c r="AA2" s="302"/>
      <c r="AD2" s="219"/>
      <c r="AE2" s="295" t="s">
        <v>345</v>
      </c>
      <c r="AF2" s="295"/>
      <c r="AG2" s="295"/>
      <c r="AH2" s="295"/>
      <c r="AI2" s="295"/>
      <c r="AK2" s="192" t="s">
        <v>351</v>
      </c>
    </row>
    <row r="3" spans="2:38" s="28" customFormat="1" ht="42.6" customHeight="1">
      <c r="B3" s="21" t="s">
        <v>10</v>
      </c>
      <c r="C3" s="21" t="s">
        <v>91</v>
      </c>
      <c r="D3" s="21" t="s">
        <v>16</v>
      </c>
      <c r="E3" s="39" t="s">
        <v>92</v>
      </c>
      <c r="F3" s="39" t="s">
        <v>93</v>
      </c>
      <c r="H3" s="13" t="s">
        <v>5</v>
      </c>
      <c r="I3" s="118" t="s">
        <v>93</v>
      </c>
      <c r="J3" s="13"/>
      <c r="K3" s="12" t="s">
        <v>44</v>
      </c>
      <c r="L3" s="12" t="s">
        <v>45</v>
      </c>
      <c r="M3" s="12" t="s">
        <v>336</v>
      </c>
      <c r="N3" s="12" t="s">
        <v>46</v>
      </c>
      <c r="O3" s="12" t="s">
        <v>47</v>
      </c>
      <c r="P3" s="12" t="s">
        <v>48</v>
      </c>
      <c r="Q3" s="12" t="s">
        <v>49</v>
      </c>
      <c r="R3" s="199" t="s">
        <v>50</v>
      </c>
      <c r="S3" s="199"/>
      <c r="T3" s="273" t="s">
        <v>494</v>
      </c>
      <c r="U3" s="118"/>
      <c r="V3" s="118" t="s">
        <v>51</v>
      </c>
      <c r="W3" s="118" t="s">
        <v>407</v>
      </c>
      <c r="X3" s="118" t="s">
        <v>348</v>
      </c>
      <c r="Y3" s="118" t="s">
        <v>338</v>
      </c>
      <c r="Z3" s="118"/>
      <c r="AA3" s="198" t="s">
        <v>339</v>
      </c>
      <c r="AB3" s="17"/>
      <c r="AD3" s="85"/>
      <c r="AE3" s="8" t="s">
        <v>69</v>
      </c>
      <c r="AF3" s="8" t="s">
        <v>70</v>
      </c>
      <c r="AG3" s="12" t="s">
        <v>28</v>
      </c>
      <c r="AH3" s="12" t="s">
        <v>29</v>
      </c>
      <c r="AI3" s="193" t="s">
        <v>367</v>
      </c>
    </row>
    <row r="4" spans="2:38">
      <c r="B4" s="154" t="s">
        <v>76</v>
      </c>
      <c r="C4" s="185">
        <v>37833502</v>
      </c>
      <c r="D4" s="97"/>
      <c r="E4" s="97">
        <v>32900</v>
      </c>
      <c r="F4" s="186">
        <v>100</v>
      </c>
      <c r="H4" s="235">
        <v>90</v>
      </c>
      <c r="I4" s="237">
        <v>1.77E-2</v>
      </c>
      <c r="J4" s="235"/>
      <c r="K4" s="236">
        <v>6.4000000000000001E-2</v>
      </c>
      <c r="L4" s="236">
        <v>1.9E-3</v>
      </c>
      <c r="M4" s="236">
        <v>0.12480000000000001</v>
      </c>
      <c r="N4" s="236">
        <v>7.4200000000000002E-2</v>
      </c>
      <c r="O4" s="236">
        <v>2.8000000000000004E-3</v>
      </c>
      <c r="P4" s="236">
        <v>1E-4</v>
      </c>
      <c r="Q4" s="236">
        <v>2.7000000000000001E-3</v>
      </c>
      <c r="R4" s="236">
        <v>0.2676</v>
      </c>
      <c r="S4" s="236"/>
      <c r="T4" s="206">
        <f t="shared" ref="T4:T45" si="0">R4/$T$48</f>
        <v>0.2378578842989155</v>
      </c>
      <c r="U4" s="237"/>
      <c r="V4" s="237">
        <f>N4*AE$9</f>
        <v>7.4942000000000009E-2</v>
      </c>
      <c r="W4" s="237">
        <f>N4*$AE$13</f>
        <v>3.9326E-2</v>
      </c>
      <c r="X4" s="237">
        <f>L4*AE$17</f>
        <v>7.7669366829928206E-3</v>
      </c>
      <c r="Y4" s="237">
        <f>M4*AE$5</f>
        <v>0.12729600000000002</v>
      </c>
      <c r="Z4" s="237"/>
      <c r="AA4" s="237">
        <f xml:space="preserve"> V4 + W4 + R4 + X4 + Y4</f>
        <v>0.51693093668299284</v>
      </c>
      <c r="AB4" s="43"/>
      <c r="AD4" s="73"/>
      <c r="AE4" s="85"/>
      <c r="AF4" s="85"/>
      <c r="AG4" s="85"/>
      <c r="AI4" s="43"/>
      <c r="AK4" s="85"/>
    </row>
    <row r="5" spans="2:38">
      <c r="B5" s="154" t="s">
        <v>77</v>
      </c>
      <c r="C5" s="185">
        <v>34050091</v>
      </c>
      <c r="D5" s="97">
        <v>3400</v>
      </c>
      <c r="E5" s="97">
        <v>36500</v>
      </c>
      <c r="F5" s="186">
        <v>99.85</v>
      </c>
      <c r="H5" s="235">
        <v>91</v>
      </c>
      <c r="I5" s="237">
        <v>1.84E-2</v>
      </c>
      <c r="J5" s="235"/>
      <c r="K5" s="236">
        <v>6.6400000000000001E-2</v>
      </c>
      <c r="L5" s="236">
        <v>2.0999999999999999E-3</v>
      </c>
      <c r="M5" s="236">
        <v>0.1273</v>
      </c>
      <c r="N5" s="236">
        <v>7.400000000000001E-2</v>
      </c>
      <c r="O5" s="236">
        <v>3.0000000000000001E-3</v>
      </c>
      <c r="P5" s="236">
        <v>1E-4</v>
      </c>
      <c r="Q5" s="236">
        <v>3.0000000000000001E-3</v>
      </c>
      <c r="R5" s="236">
        <v>0.27279999999999999</v>
      </c>
      <c r="S5" s="236"/>
      <c r="T5" s="206">
        <f t="shared" si="0"/>
        <v>0.24247993586227257</v>
      </c>
      <c r="U5" s="237"/>
      <c r="V5" s="237">
        <f>N5*AE$9</f>
        <v>7.4740000000000015E-2</v>
      </c>
      <c r="W5" s="237">
        <f>N5*$AE$13</f>
        <v>3.9220000000000005E-2</v>
      </c>
      <c r="X5" s="237">
        <f>L5*AE$17</f>
        <v>8.5845089654131169E-3</v>
      </c>
      <c r="Y5" s="237">
        <f>M5*AE$5</f>
        <v>0.12984599999999999</v>
      </c>
      <c r="Z5" s="237"/>
      <c r="AA5" s="237">
        <f t="shared" ref="AA5:AA44" si="1" xml:space="preserve"> V5 + W5 + R5 + X5 + Y5</f>
        <v>0.52519050896541308</v>
      </c>
      <c r="AB5" s="43"/>
      <c r="AD5" s="200" t="s">
        <v>386</v>
      </c>
      <c r="AE5" s="210">
        <v>1.02</v>
      </c>
      <c r="AF5" s="218">
        <v>0.7</v>
      </c>
      <c r="AG5" s="218">
        <v>0.5</v>
      </c>
      <c r="AH5" s="218">
        <v>0.5</v>
      </c>
      <c r="AI5" s="218">
        <v>0.5</v>
      </c>
      <c r="AK5" s="154" t="s">
        <v>336</v>
      </c>
    </row>
    <row r="6" spans="2:38">
      <c r="B6" s="154" t="s">
        <v>78</v>
      </c>
      <c r="C6" s="185">
        <v>30266479</v>
      </c>
      <c r="D6" s="97">
        <v>9700</v>
      </c>
      <c r="E6" s="97">
        <v>40200</v>
      </c>
      <c r="F6" s="186">
        <v>97.75</v>
      </c>
      <c r="H6" s="235">
        <v>92</v>
      </c>
      <c r="I6" s="237">
        <v>1.9099999999999999E-2</v>
      </c>
      <c r="J6" s="235"/>
      <c r="K6" s="236">
        <v>6.8900000000000003E-2</v>
      </c>
      <c r="L6" s="236">
        <v>2.2000000000000001E-3</v>
      </c>
      <c r="M6" s="236">
        <v>0.13070000000000001</v>
      </c>
      <c r="N6" s="236">
        <v>7.3700000000000002E-2</v>
      </c>
      <c r="O6" s="236">
        <v>3.4999999999999996E-3</v>
      </c>
      <c r="P6" s="236">
        <v>1E-4</v>
      </c>
      <c r="Q6" s="236">
        <v>3.4000000000000002E-3</v>
      </c>
      <c r="R6" s="236">
        <v>0.27899999999999997</v>
      </c>
      <c r="S6" s="236"/>
      <c r="T6" s="206">
        <f t="shared" si="0"/>
        <v>0.24799084349550604</v>
      </c>
      <c r="U6" s="237"/>
      <c r="V6" s="237">
        <f>N6*AE$9</f>
        <v>7.4437000000000003E-2</v>
      </c>
      <c r="W6" s="237">
        <f>N6*$AE$13</f>
        <v>3.9061000000000005E-2</v>
      </c>
      <c r="X6" s="237">
        <f>L6*AE$17</f>
        <v>8.9932951066232676E-3</v>
      </c>
      <c r="Y6" s="237">
        <f>M6*AE$5</f>
        <v>0.13331400000000002</v>
      </c>
      <c r="Z6" s="237"/>
      <c r="AA6" s="237">
        <f t="shared" si="1"/>
        <v>0.53480529510662334</v>
      </c>
      <c r="AB6" s="43"/>
      <c r="AD6" s="220" t="s">
        <v>387</v>
      </c>
      <c r="AE6" s="125">
        <f>(SUMPRODUCT(Y4:Y8, I4:I8))/SUM(I4:I8) + (SUMPRODUCT(M4:M8, I4:I8))/SUM(I4:I8)</f>
        <v>0.26544063816475494</v>
      </c>
      <c r="AF6" s="292">
        <f>(SUMPRODUCT(Y9:Y39, I9:I39)+AVERAGE(Y40:Y45)*I40)/SUM(I9:I40) + (SUMPRODUCT(M9:M39, I9:I39)+AVERAGE(M40:M45)*I40)/SUM(I9:I40)</f>
        <v>0.19475484426229514</v>
      </c>
      <c r="AG6" s="292"/>
      <c r="AH6" s="292"/>
      <c r="AI6" s="292"/>
      <c r="AK6" s="154"/>
    </row>
    <row r="7" spans="2:38">
      <c r="B7" s="14" t="s">
        <v>79</v>
      </c>
      <c r="C7" s="53">
        <v>26483450</v>
      </c>
      <c r="D7" s="97">
        <v>14500</v>
      </c>
      <c r="E7" s="97">
        <v>44200</v>
      </c>
      <c r="F7" s="186">
        <v>94.04</v>
      </c>
      <c r="H7" s="235">
        <v>93</v>
      </c>
      <c r="I7" s="237">
        <v>1.9699999999999999E-2</v>
      </c>
      <c r="J7" s="235"/>
      <c r="K7" s="236">
        <v>7.2000000000000008E-2</v>
      </c>
      <c r="L7" s="236">
        <v>2.5999999999999999E-3</v>
      </c>
      <c r="M7" s="236">
        <v>0.1343</v>
      </c>
      <c r="N7" s="236">
        <v>7.3599999999999999E-2</v>
      </c>
      <c r="O7" s="236">
        <v>4.0000000000000001E-3</v>
      </c>
      <c r="P7" s="236">
        <v>1E-4</v>
      </c>
      <c r="Q7" s="236">
        <v>3.9000000000000003E-3</v>
      </c>
      <c r="R7" s="236">
        <v>0.28649999999999998</v>
      </c>
      <c r="S7" s="236"/>
      <c r="T7" s="206">
        <f t="shared" si="0"/>
        <v>0.25465726401957878</v>
      </c>
      <c r="U7" s="237"/>
      <c r="V7" s="237">
        <f>N7*AE$9</f>
        <v>7.4335999999999999E-2</v>
      </c>
      <c r="W7" s="237">
        <f>N7*$AE$13</f>
        <v>3.9008000000000001E-2</v>
      </c>
      <c r="X7" s="237">
        <f>L7*AE$17</f>
        <v>1.062843967146386E-2</v>
      </c>
      <c r="Y7" s="237">
        <f>M7*AE$5</f>
        <v>0.136986</v>
      </c>
      <c r="Z7" s="237"/>
      <c r="AA7" s="237">
        <f t="shared" si="1"/>
        <v>0.5474584396714639</v>
      </c>
      <c r="AB7" s="43"/>
      <c r="AD7" s="220" t="s">
        <v>388</v>
      </c>
      <c r="AE7" s="125">
        <f xml:space="preserve"> SUM('Insee (2026)'!U106:U109)</f>
        <v>0.26502153103713677</v>
      </c>
      <c r="AF7" s="292">
        <f xml:space="preserve"> SUM('Insee (2026)'!V106:V109)</f>
        <v>0.19520518275033882</v>
      </c>
      <c r="AG7" s="292"/>
      <c r="AH7" s="292"/>
      <c r="AI7" s="292"/>
      <c r="AK7" s="154"/>
    </row>
    <row r="8" spans="2:38">
      <c r="B8" s="14" t="s">
        <v>80</v>
      </c>
      <c r="C8" s="53">
        <v>22699895</v>
      </c>
      <c r="D8" s="97">
        <v>18200</v>
      </c>
      <c r="E8" s="97">
        <v>48900</v>
      </c>
      <c r="F8" s="186">
        <v>89.18</v>
      </c>
      <c r="H8" s="235">
        <v>94</v>
      </c>
      <c r="I8" s="237">
        <v>2.1000000000000001E-2</v>
      </c>
      <c r="J8" s="235"/>
      <c r="K8" s="236">
        <v>7.5300000000000006E-2</v>
      </c>
      <c r="L8" s="236">
        <v>2.8000000000000004E-3</v>
      </c>
      <c r="M8" s="236">
        <v>0.13849999999999998</v>
      </c>
      <c r="N8" s="236">
        <v>7.3300000000000004E-2</v>
      </c>
      <c r="O8" s="236">
        <v>4.5999999999999999E-3</v>
      </c>
      <c r="P8" s="236">
        <v>1E-4</v>
      </c>
      <c r="Q8" s="236">
        <v>4.5000000000000005E-3</v>
      </c>
      <c r="R8" s="236">
        <v>0.29460000000000003</v>
      </c>
      <c r="S8" s="236"/>
      <c r="T8" s="206">
        <f t="shared" si="0"/>
        <v>0.26185699818557739</v>
      </c>
      <c r="U8" s="237"/>
      <c r="V8" s="237">
        <f>N8*AE$9</f>
        <v>7.4033000000000002E-2</v>
      </c>
      <c r="W8" s="237">
        <f>N8*$AE$13</f>
        <v>3.8849000000000002E-2</v>
      </c>
      <c r="X8" s="237">
        <f>L8*AE$17</f>
        <v>1.1446011953884158E-2</v>
      </c>
      <c r="Y8" s="237">
        <f>M8*AE$5</f>
        <v>0.14126999999999998</v>
      </c>
      <c r="Z8" s="237"/>
      <c r="AA8" s="237">
        <f t="shared" si="1"/>
        <v>0.56019801195388419</v>
      </c>
      <c r="AB8" s="47"/>
      <c r="AD8" s="107"/>
      <c r="AE8" s="206"/>
      <c r="AF8" s="207"/>
      <c r="AG8" s="194"/>
      <c r="AH8" s="194"/>
      <c r="AI8" s="43"/>
      <c r="AK8" s="154"/>
    </row>
    <row r="9" spans="2:38">
      <c r="B9" s="14" t="s">
        <v>81</v>
      </c>
      <c r="C9" s="53">
        <v>18915941</v>
      </c>
      <c r="D9" s="97">
        <v>21900</v>
      </c>
      <c r="E9" s="97">
        <v>54600</v>
      </c>
      <c r="F9" s="186">
        <v>82.98</v>
      </c>
      <c r="H9" s="235">
        <v>95</v>
      </c>
      <c r="I9" s="237">
        <v>2.5100000000000001E-2</v>
      </c>
      <c r="J9" s="235"/>
      <c r="K9" s="236">
        <v>7.980000000000001E-2</v>
      </c>
      <c r="L9" s="236">
        <v>3.3E-3</v>
      </c>
      <c r="M9" s="236">
        <v>0.14150000000000001</v>
      </c>
      <c r="N9" s="236">
        <v>7.2900000000000006E-2</v>
      </c>
      <c r="O9" s="236">
        <v>5.3E-3</v>
      </c>
      <c r="P9" s="236">
        <v>1E-4</v>
      </c>
      <c r="Q9" s="236">
        <v>5.1999999999999998E-3</v>
      </c>
      <c r="R9" s="236">
        <v>0.30299999999999999</v>
      </c>
      <c r="S9" s="236"/>
      <c r="T9" s="206">
        <f t="shared" si="0"/>
        <v>0.26932338917253884</v>
      </c>
      <c r="U9" s="237"/>
      <c r="V9" s="237">
        <f>N9*AF$9</f>
        <v>7.2900000000000006E-2</v>
      </c>
      <c r="W9" s="237">
        <f t="shared" ref="W9:W45" si="2">N9*$AF$13</f>
        <v>3.1347E-2</v>
      </c>
      <c r="X9" s="237">
        <f>L9*AF$17</f>
        <v>1.34899426599349E-2</v>
      </c>
      <c r="Y9" s="237">
        <f>M9*AF$5</f>
        <v>9.9049999999999999E-2</v>
      </c>
      <c r="Z9" s="237"/>
      <c r="AA9" s="237">
        <f t="shared" si="1"/>
        <v>0.51978694265993497</v>
      </c>
      <c r="AB9" s="47"/>
      <c r="AD9" s="211" t="s">
        <v>389</v>
      </c>
      <c r="AE9" s="210">
        <v>1.01</v>
      </c>
      <c r="AF9" s="218">
        <v>1</v>
      </c>
      <c r="AG9" s="218">
        <v>0.8</v>
      </c>
      <c r="AH9" s="218">
        <v>0.4</v>
      </c>
      <c r="AI9" s="218">
        <v>0.4</v>
      </c>
      <c r="AK9" s="154" t="s">
        <v>349</v>
      </c>
    </row>
    <row r="10" spans="2:38">
      <c r="B10" s="14" t="s">
        <v>82</v>
      </c>
      <c r="C10" s="53">
        <v>15133006</v>
      </c>
      <c r="D10" s="97">
        <v>27000</v>
      </c>
      <c r="E10" s="97">
        <v>62200</v>
      </c>
      <c r="F10" s="186">
        <v>75.62</v>
      </c>
      <c r="H10" s="235">
        <v>96</v>
      </c>
      <c r="I10" s="237">
        <v>2.9499999999999998E-2</v>
      </c>
      <c r="J10" s="235"/>
      <c r="K10" s="236">
        <v>8.6599999999999996E-2</v>
      </c>
      <c r="L10" s="236">
        <v>3.8E-3</v>
      </c>
      <c r="M10" s="236">
        <v>0.14360000000000001</v>
      </c>
      <c r="N10" s="236">
        <v>7.2800000000000004E-2</v>
      </c>
      <c r="O10" s="236">
        <v>6.7000000000000002E-3</v>
      </c>
      <c r="P10" s="236">
        <v>1E-4</v>
      </c>
      <c r="Q10" s="236">
        <v>6.6E-3</v>
      </c>
      <c r="R10" s="236">
        <v>0.31359999999999999</v>
      </c>
      <c r="S10" s="236"/>
      <c r="T10" s="206">
        <f t="shared" si="0"/>
        <v>0.27874526351322831</v>
      </c>
      <c r="U10" s="237"/>
      <c r="V10" s="237">
        <f>N10*AF$9</f>
        <v>7.2800000000000004E-2</v>
      </c>
      <c r="W10" s="237">
        <f t="shared" si="2"/>
        <v>3.1303999999999998E-2</v>
      </c>
      <c r="X10" s="237">
        <f>L10*AF$17</f>
        <v>1.5533873365985641E-2</v>
      </c>
      <c r="Y10" s="237">
        <f>M10*AF$5</f>
        <v>0.10052</v>
      </c>
      <c r="Z10" s="237"/>
      <c r="AA10" s="237">
        <f t="shared" si="1"/>
        <v>0.53375787336598557</v>
      </c>
      <c r="AB10" s="47"/>
      <c r="AD10" s="204" t="s">
        <v>390</v>
      </c>
      <c r="AE10" s="125">
        <f>(SUMPRODUCT(V4:V8, I4:I8))/SUM(I4:I8)</f>
        <v>7.4479127215849858E-2</v>
      </c>
      <c r="AF10" s="292">
        <f>(SUMPRODUCT(V9:V39, I9:I39)+AVERAGE(V40:V45)*I40)/SUM(I9:I40)</f>
        <v>5.6630718579234969E-2</v>
      </c>
      <c r="AG10" s="292"/>
      <c r="AH10" s="292"/>
      <c r="AI10" s="292"/>
      <c r="AK10" s="154"/>
    </row>
    <row r="11" spans="2:38">
      <c r="B11" s="14" t="s">
        <v>83</v>
      </c>
      <c r="C11" s="53">
        <v>11349720</v>
      </c>
      <c r="D11" s="97">
        <v>33600</v>
      </c>
      <c r="E11" s="97">
        <v>72900</v>
      </c>
      <c r="F11" s="186">
        <v>66.47</v>
      </c>
      <c r="H11" s="235">
        <v>97</v>
      </c>
      <c r="I11" s="237">
        <v>3.15E-2</v>
      </c>
      <c r="J11" s="235"/>
      <c r="K11" s="236">
        <v>9.5399999999999985E-2</v>
      </c>
      <c r="L11" s="236">
        <v>4.6999999999999993E-3</v>
      </c>
      <c r="M11" s="236">
        <v>0.1452</v>
      </c>
      <c r="N11" s="236">
        <v>7.2599999999999998E-2</v>
      </c>
      <c r="O11" s="236">
        <v>8.8000000000000005E-3</v>
      </c>
      <c r="P11" s="236">
        <v>2.0000000000000001E-4</v>
      </c>
      <c r="Q11" s="236">
        <v>8.6E-3</v>
      </c>
      <c r="R11" s="236">
        <v>0.32669999999999999</v>
      </c>
      <c r="S11" s="236"/>
      <c r="T11" s="301">
        <f t="shared" si="0"/>
        <v>0.2903892780286087</v>
      </c>
      <c r="U11" s="237"/>
      <c r="V11" s="237">
        <f>N11*AF$9</f>
        <v>7.2599999999999998E-2</v>
      </c>
      <c r="W11" s="237">
        <f t="shared" si="2"/>
        <v>3.1217999999999999E-2</v>
      </c>
      <c r="X11" s="237">
        <f>L11*AF$17</f>
        <v>1.9212948636876975E-2</v>
      </c>
      <c r="Y11" s="237">
        <f>M11*AF$5</f>
        <v>0.10163999999999999</v>
      </c>
      <c r="Z11" s="237"/>
      <c r="AA11" s="237">
        <f t="shared" si="1"/>
        <v>0.55137094863687686</v>
      </c>
      <c r="AB11" s="47"/>
      <c r="AD11" s="204" t="s">
        <v>388</v>
      </c>
      <c r="AE11" s="125">
        <f>'Insee (2026)'!U100</f>
        <v>7.3990702919969176E-2</v>
      </c>
      <c r="AF11" s="292">
        <f>'Insee (2026)'!V100</f>
        <v>5.6821405263071688E-2</v>
      </c>
      <c r="AG11" s="292"/>
      <c r="AH11" s="292"/>
      <c r="AI11" s="292"/>
      <c r="AK11" s="154"/>
    </row>
    <row r="12" spans="2:38">
      <c r="B12" s="14" t="s">
        <v>84</v>
      </c>
      <c r="C12" s="53">
        <v>7566688</v>
      </c>
      <c r="D12" s="97">
        <v>44300</v>
      </c>
      <c r="E12" s="97">
        <v>90100</v>
      </c>
      <c r="F12" s="186">
        <v>54.77</v>
      </c>
      <c r="H12" s="235">
        <v>98</v>
      </c>
      <c r="I12" s="237">
        <v>3.9800000000000002E-2</v>
      </c>
      <c r="J12" s="235"/>
      <c r="K12" s="236">
        <v>0.1065</v>
      </c>
      <c r="L12" s="236">
        <v>6.0000000000000001E-3</v>
      </c>
      <c r="M12" s="236">
        <v>0.14419999999999999</v>
      </c>
      <c r="N12" s="236">
        <v>7.2499999999999995E-2</v>
      </c>
      <c r="O12" s="236">
        <v>1.2500000000000001E-2</v>
      </c>
      <c r="P12" s="236">
        <v>2.9999999999999997E-4</v>
      </c>
      <c r="Q12" s="236">
        <v>1.2199999999999999E-2</v>
      </c>
      <c r="R12" s="236">
        <v>0.3417</v>
      </c>
      <c r="S12" s="236"/>
      <c r="T12" s="301">
        <f t="shared" si="0"/>
        <v>0.30372211907675417</v>
      </c>
      <c r="U12" s="237"/>
      <c r="V12" s="237">
        <f>N12*AF$9</f>
        <v>7.2499999999999995E-2</v>
      </c>
      <c r="W12" s="237">
        <f t="shared" si="2"/>
        <v>3.1174999999999998E-2</v>
      </c>
      <c r="X12" s="237">
        <f>L12*AF$17</f>
        <v>2.4527168472608909E-2</v>
      </c>
      <c r="Y12" s="237">
        <f>M12*AF$5</f>
        <v>0.10093999999999999</v>
      </c>
      <c r="Z12" s="237"/>
      <c r="AA12" s="237">
        <f xml:space="preserve"> V12 + W12 + R12 + X12 + Y12</f>
        <v>0.57084216847260882</v>
      </c>
      <c r="AB12" s="47"/>
      <c r="AD12" s="85"/>
      <c r="AE12" s="85"/>
      <c r="AF12" s="85"/>
      <c r="AG12" s="85"/>
      <c r="AI12" s="43"/>
      <c r="AK12" s="154"/>
    </row>
    <row r="13" spans="2:38">
      <c r="B13" s="14" t="s">
        <v>85</v>
      </c>
      <c r="C13" s="53">
        <v>3783318</v>
      </c>
      <c r="D13" s="97">
        <v>62900</v>
      </c>
      <c r="E13" s="97">
        <v>128000</v>
      </c>
      <c r="F13" s="186">
        <v>38.909999999999997</v>
      </c>
      <c r="H13" s="14">
        <v>99</v>
      </c>
      <c r="I13" s="107">
        <v>5.1000000000000004E-3</v>
      </c>
      <c r="J13" s="14"/>
      <c r="K13" s="73">
        <v>0.12130000000000001</v>
      </c>
      <c r="L13" s="73">
        <v>8.0000000000000002E-3</v>
      </c>
      <c r="M13" s="73">
        <v>0.13780000000000001</v>
      </c>
      <c r="N13" s="73">
        <v>7.22E-2</v>
      </c>
      <c r="O13" s="73">
        <v>2.1299999999999999E-2</v>
      </c>
      <c r="P13" s="73">
        <v>5.0000000000000001E-4</v>
      </c>
      <c r="Q13" s="73">
        <v>2.0799999999999999E-2</v>
      </c>
      <c r="R13" s="73">
        <v>0.36049999999999999</v>
      </c>
      <c r="S13" s="73"/>
      <c r="T13" s="206">
        <f t="shared" si="0"/>
        <v>0.32043261319042987</v>
      </c>
      <c r="U13" s="107"/>
      <c r="V13" s="107">
        <f t="shared" ref="V13:V21" si="3">N13*AG$9</f>
        <v>5.7760000000000006E-2</v>
      </c>
      <c r="W13" s="107">
        <f t="shared" si="2"/>
        <v>3.1046000000000001E-2</v>
      </c>
      <c r="X13" s="107">
        <f t="shared" ref="X13:X21" si="4">L13*AG$17</f>
        <v>1.1646859175065355E-2</v>
      </c>
      <c r="Y13" s="107">
        <f t="shared" ref="Y13:Y21" si="5">M13*AG$5</f>
        <v>6.8900000000000003E-2</v>
      </c>
      <c r="Z13" s="107"/>
      <c r="AA13" s="107">
        <f t="shared" si="1"/>
        <v>0.5298528591750653</v>
      </c>
      <c r="AB13" s="47"/>
      <c r="AD13" s="217" t="s">
        <v>391</v>
      </c>
      <c r="AE13" s="210">
        <v>0.53</v>
      </c>
      <c r="AF13" s="293">
        <v>0.43</v>
      </c>
      <c r="AG13" s="293"/>
      <c r="AH13" s="293"/>
      <c r="AI13" s="293"/>
      <c r="AK13" s="154" t="s">
        <v>349</v>
      </c>
    </row>
    <row r="14" spans="2:38">
      <c r="B14" s="14" t="s">
        <v>86</v>
      </c>
      <c r="C14" s="53">
        <v>1891637</v>
      </c>
      <c r="D14" s="97">
        <v>86300</v>
      </c>
      <c r="E14" s="97">
        <v>183000</v>
      </c>
      <c r="F14" s="186">
        <v>27.81</v>
      </c>
      <c r="H14" s="14">
        <v>99.1</v>
      </c>
      <c r="I14" s="107">
        <v>5.7000000000000002E-3</v>
      </c>
      <c r="J14" s="14"/>
      <c r="K14" s="73">
        <v>0.13239999999999999</v>
      </c>
      <c r="L14" s="73">
        <v>9.4999999999999998E-3</v>
      </c>
      <c r="M14" s="73">
        <v>0.13159999999999999</v>
      </c>
      <c r="N14" s="73">
        <v>7.1399999999999991E-2</v>
      </c>
      <c r="O14" s="73">
        <v>3.1099999999999999E-2</v>
      </c>
      <c r="P14" s="73">
        <v>7.000000000000001E-4</v>
      </c>
      <c r="Q14" s="73">
        <v>3.04E-2</v>
      </c>
      <c r="R14" s="73">
        <v>0.376</v>
      </c>
      <c r="S14" s="73"/>
      <c r="T14" s="206">
        <f t="shared" si="0"/>
        <v>0.33420988227351356</v>
      </c>
      <c r="U14" s="107"/>
      <c r="V14" s="107">
        <f t="shared" si="3"/>
        <v>5.7119999999999997E-2</v>
      </c>
      <c r="W14" s="107">
        <f t="shared" si="2"/>
        <v>3.0701999999999997E-2</v>
      </c>
      <c r="X14" s="107">
        <f t="shared" si="4"/>
        <v>1.3830645270390109E-2</v>
      </c>
      <c r="Y14" s="107">
        <f t="shared" si="5"/>
        <v>6.5799999999999997E-2</v>
      </c>
      <c r="Z14" s="107"/>
      <c r="AA14" s="107">
        <f t="shared" si="1"/>
        <v>0.54345264527039017</v>
      </c>
      <c r="AB14" s="47"/>
      <c r="AD14" s="217" t="s">
        <v>392</v>
      </c>
      <c r="AE14" s="125">
        <f>(SUMPRODUCT(W4:W8, I4:I8))/SUM(I4:I8)</f>
        <v>3.9083106360792499E-2</v>
      </c>
      <c r="AF14" s="292">
        <f>(SUMPRODUCT(W9:W39, I9:I39)+AVERAGE(W40:W45)*I40)/SUM(I9:I40)</f>
        <v>2.8100453005464474E-2</v>
      </c>
      <c r="AG14" s="292"/>
      <c r="AH14" s="292"/>
      <c r="AI14" s="292"/>
      <c r="AJ14" s="188"/>
      <c r="AK14" s="43"/>
      <c r="AL14" s="26"/>
    </row>
    <row r="15" spans="2:38">
      <c r="B15" s="14" t="s">
        <v>53</v>
      </c>
      <c r="C15" s="53">
        <v>378333</v>
      </c>
      <c r="D15" s="97">
        <v>180000</v>
      </c>
      <c r="E15" s="97">
        <v>455000</v>
      </c>
      <c r="F15" s="186">
        <v>13.83</v>
      </c>
      <c r="H15" s="14">
        <v>99.2</v>
      </c>
      <c r="I15" s="107">
        <v>6.3E-3</v>
      </c>
      <c r="J15" s="14"/>
      <c r="K15" s="73">
        <v>0.1356</v>
      </c>
      <c r="L15" s="73">
        <v>9.4999999999999998E-3</v>
      </c>
      <c r="M15" s="73">
        <v>0.13100000000000001</v>
      </c>
      <c r="N15" s="73">
        <v>7.0999999999999994E-2</v>
      </c>
      <c r="O15" s="73">
        <v>3.4200000000000001E-2</v>
      </c>
      <c r="P15" s="73">
        <v>8.0000000000000004E-4</v>
      </c>
      <c r="Q15" s="73">
        <v>3.3399999999999999E-2</v>
      </c>
      <c r="R15" s="73">
        <v>0.38130000000000003</v>
      </c>
      <c r="S15" s="73"/>
      <c r="T15" s="206">
        <f t="shared" si="0"/>
        <v>0.33892081944385832</v>
      </c>
      <c r="U15" s="107"/>
      <c r="V15" s="107">
        <f t="shared" si="3"/>
        <v>5.6799999999999996E-2</v>
      </c>
      <c r="W15" s="107">
        <f t="shared" si="2"/>
        <v>3.0529999999999998E-2</v>
      </c>
      <c r="X15" s="107">
        <f t="shared" si="4"/>
        <v>1.3830645270390109E-2</v>
      </c>
      <c r="Y15" s="107">
        <f t="shared" si="5"/>
        <v>6.5500000000000003E-2</v>
      </c>
      <c r="Z15" s="107"/>
      <c r="AA15" s="107">
        <f t="shared" si="1"/>
        <v>0.54796064527039012</v>
      </c>
      <c r="AB15" s="47"/>
      <c r="AD15" s="217" t="s">
        <v>388</v>
      </c>
      <c r="AE15" s="125">
        <f>'Insee (2026)'!U101</f>
        <v>3.9087454334488562E-2</v>
      </c>
      <c r="AF15" s="292">
        <f>'Insee (2026)'!V101</f>
        <v>2.7641358885546023E-2</v>
      </c>
      <c r="AG15" s="292"/>
      <c r="AH15" s="292"/>
      <c r="AI15" s="292"/>
      <c r="AK15" s="43"/>
    </row>
    <row r="16" spans="2:38">
      <c r="B16" s="14" t="s">
        <v>87</v>
      </c>
      <c r="C16" s="53">
        <v>37833</v>
      </c>
      <c r="D16" s="97">
        <v>626000</v>
      </c>
      <c r="E16" s="97">
        <v>2035000</v>
      </c>
      <c r="F16" s="186">
        <v>6.19</v>
      </c>
      <c r="H16" s="14">
        <v>99.3</v>
      </c>
      <c r="I16" s="107">
        <v>6.7000000000000002E-3</v>
      </c>
      <c r="J16" s="14"/>
      <c r="K16" s="73">
        <v>0.1406</v>
      </c>
      <c r="L16" s="73">
        <v>1.01E-2</v>
      </c>
      <c r="M16" s="73">
        <v>0.13009999999999999</v>
      </c>
      <c r="N16" s="73">
        <v>7.0999999999999994E-2</v>
      </c>
      <c r="O16" s="73">
        <v>3.7200000000000004E-2</v>
      </c>
      <c r="P16" s="73">
        <v>8.9999999999999998E-4</v>
      </c>
      <c r="Q16" s="73">
        <v>3.6299999999999999E-2</v>
      </c>
      <c r="R16" s="73">
        <v>0.38909999999999995</v>
      </c>
      <c r="S16" s="73"/>
      <c r="T16" s="206">
        <f t="shared" si="0"/>
        <v>0.34585389678889389</v>
      </c>
      <c r="U16" s="107"/>
      <c r="V16" s="107">
        <f t="shared" si="3"/>
        <v>5.6799999999999996E-2</v>
      </c>
      <c r="W16" s="107">
        <f t="shared" si="2"/>
        <v>3.0529999999999998E-2</v>
      </c>
      <c r="X16" s="107">
        <f t="shared" si="4"/>
        <v>1.470415970852001E-2</v>
      </c>
      <c r="Y16" s="107">
        <f t="shared" si="5"/>
        <v>6.5049999999999997E-2</v>
      </c>
      <c r="Z16" s="107"/>
      <c r="AA16" s="107">
        <f t="shared" si="1"/>
        <v>0.55618415970851998</v>
      </c>
      <c r="AB16" s="47"/>
      <c r="AD16" s="47"/>
      <c r="AE16" s="154"/>
      <c r="AF16" s="85"/>
      <c r="AG16" s="43"/>
      <c r="AH16" s="43"/>
      <c r="AI16" s="43"/>
      <c r="AK16" s="43"/>
    </row>
    <row r="17" spans="2:37">
      <c r="B17" s="14" t="s">
        <v>88</v>
      </c>
      <c r="C17" s="53">
        <v>3783</v>
      </c>
      <c r="D17" s="97">
        <v>2592000</v>
      </c>
      <c r="E17" s="97">
        <v>10875000</v>
      </c>
      <c r="F17" s="186">
        <v>3.31</v>
      </c>
      <c r="H17" s="14">
        <v>99.4</v>
      </c>
      <c r="I17" s="107">
        <v>6.7999999999999996E-3</v>
      </c>
      <c r="J17" s="14"/>
      <c r="K17" s="73">
        <v>0.14429999999999998</v>
      </c>
      <c r="L17" s="73">
        <v>1.09E-2</v>
      </c>
      <c r="M17" s="73">
        <v>0.127</v>
      </c>
      <c r="N17" s="73">
        <v>7.0000000000000007E-2</v>
      </c>
      <c r="O17" s="73">
        <v>4.2599999999999999E-2</v>
      </c>
      <c r="P17" s="73">
        <v>8.9999999999999998E-4</v>
      </c>
      <c r="Q17" s="73">
        <v>4.1700000000000001E-2</v>
      </c>
      <c r="R17" s="73">
        <v>0.39479999999999998</v>
      </c>
      <c r="S17" s="73"/>
      <c r="T17" s="206">
        <f t="shared" si="0"/>
        <v>0.3509203763871892</v>
      </c>
      <c r="U17" s="107"/>
      <c r="V17" s="107">
        <f t="shared" si="3"/>
        <v>5.6000000000000008E-2</v>
      </c>
      <c r="W17" s="107">
        <f t="shared" si="2"/>
        <v>3.0100000000000002E-2</v>
      </c>
      <c r="X17" s="107">
        <f t="shared" si="4"/>
        <v>1.5868845626026546E-2</v>
      </c>
      <c r="Y17" s="107">
        <f t="shared" si="5"/>
        <v>6.3500000000000001E-2</v>
      </c>
      <c r="Z17" s="107"/>
      <c r="AA17" s="107">
        <f t="shared" si="1"/>
        <v>0.56026884562602652</v>
      </c>
      <c r="AB17" s="47"/>
      <c r="AD17" s="220" t="s">
        <v>393</v>
      </c>
      <c r="AE17" s="221">
        <f>'Bozio et al. (2020)'!L6</f>
        <v>4.0878614121014847</v>
      </c>
      <c r="AF17" s="221">
        <f>'Bozio et al. (2020)'!L6</f>
        <v>4.0878614121014847</v>
      </c>
      <c r="AG17" s="221">
        <f>'Bozio et al. (2020)'!L7</f>
        <v>1.4558573968831694</v>
      </c>
      <c r="AH17" s="221">
        <f>'Bozio et al. (2020)'!L8</f>
        <v>1.223898079536192</v>
      </c>
      <c r="AI17" s="221">
        <f>'Bozio et al. (2020)'!L9</f>
        <v>0.88039752283655248</v>
      </c>
      <c r="AK17" s="154" t="s">
        <v>350</v>
      </c>
    </row>
    <row r="18" spans="2:37">
      <c r="B18" s="14" t="s">
        <v>89</v>
      </c>
      <c r="C18" s="53">
        <v>378</v>
      </c>
      <c r="D18" s="97">
        <v>14876000</v>
      </c>
      <c r="E18" s="97">
        <v>64768000</v>
      </c>
      <c r="F18" s="186">
        <v>1.97</v>
      </c>
      <c r="H18" s="14">
        <v>99.5</v>
      </c>
      <c r="I18" s="107">
        <v>7.3000000000000001E-3</v>
      </c>
      <c r="J18" s="14"/>
      <c r="K18" s="73">
        <v>0.14829999999999999</v>
      </c>
      <c r="L18" s="73">
        <v>1.1000000000000001E-2</v>
      </c>
      <c r="M18" s="73">
        <v>0.12470000000000001</v>
      </c>
      <c r="N18" s="73">
        <v>6.93E-2</v>
      </c>
      <c r="O18" s="73">
        <v>4.7400000000000005E-2</v>
      </c>
      <c r="P18" s="73">
        <v>1.1000000000000001E-3</v>
      </c>
      <c r="Q18" s="73">
        <v>4.6300000000000001E-2</v>
      </c>
      <c r="R18" s="73">
        <v>0.4007</v>
      </c>
      <c r="S18" s="73"/>
      <c r="T18" s="206">
        <f t="shared" si="0"/>
        <v>0.35616462719945979</v>
      </c>
      <c r="U18" s="107"/>
      <c r="V18" s="107">
        <f t="shared" si="3"/>
        <v>5.5440000000000003E-2</v>
      </c>
      <c r="W18" s="107">
        <f t="shared" si="2"/>
        <v>2.9798999999999999E-2</v>
      </c>
      <c r="X18" s="107">
        <f t="shared" si="4"/>
        <v>1.6014431365714864E-2</v>
      </c>
      <c r="Y18" s="107">
        <f t="shared" si="5"/>
        <v>6.2350000000000003E-2</v>
      </c>
      <c r="Z18" s="107"/>
      <c r="AA18" s="107">
        <f t="shared" si="1"/>
        <v>0.56430343136571492</v>
      </c>
      <c r="AB18" s="47"/>
      <c r="AH18" s="186"/>
      <c r="AI18" s="43"/>
    </row>
    <row r="19" spans="2:37">
      <c r="B19" s="14" t="s">
        <v>90</v>
      </c>
      <c r="C19" s="53">
        <v>75</v>
      </c>
      <c r="D19" s="97">
        <v>61540000</v>
      </c>
      <c r="E19" s="97">
        <v>217289000</v>
      </c>
      <c r="F19" s="186">
        <v>1.31</v>
      </c>
      <c r="H19" s="14">
        <v>99.6</v>
      </c>
      <c r="I19" s="107">
        <v>8.3999999999999995E-3</v>
      </c>
      <c r="J19" s="14"/>
      <c r="K19" s="73">
        <v>0.15229999999999999</v>
      </c>
      <c r="L19" s="73">
        <v>1.18E-2</v>
      </c>
      <c r="M19" s="73">
        <v>0.12130000000000001</v>
      </c>
      <c r="N19" s="73">
        <v>6.8400000000000002E-2</v>
      </c>
      <c r="O19" s="73">
        <v>5.4100000000000002E-2</v>
      </c>
      <c r="P19" s="73">
        <v>1.4000000000000002E-3</v>
      </c>
      <c r="Q19" s="73">
        <v>5.2699999999999997E-2</v>
      </c>
      <c r="R19" s="73">
        <v>0.4078</v>
      </c>
      <c r="S19" s="73"/>
      <c r="T19" s="206">
        <f t="shared" si="0"/>
        <v>0.36247550529558198</v>
      </c>
      <c r="U19" s="107"/>
      <c r="V19" s="107">
        <f t="shared" si="3"/>
        <v>5.4720000000000005E-2</v>
      </c>
      <c r="W19" s="107">
        <f t="shared" si="2"/>
        <v>2.9412000000000001E-2</v>
      </c>
      <c r="X19" s="107">
        <f t="shared" si="4"/>
        <v>1.7179117283221398E-2</v>
      </c>
      <c r="Y19" s="107">
        <f t="shared" si="5"/>
        <v>6.0650000000000003E-2</v>
      </c>
      <c r="Z19" s="107"/>
      <c r="AA19" s="107">
        <f t="shared" si="1"/>
        <v>0.56976111728322143</v>
      </c>
      <c r="AB19" s="47"/>
      <c r="AE19" s="216"/>
      <c r="AF19" s="216"/>
      <c r="AH19" s="186"/>
      <c r="AI19" s="43"/>
      <c r="AK19" s="203"/>
    </row>
    <row r="20" spans="2:37">
      <c r="B20" s="47"/>
      <c r="C20" s="47"/>
      <c r="D20" s="43"/>
      <c r="E20" s="43"/>
      <c r="F20" s="43"/>
      <c r="H20" s="14">
        <v>99.7</v>
      </c>
      <c r="I20" s="107">
        <v>1.0500000000000001E-2</v>
      </c>
      <c r="J20" s="14"/>
      <c r="K20" s="73">
        <v>0.15640000000000001</v>
      </c>
      <c r="L20" s="73">
        <v>1.21E-2</v>
      </c>
      <c r="M20" s="73">
        <v>0.1153</v>
      </c>
      <c r="N20" s="73">
        <v>6.6600000000000006E-2</v>
      </c>
      <c r="O20" s="73">
        <v>6.4299999999999996E-2</v>
      </c>
      <c r="P20" s="73">
        <v>1.5E-3</v>
      </c>
      <c r="Q20" s="73">
        <v>6.2800000000000009E-2</v>
      </c>
      <c r="R20" s="73">
        <v>0.41470000000000001</v>
      </c>
      <c r="S20" s="73"/>
      <c r="T20" s="206">
        <f t="shared" si="0"/>
        <v>0.36860861217772889</v>
      </c>
      <c r="U20" s="107"/>
      <c r="V20" s="107">
        <f t="shared" si="3"/>
        <v>5.3280000000000008E-2</v>
      </c>
      <c r="W20" s="107">
        <f t="shared" si="2"/>
        <v>2.8638000000000004E-2</v>
      </c>
      <c r="X20" s="107">
        <f t="shared" si="4"/>
        <v>1.7615874502286348E-2</v>
      </c>
      <c r="Y20" s="107">
        <f t="shared" si="5"/>
        <v>5.765E-2</v>
      </c>
      <c r="Z20" s="107"/>
      <c r="AA20" s="107">
        <f t="shared" si="1"/>
        <v>0.57188387450228628</v>
      </c>
      <c r="AB20" s="47"/>
      <c r="AE20" s="63"/>
      <c r="AF20" s="63"/>
      <c r="AH20" s="46"/>
      <c r="AI20" s="46"/>
    </row>
    <row r="21" spans="2:37">
      <c r="B21" s="2" t="s">
        <v>98</v>
      </c>
      <c r="C21" s="47"/>
      <c r="D21" s="43"/>
      <c r="E21" s="43"/>
      <c r="F21" s="43"/>
      <c r="H21" s="14">
        <v>99.8</v>
      </c>
      <c r="I21" s="107">
        <v>1.41E-2</v>
      </c>
      <c r="J21" s="14"/>
      <c r="K21" s="73">
        <v>0.16120000000000001</v>
      </c>
      <c r="L21" s="73">
        <v>1.34E-2</v>
      </c>
      <c r="M21" s="73">
        <v>0.10710000000000001</v>
      </c>
      <c r="N21" s="73">
        <v>6.5299999999999997E-2</v>
      </c>
      <c r="O21" s="73">
        <v>7.7499999999999999E-2</v>
      </c>
      <c r="P21" s="73">
        <v>2E-3</v>
      </c>
      <c r="Q21" s="73">
        <v>7.5499999999999998E-2</v>
      </c>
      <c r="R21" s="73">
        <v>0.42450000000000004</v>
      </c>
      <c r="S21" s="73"/>
      <c r="T21" s="206">
        <f t="shared" si="0"/>
        <v>0.37731940166251732</v>
      </c>
      <c r="U21" s="107"/>
      <c r="V21" s="107">
        <f t="shared" si="3"/>
        <v>5.2240000000000002E-2</v>
      </c>
      <c r="W21" s="107">
        <f t="shared" si="2"/>
        <v>2.8079E-2</v>
      </c>
      <c r="X21" s="107">
        <f t="shared" si="4"/>
        <v>1.9508489118234471E-2</v>
      </c>
      <c r="Y21" s="107">
        <f t="shared" si="5"/>
        <v>5.3550000000000007E-2</v>
      </c>
      <c r="Z21" s="107"/>
      <c r="AA21" s="107">
        <f t="shared" si="1"/>
        <v>0.57787748911823444</v>
      </c>
      <c r="AB21" s="47"/>
      <c r="AE21" s="63"/>
      <c r="AF21" s="63"/>
    </row>
    <row r="22" spans="2:37">
      <c r="H22" s="14">
        <v>99.9</v>
      </c>
      <c r="I22" s="107">
        <v>1.8E-3</v>
      </c>
      <c r="J22" s="14"/>
      <c r="K22" s="73">
        <v>0.16300000000000001</v>
      </c>
      <c r="L22" s="73">
        <v>1.3500000000000002E-2</v>
      </c>
      <c r="M22" s="73">
        <v>9.9499999999999991E-2</v>
      </c>
      <c r="N22" s="73">
        <v>6.1500000000000006E-2</v>
      </c>
      <c r="O22" s="73">
        <v>9.9000000000000005E-2</v>
      </c>
      <c r="P22" s="73">
        <v>2.8000000000000004E-3</v>
      </c>
      <c r="Q22" s="73">
        <v>9.6099999999999991E-2</v>
      </c>
      <c r="R22" s="73">
        <v>0.4365</v>
      </c>
      <c r="S22" s="73"/>
      <c r="T22" s="206">
        <f t="shared" si="0"/>
        <v>0.38798567450103366</v>
      </c>
      <c r="U22" s="107"/>
      <c r="V22" s="107">
        <f t="shared" ref="V22:V30" si="6">N22*AH$9</f>
        <v>2.4600000000000004E-2</v>
      </c>
      <c r="W22" s="107">
        <f t="shared" si="2"/>
        <v>2.6445000000000003E-2</v>
      </c>
      <c r="X22" s="107">
        <f t="shared" ref="X22:X45" si="7">L22*AH$17</f>
        <v>1.6522624073738595E-2</v>
      </c>
      <c r="Y22" s="107">
        <f t="shared" ref="Y22:Y30" si="8">M22*AH$5</f>
        <v>4.9749999999999996E-2</v>
      </c>
      <c r="Z22" s="107"/>
      <c r="AA22" s="107">
        <f t="shared" si="1"/>
        <v>0.55381762407373858</v>
      </c>
      <c r="AB22" s="47"/>
      <c r="AC22" s="2"/>
    </row>
    <row r="23" spans="2:37">
      <c r="H23" s="14">
        <v>99.91</v>
      </c>
      <c r="I23" s="107">
        <v>2E-3</v>
      </c>
      <c r="J23" s="14"/>
      <c r="K23" s="73">
        <v>0.16510000000000002</v>
      </c>
      <c r="L23" s="73">
        <v>1.44E-2</v>
      </c>
      <c r="M23" s="73">
        <v>9.2200000000000004E-2</v>
      </c>
      <c r="N23" s="73">
        <v>5.91E-2</v>
      </c>
      <c r="O23" s="73">
        <v>0.1167</v>
      </c>
      <c r="P23" s="73">
        <v>3.4999999999999996E-3</v>
      </c>
      <c r="Q23" s="73">
        <v>0.11320000000000001</v>
      </c>
      <c r="R23" s="73">
        <v>0.44750000000000001</v>
      </c>
      <c r="S23" s="73"/>
      <c r="T23" s="206">
        <f t="shared" si="0"/>
        <v>0.39776309126967369</v>
      </c>
      <c r="U23" s="107"/>
      <c r="V23" s="107">
        <f t="shared" si="6"/>
        <v>2.3640000000000001E-2</v>
      </c>
      <c r="W23" s="107">
        <f t="shared" si="2"/>
        <v>2.5412999999999998E-2</v>
      </c>
      <c r="X23" s="107">
        <f t="shared" si="7"/>
        <v>1.7624132345321165E-2</v>
      </c>
      <c r="Y23" s="107">
        <f t="shared" si="8"/>
        <v>4.6100000000000002E-2</v>
      </c>
      <c r="Z23" s="107"/>
      <c r="AA23" s="107">
        <f t="shared" si="1"/>
        <v>0.56027713234532117</v>
      </c>
      <c r="AB23" s="47"/>
    </row>
    <row r="24" spans="2:37">
      <c r="H24" s="14">
        <v>99.92</v>
      </c>
      <c r="I24" s="107">
        <v>2.0999999999999999E-3</v>
      </c>
      <c r="J24" s="14"/>
      <c r="K24" s="73">
        <v>0.1628</v>
      </c>
      <c r="L24" s="73">
        <v>1.38E-2</v>
      </c>
      <c r="M24" s="73">
        <v>9.2399999999999996E-2</v>
      </c>
      <c r="N24" s="73">
        <v>5.7500000000000002E-2</v>
      </c>
      <c r="O24" s="73">
        <v>0.1207</v>
      </c>
      <c r="P24" s="73">
        <v>3.5999999999999999E-3</v>
      </c>
      <c r="Q24" s="73">
        <v>0.11710000000000001</v>
      </c>
      <c r="R24" s="73">
        <v>0.44719999999999999</v>
      </c>
      <c r="S24" s="73"/>
      <c r="T24" s="206">
        <f t="shared" si="0"/>
        <v>0.3974964344487108</v>
      </c>
      <c r="U24" s="107"/>
      <c r="V24" s="107">
        <f t="shared" si="6"/>
        <v>2.3000000000000003E-2</v>
      </c>
      <c r="W24" s="107">
        <f t="shared" si="2"/>
        <v>2.4725E-2</v>
      </c>
      <c r="X24" s="107">
        <f t="shared" si="7"/>
        <v>1.6889793497599448E-2</v>
      </c>
      <c r="Y24" s="107">
        <f t="shared" si="8"/>
        <v>4.6199999999999998E-2</v>
      </c>
      <c r="Z24" s="107"/>
      <c r="AA24" s="107">
        <f t="shared" si="1"/>
        <v>0.55801479349759942</v>
      </c>
      <c r="AB24" s="47"/>
      <c r="AC24" s="47"/>
    </row>
    <row r="25" spans="2:37">
      <c r="H25" s="14">
        <v>99.93</v>
      </c>
      <c r="I25" s="107">
        <v>2.3E-3</v>
      </c>
      <c r="J25" s="14"/>
      <c r="K25" s="73">
        <v>0.15609999999999999</v>
      </c>
      <c r="L25" s="73">
        <v>1.44E-2</v>
      </c>
      <c r="M25" s="73">
        <v>8.5699999999999998E-2</v>
      </c>
      <c r="N25" s="73">
        <v>5.5099999999999996E-2</v>
      </c>
      <c r="O25" s="73">
        <v>0.12939999999999999</v>
      </c>
      <c r="P25" s="73">
        <v>4.1999999999999997E-3</v>
      </c>
      <c r="Q25" s="73">
        <v>0.12520000000000001</v>
      </c>
      <c r="R25" s="73">
        <v>0.44060000000000005</v>
      </c>
      <c r="S25" s="73"/>
      <c r="T25" s="206">
        <f t="shared" si="0"/>
        <v>0.39162998438752683</v>
      </c>
      <c r="U25" s="107"/>
      <c r="V25" s="107">
        <f t="shared" si="6"/>
        <v>2.2040000000000001E-2</v>
      </c>
      <c r="W25" s="107">
        <f t="shared" si="2"/>
        <v>2.3692999999999999E-2</v>
      </c>
      <c r="X25" s="107">
        <f t="shared" si="7"/>
        <v>1.7624132345321165E-2</v>
      </c>
      <c r="Y25" s="107">
        <f t="shared" si="8"/>
        <v>4.2849999999999999E-2</v>
      </c>
      <c r="Z25" s="107"/>
      <c r="AA25" s="107">
        <f t="shared" si="1"/>
        <v>0.54680713234532119</v>
      </c>
      <c r="AB25" s="47"/>
      <c r="AC25" s="47"/>
    </row>
    <row r="26" spans="2:37">
      <c r="H26" s="14">
        <v>99.94</v>
      </c>
      <c r="I26" s="107">
        <v>2.5999999999999999E-3</v>
      </c>
      <c r="J26" s="14"/>
      <c r="K26" s="73">
        <v>0.15460000000000002</v>
      </c>
      <c r="L26" s="73">
        <v>1.4800000000000001E-2</v>
      </c>
      <c r="M26" s="73">
        <v>8.1900000000000001E-2</v>
      </c>
      <c r="N26" s="73">
        <v>5.5099999999999996E-2</v>
      </c>
      <c r="O26" s="73">
        <v>0.13699999999999998</v>
      </c>
      <c r="P26" s="73">
        <v>4.6999999999999993E-3</v>
      </c>
      <c r="Q26" s="73">
        <v>0.1323</v>
      </c>
      <c r="R26" s="73">
        <v>0.44350000000000001</v>
      </c>
      <c r="S26" s="73"/>
      <c r="T26" s="206">
        <f t="shared" si="0"/>
        <v>0.39420766699016824</v>
      </c>
      <c r="U26" s="107"/>
      <c r="V26" s="107">
        <f t="shared" si="6"/>
        <v>2.2040000000000001E-2</v>
      </c>
      <c r="W26" s="107">
        <f t="shared" si="2"/>
        <v>2.3692999999999999E-2</v>
      </c>
      <c r="X26" s="107">
        <f t="shared" si="7"/>
        <v>1.8113691577135643E-2</v>
      </c>
      <c r="Y26" s="107">
        <f t="shared" si="8"/>
        <v>4.095E-2</v>
      </c>
      <c r="Z26" s="107"/>
      <c r="AA26" s="107">
        <f t="shared" si="1"/>
        <v>0.54829669157713568</v>
      </c>
      <c r="AB26" s="47"/>
      <c r="AC26" s="47"/>
    </row>
    <row r="27" spans="2:37">
      <c r="H27" s="14">
        <v>99.95</v>
      </c>
      <c r="I27" s="107">
        <v>2.8999999999999998E-3</v>
      </c>
      <c r="J27" s="14"/>
      <c r="K27" s="73">
        <v>0.15439999999999998</v>
      </c>
      <c r="L27" s="73">
        <v>1.5100000000000001E-2</v>
      </c>
      <c r="M27" s="73">
        <v>7.6200000000000004E-2</v>
      </c>
      <c r="N27" s="73">
        <v>5.3399999999999996E-2</v>
      </c>
      <c r="O27" s="73">
        <v>0.1406</v>
      </c>
      <c r="P27" s="73">
        <v>4.7999999999999996E-3</v>
      </c>
      <c r="Q27" s="73">
        <v>0.13589999999999999</v>
      </c>
      <c r="R27" s="73">
        <v>0.43979999999999997</v>
      </c>
      <c r="S27" s="73"/>
      <c r="T27" s="206">
        <f t="shared" si="0"/>
        <v>0.39091889953162567</v>
      </c>
      <c r="U27" s="107"/>
      <c r="V27" s="107">
        <f t="shared" si="6"/>
        <v>2.1360000000000001E-2</v>
      </c>
      <c r="W27" s="107">
        <f t="shared" si="2"/>
        <v>2.2961999999999996E-2</v>
      </c>
      <c r="X27" s="107">
        <f t="shared" si="7"/>
        <v>1.8480861000996499E-2</v>
      </c>
      <c r="Y27" s="107">
        <f t="shared" si="8"/>
        <v>3.8100000000000002E-2</v>
      </c>
      <c r="Z27" s="107"/>
      <c r="AA27" s="107">
        <f t="shared" si="1"/>
        <v>0.54070286100099652</v>
      </c>
      <c r="AB27" s="47"/>
      <c r="AC27" s="47"/>
    </row>
    <row r="28" spans="2:37">
      <c r="H28" s="14">
        <v>99.96</v>
      </c>
      <c r="I28" s="107">
        <v>3.3999999999999998E-3</v>
      </c>
      <c r="J28" s="14"/>
      <c r="K28" s="73">
        <v>0.15210000000000001</v>
      </c>
      <c r="L28" s="73">
        <v>1.4800000000000001E-2</v>
      </c>
      <c r="M28" s="73">
        <v>7.3899999999999993E-2</v>
      </c>
      <c r="N28" s="73">
        <v>5.21E-2</v>
      </c>
      <c r="O28" s="73">
        <v>0.14880000000000002</v>
      </c>
      <c r="P28" s="73">
        <v>4.6999999999999993E-3</v>
      </c>
      <c r="Q28" s="73">
        <v>0.14410000000000001</v>
      </c>
      <c r="R28" s="73">
        <v>0.44159999999999999</v>
      </c>
      <c r="S28" s="73"/>
      <c r="T28" s="206">
        <f t="shared" si="0"/>
        <v>0.39251884045740315</v>
      </c>
      <c r="U28" s="107"/>
      <c r="V28" s="107">
        <f t="shared" si="6"/>
        <v>2.0840000000000001E-2</v>
      </c>
      <c r="W28" s="107">
        <f t="shared" si="2"/>
        <v>2.2402999999999999E-2</v>
      </c>
      <c r="X28" s="107">
        <f t="shared" si="7"/>
        <v>1.8113691577135643E-2</v>
      </c>
      <c r="Y28" s="107">
        <f t="shared" si="8"/>
        <v>3.6949999999999997E-2</v>
      </c>
      <c r="Z28" s="107"/>
      <c r="AA28" s="107">
        <f t="shared" si="1"/>
        <v>0.53990669157713567</v>
      </c>
      <c r="AB28" s="47"/>
      <c r="AC28" s="47"/>
    </row>
    <row r="29" spans="2:37">
      <c r="H29" s="14">
        <v>99.97</v>
      </c>
      <c r="I29" s="107">
        <v>4.3E-3</v>
      </c>
      <c r="J29" s="14"/>
      <c r="K29" s="73">
        <v>0.1462</v>
      </c>
      <c r="L29" s="73">
        <v>1.3899999999999999E-2</v>
      </c>
      <c r="M29" s="73">
        <v>6.7400000000000002E-2</v>
      </c>
      <c r="N29" s="73">
        <v>4.82E-2</v>
      </c>
      <c r="O29" s="73">
        <v>0.1573</v>
      </c>
      <c r="P29" s="73">
        <v>7.0999999999999995E-3</v>
      </c>
      <c r="Q29" s="73">
        <v>0.15010000000000001</v>
      </c>
      <c r="R29" s="73">
        <v>0.43290000000000001</v>
      </c>
      <c r="S29" s="73"/>
      <c r="T29" s="206">
        <f t="shared" si="0"/>
        <v>0.38478579264947876</v>
      </c>
      <c r="U29" s="107"/>
      <c r="V29" s="107">
        <f t="shared" si="6"/>
        <v>1.9280000000000002E-2</v>
      </c>
      <c r="W29" s="107">
        <f t="shared" si="2"/>
        <v>2.0725999999999998E-2</v>
      </c>
      <c r="X29" s="107">
        <f t="shared" si="7"/>
        <v>1.7012183305553069E-2</v>
      </c>
      <c r="Y29" s="107">
        <f t="shared" si="8"/>
        <v>3.3700000000000001E-2</v>
      </c>
      <c r="Z29" s="107"/>
      <c r="AA29" s="107">
        <f t="shared" si="1"/>
        <v>0.52361818330555299</v>
      </c>
      <c r="AB29" s="47"/>
      <c r="AC29" s="47"/>
    </row>
    <row r="30" spans="2:37">
      <c r="H30" s="14">
        <v>99.98</v>
      </c>
      <c r="I30" s="107">
        <v>5.8999999999999999E-3</v>
      </c>
      <c r="J30" s="14"/>
      <c r="K30" s="73">
        <v>0.1371</v>
      </c>
      <c r="L30" s="73">
        <v>1.52E-2</v>
      </c>
      <c r="M30" s="73">
        <v>5.8099999999999999E-2</v>
      </c>
      <c r="N30" s="73">
        <v>4.5599999999999995E-2</v>
      </c>
      <c r="O30" s="73">
        <v>0.17079999999999998</v>
      </c>
      <c r="P30" s="73">
        <v>7.7000000000000002E-3</v>
      </c>
      <c r="Q30" s="73">
        <v>0.16300000000000001</v>
      </c>
      <c r="R30" s="73">
        <v>0.42680000000000001</v>
      </c>
      <c r="S30" s="73"/>
      <c r="T30" s="206">
        <f t="shared" si="0"/>
        <v>0.37936377062323295</v>
      </c>
      <c r="U30" s="107"/>
      <c r="V30" s="107">
        <f t="shared" si="6"/>
        <v>1.8239999999999999E-2</v>
      </c>
      <c r="W30" s="107">
        <f t="shared" si="2"/>
        <v>1.9607999999999997E-2</v>
      </c>
      <c r="X30" s="107">
        <f t="shared" si="7"/>
        <v>1.8603250808950117E-2</v>
      </c>
      <c r="Y30" s="107">
        <f t="shared" si="8"/>
        <v>2.9049999999999999E-2</v>
      </c>
      <c r="Z30" s="107"/>
      <c r="AA30" s="107">
        <f t="shared" si="1"/>
        <v>0.51230125080895017</v>
      </c>
      <c r="AB30" s="47"/>
      <c r="AC30" s="47"/>
    </row>
    <row r="31" spans="2:37">
      <c r="H31" s="14">
        <v>99.99</v>
      </c>
      <c r="I31" s="107">
        <v>8.0000000000000004E-4</v>
      </c>
      <c r="J31" s="14"/>
      <c r="K31" s="73">
        <v>0.1241</v>
      </c>
      <c r="L31" s="73">
        <v>1.41E-2</v>
      </c>
      <c r="M31" s="73">
        <v>4.6300000000000001E-2</v>
      </c>
      <c r="N31" s="73">
        <v>4.2099999999999999E-2</v>
      </c>
      <c r="O31" s="73">
        <v>0.19020000000000001</v>
      </c>
      <c r="P31" s="73">
        <v>9.300000000000001E-3</v>
      </c>
      <c r="Q31" s="73">
        <v>0.18090000000000001</v>
      </c>
      <c r="R31" s="73">
        <v>0.4168</v>
      </c>
      <c r="S31" s="73"/>
      <c r="T31" s="206">
        <f t="shared" si="0"/>
        <v>0.37047520992446925</v>
      </c>
      <c r="U31" s="107"/>
      <c r="V31" s="107">
        <f t="shared" ref="V31:V45" si="9">N31*AI$9</f>
        <v>1.6840000000000001E-2</v>
      </c>
      <c r="W31" s="107">
        <f t="shared" si="2"/>
        <v>1.8102999999999998E-2</v>
      </c>
      <c r="X31" s="107">
        <f t="shared" si="7"/>
        <v>1.7256962921460308E-2</v>
      </c>
      <c r="Y31" s="107">
        <f t="shared" ref="Y31:Y45" si="10">M31*AI$5</f>
        <v>2.315E-2</v>
      </c>
      <c r="Z31" s="107"/>
      <c r="AA31" s="107">
        <f t="shared" si="1"/>
        <v>0.49214996292146029</v>
      </c>
      <c r="AB31" s="47"/>
      <c r="AC31" s="47"/>
    </row>
    <row r="32" spans="2:37">
      <c r="H32" s="14">
        <v>99.991</v>
      </c>
      <c r="I32" s="107">
        <v>8.0000000000000004E-4</v>
      </c>
      <c r="J32" s="14"/>
      <c r="K32" s="73">
        <v>0.1067</v>
      </c>
      <c r="L32" s="73">
        <v>1.43E-2</v>
      </c>
      <c r="M32" s="73">
        <v>3.6299999999999999E-2</v>
      </c>
      <c r="N32" s="73">
        <v>3.49E-2</v>
      </c>
      <c r="O32" s="73">
        <v>0.21710000000000002</v>
      </c>
      <c r="P32" s="73">
        <v>1.3300000000000001E-2</v>
      </c>
      <c r="Q32" s="73">
        <v>0.20379999999999998</v>
      </c>
      <c r="R32" s="73">
        <v>0.4093</v>
      </c>
      <c r="S32" s="73"/>
      <c r="T32" s="206">
        <f t="shared" si="0"/>
        <v>0.36380878940039652</v>
      </c>
      <c r="U32" s="107"/>
      <c r="V32" s="107">
        <f t="shared" si="9"/>
        <v>1.396E-2</v>
      </c>
      <c r="W32" s="107">
        <f t="shared" si="2"/>
        <v>1.5007E-2</v>
      </c>
      <c r="X32" s="107">
        <f t="shared" si="7"/>
        <v>1.7501742537367547E-2</v>
      </c>
      <c r="Y32" s="107">
        <f t="shared" si="10"/>
        <v>1.8149999999999999E-2</v>
      </c>
      <c r="Z32" s="107"/>
      <c r="AA32" s="107">
        <f t="shared" si="1"/>
        <v>0.47391874253736754</v>
      </c>
      <c r="AB32" s="47"/>
      <c r="AC32" s="47"/>
    </row>
    <row r="33" spans="8:37">
      <c r="H33" s="14">
        <v>99.992000000000004</v>
      </c>
      <c r="I33" s="107">
        <v>8.9999999999999998E-4</v>
      </c>
      <c r="J33" s="14"/>
      <c r="K33" s="73">
        <v>0.12230000000000001</v>
      </c>
      <c r="L33" s="73">
        <v>1.26E-2</v>
      </c>
      <c r="M33" s="73">
        <v>3.9100000000000003E-2</v>
      </c>
      <c r="N33" s="73">
        <v>3.56E-2</v>
      </c>
      <c r="O33" s="73">
        <v>0.19850000000000001</v>
      </c>
      <c r="P33" s="73">
        <v>1.06E-2</v>
      </c>
      <c r="Q33" s="73">
        <v>0.18789999999999998</v>
      </c>
      <c r="R33" s="73">
        <v>0.40810000000000002</v>
      </c>
      <c r="S33" s="73"/>
      <c r="T33" s="206">
        <f t="shared" si="0"/>
        <v>0.36274216211654492</v>
      </c>
      <c r="U33" s="107"/>
      <c r="V33" s="107">
        <f t="shared" si="9"/>
        <v>1.4240000000000001E-2</v>
      </c>
      <c r="W33" s="107">
        <f t="shared" si="2"/>
        <v>1.5308E-2</v>
      </c>
      <c r="X33" s="107">
        <f t="shared" si="7"/>
        <v>1.542111580215602E-2</v>
      </c>
      <c r="Y33" s="107">
        <f t="shared" si="10"/>
        <v>1.9550000000000001E-2</v>
      </c>
      <c r="Z33" s="107"/>
      <c r="AA33" s="107">
        <f t="shared" si="1"/>
        <v>0.47261911580215604</v>
      </c>
      <c r="AB33" s="47"/>
      <c r="AC33" s="73"/>
    </row>
    <row r="34" spans="8:37">
      <c r="H34" s="14">
        <v>99.992999999999995</v>
      </c>
      <c r="I34" s="107">
        <v>1E-3</v>
      </c>
      <c r="J34" s="14"/>
      <c r="K34" s="73">
        <v>0.1208</v>
      </c>
      <c r="L34" s="73">
        <v>1.4199999999999999E-2</v>
      </c>
      <c r="M34" s="73">
        <v>3.8800000000000001E-2</v>
      </c>
      <c r="N34" s="73">
        <v>4.2699999999999995E-2</v>
      </c>
      <c r="O34" s="73">
        <v>0.21350000000000002</v>
      </c>
      <c r="P34" s="73">
        <v>1.2800000000000001E-2</v>
      </c>
      <c r="Q34" s="73">
        <v>0.20079999999999998</v>
      </c>
      <c r="R34" s="73">
        <v>0.43</v>
      </c>
      <c r="S34" s="73"/>
      <c r="T34" s="206">
        <f t="shared" si="0"/>
        <v>0.3822081100468373</v>
      </c>
      <c r="U34" s="107"/>
      <c r="V34" s="107">
        <f t="shared" si="9"/>
        <v>1.7079999999999998E-2</v>
      </c>
      <c r="W34" s="107">
        <f t="shared" si="2"/>
        <v>1.8360999999999999E-2</v>
      </c>
      <c r="X34" s="107">
        <f t="shared" si="7"/>
        <v>1.7379352729413926E-2</v>
      </c>
      <c r="Y34" s="107">
        <f t="shared" si="10"/>
        <v>1.9400000000000001E-2</v>
      </c>
      <c r="Z34" s="107"/>
      <c r="AA34" s="107">
        <f t="shared" si="1"/>
        <v>0.5022203527294139</v>
      </c>
      <c r="AB34" s="47"/>
      <c r="AC34" s="206"/>
    </row>
    <row r="35" spans="8:37">
      <c r="H35" s="14">
        <v>99.994</v>
      </c>
      <c r="I35" s="107">
        <v>1E-3</v>
      </c>
      <c r="J35" s="14"/>
      <c r="K35" s="73">
        <v>0.1124</v>
      </c>
      <c r="L35" s="73">
        <v>1.2E-2</v>
      </c>
      <c r="M35" s="73">
        <v>3.5000000000000003E-2</v>
      </c>
      <c r="N35" s="73">
        <v>3.6799999999999999E-2</v>
      </c>
      <c r="O35" s="73">
        <v>0.2072</v>
      </c>
      <c r="P35" s="73">
        <v>1.5600000000000001E-2</v>
      </c>
      <c r="Q35" s="73">
        <v>0.19159999999999999</v>
      </c>
      <c r="R35" s="73">
        <v>0.40350000000000003</v>
      </c>
      <c r="S35" s="73"/>
      <c r="T35" s="206">
        <f t="shared" si="0"/>
        <v>0.35865342419511365</v>
      </c>
      <c r="U35" s="107"/>
      <c r="V35" s="107">
        <f t="shared" si="9"/>
        <v>1.472E-2</v>
      </c>
      <c r="W35" s="107">
        <f t="shared" si="2"/>
        <v>1.5823999999999998E-2</v>
      </c>
      <c r="X35" s="107">
        <f t="shared" si="7"/>
        <v>1.4686776954434305E-2</v>
      </c>
      <c r="Y35" s="107">
        <f t="shared" si="10"/>
        <v>1.7500000000000002E-2</v>
      </c>
      <c r="Z35" s="107"/>
      <c r="AA35" s="107">
        <f t="shared" si="1"/>
        <v>0.46623077695443438</v>
      </c>
      <c r="AB35" s="47"/>
      <c r="AC35" s="47"/>
    </row>
    <row r="36" spans="8:37">
      <c r="H36" s="14">
        <v>99.995000000000005</v>
      </c>
      <c r="I36" s="107">
        <v>1.1999999999999999E-3</v>
      </c>
      <c r="J36" s="14"/>
      <c r="K36" s="73">
        <v>9.5199999999999993E-2</v>
      </c>
      <c r="L36" s="73">
        <v>1.1699999999999999E-2</v>
      </c>
      <c r="M36" s="73">
        <v>3.1200000000000002E-2</v>
      </c>
      <c r="N36" s="73">
        <v>2.98E-2</v>
      </c>
      <c r="O36" s="73">
        <v>0.21820000000000001</v>
      </c>
      <c r="P36" s="73">
        <v>1.8799999999999997E-2</v>
      </c>
      <c r="Q36" s="73">
        <v>0.19949999999999998</v>
      </c>
      <c r="R36" s="73">
        <v>0.3861</v>
      </c>
      <c r="S36" s="73"/>
      <c r="T36" s="206">
        <f t="shared" si="0"/>
        <v>0.34318732857926482</v>
      </c>
      <c r="U36" s="107"/>
      <c r="V36" s="107">
        <f t="shared" si="9"/>
        <v>1.192E-2</v>
      </c>
      <c r="W36" s="107">
        <f t="shared" si="2"/>
        <v>1.2813999999999999E-2</v>
      </c>
      <c r="X36" s="107">
        <f t="shared" si="7"/>
        <v>1.4319607530573444E-2</v>
      </c>
      <c r="Y36" s="107">
        <f t="shared" si="10"/>
        <v>1.5600000000000001E-2</v>
      </c>
      <c r="Z36" s="107"/>
      <c r="AA36" s="107">
        <f t="shared" si="1"/>
        <v>0.44075360753057341</v>
      </c>
      <c r="AB36" s="47"/>
    </row>
    <row r="37" spans="8:37">
      <c r="H37" s="14">
        <v>99.995999999999995</v>
      </c>
      <c r="I37" s="107">
        <v>1.4E-3</v>
      </c>
      <c r="J37" s="14"/>
      <c r="K37" s="73">
        <v>0.1067</v>
      </c>
      <c r="L37" s="73">
        <v>1.3000000000000001E-2</v>
      </c>
      <c r="M37" s="73">
        <v>3.0899999999999997E-2</v>
      </c>
      <c r="N37" s="73">
        <v>3.6299999999999999E-2</v>
      </c>
      <c r="O37" s="73">
        <v>0.2213</v>
      </c>
      <c r="P37" s="73">
        <v>1.8200000000000001E-2</v>
      </c>
      <c r="Q37" s="73">
        <v>0.20300000000000001</v>
      </c>
      <c r="R37" s="73">
        <v>0.4083</v>
      </c>
      <c r="S37" s="73"/>
      <c r="T37" s="206">
        <f t="shared" si="0"/>
        <v>0.36291993333052014</v>
      </c>
      <c r="U37" s="107"/>
      <c r="V37" s="107">
        <f t="shared" si="9"/>
        <v>1.452E-2</v>
      </c>
      <c r="W37" s="107">
        <f t="shared" si="2"/>
        <v>1.5609E-2</v>
      </c>
      <c r="X37" s="107">
        <f t="shared" si="7"/>
        <v>1.5910675033970499E-2</v>
      </c>
      <c r="Y37" s="107">
        <f t="shared" si="10"/>
        <v>1.5449999999999998E-2</v>
      </c>
      <c r="Z37" s="107"/>
      <c r="AA37" s="107">
        <f t="shared" si="1"/>
        <v>0.46978967503397051</v>
      </c>
      <c r="AB37" s="47"/>
      <c r="AC37" s="206"/>
    </row>
    <row r="38" spans="8:37">
      <c r="H38" s="14">
        <v>99.997</v>
      </c>
      <c r="I38" s="107">
        <v>1.6999999999999999E-3</v>
      </c>
      <c r="J38" s="14"/>
      <c r="K38" s="73">
        <v>9.4299999999999995E-2</v>
      </c>
      <c r="L38" s="73">
        <v>9.7000000000000003E-3</v>
      </c>
      <c r="M38" s="73">
        <v>2.7999999999999997E-2</v>
      </c>
      <c r="N38" s="73">
        <v>3.4300000000000004E-2</v>
      </c>
      <c r="O38" s="73">
        <v>0.22329999999999997</v>
      </c>
      <c r="P38" s="73">
        <v>2.2799999999999997E-2</v>
      </c>
      <c r="Q38" s="73">
        <v>0.20050000000000001</v>
      </c>
      <c r="R38" s="73">
        <v>0.3896</v>
      </c>
      <c r="S38" s="73"/>
      <c r="T38" s="206">
        <f t="shared" si="0"/>
        <v>0.3462983248238321</v>
      </c>
      <c r="U38" s="107"/>
      <c r="V38" s="107">
        <f t="shared" si="9"/>
        <v>1.3720000000000003E-2</v>
      </c>
      <c r="W38" s="107">
        <f t="shared" si="2"/>
        <v>1.4749000000000002E-2</v>
      </c>
      <c r="X38" s="107">
        <f t="shared" si="7"/>
        <v>1.1871811371501062E-2</v>
      </c>
      <c r="Y38" s="107">
        <f t="shared" si="10"/>
        <v>1.3999999999999999E-2</v>
      </c>
      <c r="Z38" s="107"/>
      <c r="AA38" s="107">
        <f t="shared" si="1"/>
        <v>0.4439408113715011</v>
      </c>
      <c r="AB38" s="47"/>
    </row>
    <row r="39" spans="8:37">
      <c r="H39" s="14">
        <v>99.998000000000005</v>
      </c>
      <c r="I39" s="107">
        <v>2.3E-3</v>
      </c>
      <c r="J39" s="14"/>
      <c r="K39" s="73">
        <v>8.1099999999999992E-2</v>
      </c>
      <c r="L39" s="73">
        <v>1.0500000000000001E-2</v>
      </c>
      <c r="M39" s="73">
        <v>2.52E-2</v>
      </c>
      <c r="N39" s="73">
        <v>2.6000000000000002E-2</v>
      </c>
      <c r="O39" s="73">
        <v>0.23730000000000001</v>
      </c>
      <c r="P39" s="73">
        <v>2.64E-2</v>
      </c>
      <c r="Q39" s="73">
        <v>0.21079999999999999</v>
      </c>
      <c r="R39" s="73">
        <v>0.38009999999999999</v>
      </c>
      <c r="S39" s="73"/>
      <c r="T39" s="206">
        <f t="shared" si="0"/>
        <v>0.33785419216000662</v>
      </c>
      <c r="U39" s="107"/>
      <c r="V39" s="107">
        <f t="shared" si="9"/>
        <v>1.0400000000000001E-2</v>
      </c>
      <c r="W39" s="107">
        <f t="shared" si="2"/>
        <v>1.1180000000000001E-2</v>
      </c>
      <c r="X39" s="107">
        <f t="shared" si="7"/>
        <v>1.2850929835130018E-2</v>
      </c>
      <c r="Y39" s="107">
        <f t="shared" si="10"/>
        <v>1.26E-2</v>
      </c>
      <c r="Z39" s="107"/>
      <c r="AA39" s="107">
        <f t="shared" si="1"/>
        <v>0.42713092983513001</v>
      </c>
      <c r="AB39" s="47"/>
    </row>
    <row r="40" spans="8:37">
      <c r="H40" s="14">
        <v>99.998999999999995</v>
      </c>
      <c r="I40" s="181">
        <v>8.8000000000000005E-3</v>
      </c>
      <c r="J40" s="14"/>
      <c r="K40" s="73">
        <v>7.1199999999999999E-2</v>
      </c>
      <c r="L40" s="73">
        <v>8.6E-3</v>
      </c>
      <c r="M40" s="73">
        <v>1.5300000000000001E-2</v>
      </c>
      <c r="N40" s="73">
        <v>2.5600000000000001E-2</v>
      </c>
      <c r="O40" s="73">
        <v>0.23960000000000001</v>
      </c>
      <c r="P40" s="73">
        <v>4.0899999999999999E-2</v>
      </c>
      <c r="Q40" s="73">
        <v>0.19870000000000002</v>
      </c>
      <c r="R40" s="73">
        <v>0.3604</v>
      </c>
      <c r="S40" s="73"/>
      <c r="T40" s="206">
        <f t="shared" si="0"/>
        <v>0.32034372758344221</v>
      </c>
      <c r="U40" s="181"/>
      <c r="V40" s="107">
        <f t="shared" si="9"/>
        <v>1.0240000000000001E-2</v>
      </c>
      <c r="W40" s="107">
        <f t="shared" si="2"/>
        <v>1.1008E-2</v>
      </c>
      <c r="X40" s="107">
        <f t="shared" si="7"/>
        <v>1.0525523484011251E-2</v>
      </c>
      <c r="Y40" s="107">
        <f t="shared" si="10"/>
        <v>7.6500000000000005E-3</v>
      </c>
      <c r="Z40" s="107"/>
      <c r="AA40" s="107">
        <f t="shared" si="1"/>
        <v>0.39982352348401123</v>
      </c>
      <c r="AB40" s="47"/>
    </row>
    <row r="41" spans="8:37">
      <c r="H41" s="14">
        <v>99.999200000000002</v>
      </c>
      <c r="I41" s="14"/>
      <c r="J41" s="14"/>
      <c r="K41" s="73">
        <v>4.87E-2</v>
      </c>
      <c r="L41" s="73">
        <v>9.7000000000000003E-3</v>
      </c>
      <c r="M41" s="73">
        <v>1.1000000000000001E-2</v>
      </c>
      <c r="N41" s="73">
        <v>1.8799999999999997E-2</v>
      </c>
      <c r="O41" s="73">
        <v>0.2293</v>
      </c>
      <c r="P41" s="73">
        <v>6.7799999999999999E-2</v>
      </c>
      <c r="Q41" s="73">
        <v>0.16140000000000002</v>
      </c>
      <c r="R41" s="73">
        <v>0.31759999999999999</v>
      </c>
      <c r="S41" s="73"/>
      <c r="T41" s="206">
        <f t="shared" si="0"/>
        <v>0.28230068779273376</v>
      </c>
      <c r="U41" s="181"/>
      <c r="V41" s="107">
        <f t="shared" si="9"/>
        <v>7.5199999999999989E-3</v>
      </c>
      <c r="W41" s="107">
        <f t="shared" si="2"/>
        <v>8.0839999999999992E-3</v>
      </c>
      <c r="X41" s="107">
        <f t="shared" si="7"/>
        <v>1.1871811371501062E-2</v>
      </c>
      <c r="Y41" s="107">
        <f t="shared" si="10"/>
        <v>5.5000000000000005E-3</v>
      </c>
      <c r="Z41" s="107"/>
      <c r="AA41" s="107">
        <f t="shared" si="1"/>
        <v>0.35057581137150107</v>
      </c>
      <c r="AB41" s="47"/>
    </row>
    <row r="42" spans="8:37">
      <c r="H42" s="14">
        <v>99.999399999999994</v>
      </c>
      <c r="I42" s="14"/>
      <c r="J42" s="14"/>
      <c r="K42" s="73">
        <v>4.4299999999999999E-2</v>
      </c>
      <c r="L42" s="73">
        <v>4.6999999999999993E-3</v>
      </c>
      <c r="M42" s="73">
        <v>1.1899999999999999E-2</v>
      </c>
      <c r="N42" s="73">
        <v>9.7999999999999997E-3</v>
      </c>
      <c r="O42" s="73">
        <v>0.1744</v>
      </c>
      <c r="P42" s="73">
        <v>7.7300000000000008E-2</v>
      </c>
      <c r="Q42" s="73">
        <v>9.7100000000000006E-2</v>
      </c>
      <c r="R42" s="73">
        <v>0.24510000000000001</v>
      </c>
      <c r="S42" s="73"/>
      <c r="T42" s="206">
        <f t="shared" si="0"/>
        <v>0.21785862272669726</v>
      </c>
      <c r="U42" s="181"/>
      <c r="V42" s="107">
        <f t="shared" si="9"/>
        <v>3.9199999999999999E-3</v>
      </c>
      <c r="W42" s="107">
        <f t="shared" si="2"/>
        <v>4.2139999999999999E-3</v>
      </c>
      <c r="X42" s="107">
        <f t="shared" si="7"/>
        <v>5.7523209738201018E-3</v>
      </c>
      <c r="Y42" s="107">
        <f t="shared" si="10"/>
        <v>5.9499999999999996E-3</v>
      </c>
      <c r="Z42" s="107"/>
      <c r="AA42" s="107">
        <f t="shared" si="1"/>
        <v>0.26493632097382014</v>
      </c>
      <c r="AB42" s="47"/>
    </row>
    <row r="43" spans="8:37">
      <c r="H43" s="14">
        <v>99.999600000000001</v>
      </c>
      <c r="I43" s="14"/>
      <c r="J43" s="14"/>
      <c r="K43" s="73">
        <v>4.3400000000000001E-2</v>
      </c>
      <c r="L43" s="73">
        <v>3.8E-3</v>
      </c>
      <c r="M43" s="73">
        <v>5.8999999999999999E-3</v>
      </c>
      <c r="N43" s="73">
        <v>8.6E-3</v>
      </c>
      <c r="O43" s="73">
        <v>0.24329999999999999</v>
      </c>
      <c r="P43" s="73">
        <v>7.9699999999999993E-2</v>
      </c>
      <c r="Q43" s="73">
        <v>0.1636</v>
      </c>
      <c r="R43" s="73">
        <v>0.30519999999999997</v>
      </c>
      <c r="S43" s="73"/>
      <c r="T43" s="206">
        <f t="shared" si="0"/>
        <v>0.27127887252626681</v>
      </c>
      <c r="U43" s="181"/>
      <c r="V43" s="107">
        <f t="shared" si="9"/>
        <v>3.4400000000000003E-3</v>
      </c>
      <c r="W43" s="107">
        <f t="shared" si="2"/>
        <v>3.6979999999999999E-3</v>
      </c>
      <c r="X43" s="107">
        <f t="shared" si="7"/>
        <v>4.6508127022375292E-3</v>
      </c>
      <c r="Y43" s="107">
        <f t="shared" si="10"/>
        <v>2.9499999999999999E-3</v>
      </c>
      <c r="Z43" s="107"/>
      <c r="AA43" s="107">
        <f t="shared" si="1"/>
        <v>0.31993881270223751</v>
      </c>
      <c r="AB43" s="47"/>
    </row>
    <row r="44" spans="8:37">
      <c r="H44" s="14">
        <v>99.999799999999993</v>
      </c>
      <c r="I44" s="14"/>
      <c r="J44" s="14"/>
      <c r="K44" s="73">
        <v>2.0400000000000001E-2</v>
      </c>
      <c r="L44" s="73">
        <v>3.2000000000000002E-3</v>
      </c>
      <c r="M44" s="73">
        <v>2E-3</v>
      </c>
      <c r="N44" s="73">
        <v>9.7000000000000003E-3</v>
      </c>
      <c r="O44" s="73">
        <v>0.25259999999999999</v>
      </c>
      <c r="P44" s="73">
        <v>0.1283</v>
      </c>
      <c r="Q44" s="73">
        <v>0.12429999999999999</v>
      </c>
      <c r="R44" s="73">
        <v>0.28789999999999999</v>
      </c>
      <c r="S44" s="73"/>
      <c r="T44" s="206">
        <f t="shared" si="0"/>
        <v>0.2559016625174057</v>
      </c>
      <c r="U44" s="181"/>
      <c r="V44" s="107">
        <f t="shared" si="9"/>
        <v>3.8800000000000002E-3</v>
      </c>
      <c r="W44" s="107">
        <f t="shared" si="2"/>
        <v>4.1710000000000002E-3</v>
      </c>
      <c r="X44" s="107">
        <f t="shared" si="7"/>
        <v>3.9164738545158142E-3</v>
      </c>
      <c r="Y44" s="107">
        <f t="shared" si="10"/>
        <v>1E-3</v>
      </c>
      <c r="Z44" s="107"/>
      <c r="AA44" s="107">
        <f t="shared" si="1"/>
        <v>0.30086747385451579</v>
      </c>
      <c r="AB44" s="47"/>
    </row>
    <row r="45" spans="8:37">
      <c r="H45" s="14">
        <v>100</v>
      </c>
      <c r="I45" s="14"/>
      <c r="J45" s="14"/>
      <c r="K45" s="73">
        <v>1.2199999999999999E-2</v>
      </c>
      <c r="L45" s="73">
        <v>1.2999999999999999E-3</v>
      </c>
      <c r="M45" s="73">
        <v>7.000000000000001E-4</v>
      </c>
      <c r="N45" s="73">
        <v>6.0000000000000001E-3</v>
      </c>
      <c r="O45" s="73">
        <v>0.23039999999999999</v>
      </c>
      <c r="P45" s="73">
        <v>0.1183</v>
      </c>
      <c r="Q45" s="73">
        <v>0.11220000000000001</v>
      </c>
      <c r="R45" s="73">
        <v>0.25059999999999999</v>
      </c>
      <c r="S45" s="73"/>
      <c r="T45" s="206">
        <f t="shared" si="0"/>
        <v>0.22274733111101727</v>
      </c>
      <c r="U45" s="181"/>
      <c r="V45" s="107">
        <f t="shared" si="9"/>
        <v>2.4000000000000002E-3</v>
      </c>
      <c r="W45" s="107">
        <f t="shared" si="2"/>
        <v>2.5799999999999998E-3</v>
      </c>
      <c r="X45" s="107">
        <f t="shared" si="7"/>
        <v>1.5910675033970496E-3</v>
      </c>
      <c r="Y45" s="107">
        <f t="shared" si="10"/>
        <v>3.5000000000000005E-4</v>
      </c>
      <c r="Z45" s="107"/>
      <c r="AA45" s="107">
        <f xml:space="preserve"> V45 + W45 + R45 + X45 + Y45</f>
        <v>0.25752106750339704</v>
      </c>
      <c r="AB45" s="47"/>
      <c r="AC45" s="107"/>
      <c r="AD45" s="204"/>
      <c r="AI45" s="43"/>
      <c r="AK45" s="195"/>
    </row>
    <row r="46" spans="8:37">
      <c r="H46" s="14"/>
      <c r="I46" s="14"/>
      <c r="J46" s="14"/>
      <c r="K46" s="14"/>
      <c r="L46" s="14"/>
      <c r="M46" s="14"/>
      <c r="N46" s="14"/>
      <c r="O46" s="14"/>
      <c r="P46" s="14"/>
      <c r="Q46" s="14"/>
      <c r="R46" s="14"/>
      <c r="S46" s="14"/>
      <c r="T46" s="107"/>
      <c r="U46" s="107"/>
      <c r="V46" s="107"/>
      <c r="W46" s="107"/>
      <c r="X46" s="107"/>
      <c r="Y46" s="107"/>
      <c r="Z46" s="107"/>
      <c r="AA46" s="107"/>
      <c r="AB46" s="47"/>
      <c r="AC46" s="107"/>
      <c r="AD46" s="220"/>
      <c r="AE46" s="63"/>
      <c r="AF46" s="292"/>
      <c r="AG46" s="292"/>
      <c r="AH46" s="292"/>
      <c r="AI46" s="43"/>
      <c r="AK46" s="85"/>
    </row>
    <row r="47" spans="8:37">
      <c r="H47" s="2" t="s">
        <v>384</v>
      </c>
      <c r="I47" s="2"/>
      <c r="J47" s="2"/>
      <c r="K47" s="14"/>
      <c r="L47" s="14"/>
      <c r="M47" s="14"/>
      <c r="N47" s="14"/>
      <c r="O47" s="14"/>
      <c r="P47" s="14"/>
      <c r="Q47" s="14"/>
      <c r="R47" s="14"/>
      <c r="S47" s="14"/>
      <c r="T47" s="107"/>
      <c r="U47" s="107"/>
      <c r="W47" s="85"/>
      <c r="X47" s="85"/>
      <c r="Y47" s="107"/>
      <c r="Z47" s="107"/>
      <c r="AA47" s="107"/>
      <c r="AB47" s="47"/>
      <c r="AC47" s="107"/>
      <c r="AD47" s="220"/>
      <c r="AE47" s="125"/>
      <c r="AF47" s="292"/>
      <c r="AG47" s="292"/>
      <c r="AH47" s="292"/>
      <c r="AI47" s="46"/>
      <c r="AK47" s="85"/>
    </row>
    <row r="48" spans="8:37" s="85" customFormat="1">
      <c r="H48" s="2" t="s">
        <v>385</v>
      </c>
      <c r="I48" s="2"/>
      <c r="J48" s="2"/>
      <c r="K48" s="14"/>
      <c r="L48" s="14"/>
      <c r="M48" s="14"/>
      <c r="N48" s="14"/>
      <c r="O48" s="14"/>
      <c r="P48" s="14"/>
      <c r="Q48" s="14"/>
      <c r="R48" s="14"/>
      <c r="S48" s="14"/>
      <c r="T48" s="303">
        <f>'Insee (2026)'!B14/'Insee (2026)'!B72</f>
        <v>1.1250415380963688</v>
      </c>
      <c r="U48" s="154"/>
      <c r="V48" s="85" t="s">
        <v>368</v>
      </c>
      <c r="Y48" s="154"/>
      <c r="Z48" s="154"/>
      <c r="AA48" s="154"/>
      <c r="AB48" s="47"/>
      <c r="AC48" s="47"/>
      <c r="AD48" s="47"/>
      <c r="AE48" s="43"/>
      <c r="AF48" s="43"/>
      <c r="AG48" s="43"/>
      <c r="AH48" s="43"/>
      <c r="AI48" s="43"/>
    </row>
    <row r="49" spans="7:35">
      <c r="H49" s="155" t="s">
        <v>206</v>
      </c>
      <c r="I49" s="155"/>
      <c r="J49" s="155"/>
      <c r="K49" s="14"/>
      <c r="L49" s="14"/>
      <c r="M49" s="14"/>
      <c r="N49" s="14"/>
      <c r="O49" s="14"/>
      <c r="P49" s="14"/>
      <c r="Q49" s="14"/>
      <c r="R49" s="14"/>
      <c r="S49" s="14"/>
      <c r="T49" s="107"/>
      <c r="U49" s="107"/>
      <c r="W49" s="85"/>
      <c r="X49" s="85"/>
      <c r="Y49" s="107"/>
      <c r="Z49" s="107"/>
      <c r="AA49" s="107"/>
      <c r="AB49" s="47"/>
      <c r="AC49" s="47"/>
      <c r="AD49" s="47"/>
      <c r="AE49" s="43"/>
      <c r="AF49" s="43"/>
      <c r="AG49" s="43"/>
      <c r="AH49" s="43"/>
      <c r="AI49" s="43"/>
    </row>
    <row r="50" spans="7:35">
      <c r="G50" s="2"/>
      <c r="H50" s="14"/>
      <c r="I50" s="14"/>
      <c r="J50" s="14"/>
      <c r="K50" s="14"/>
      <c r="L50" s="14"/>
      <c r="M50" s="14"/>
      <c r="N50" s="14"/>
      <c r="O50" s="14"/>
      <c r="P50" s="14"/>
      <c r="Q50" s="14"/>
      <c r="R50" s="73"/>
      <c r="S50" s="73"/>
      <c r="T50" s="73"/>
      <c r="U50" s="73"/>
      <c r="V50" s="85" t="s">
        <v>372</v>
      </c>
      <c r="W50" s="85"/>
      <c r="X50" s="85"/>
      <c r="Y50" s="73"/>
      <c r="Z50" s="73"/>
      <c r="AA50" s="73"/>
      <c r="AB50" s="47"/>
      <c r="AC50" s="47"/>
      <c r="AD50" s="47"/>
      <c r="AE50" s="43"/>
      <c r="AF50" s="43"/>
      <c r="AG50" s="43"/>
      <c r="AH50" s="43"/>
      <c r="AI50" s="43"/>
    </row>
    <row r="51" spans="7:35">
      <c r="G51" s="14"/>
      <c r="H51" s="14"/>
      <c r="I51" s="14"/>
      <c r="J51" s="14"/>
      <c r="K51" s="14"/>
      <c r="L51" s="11"/>
      <c r="M51" s="14"/>
      <c r="N51" s="14"/>
      <c r="O51" s="14"/>
      <c r="P51" s="14"/>
      <c r="Q51" s="14"/>
      <c r="R51" s="73"/>
      <c r="S51" s="73"/>
      <c r="T51" s="73"/>
      <c r="U51" s="73"/>
      <c r="V51" s="212" t="s">
        <v>369</v>
      </c>
      <c r="W51" s="85"/>
      <c r="X51" s="85"/>
      <c r="AD51" s="47"/>
      <c r="AE51" s="43"/>
      <c r="AF51" s="43"/>
      <c r="AG51" s="43"/>
      <c r="AH51" s="43"/>
      <c r="AI51" s="43"/>
    </row>
    <row r="52" spans="7:35">
      <c r="G52" s="14"/>
      <c r="H52" s="14"/>
      <c r="I52" s="14"/>
      <c r="J52" s="14"/>
      <c r="K52" s="14"/>
      <c r="L52" s="14"/>
      <c r="M52" s="14"/>
      <c r="N52" s="14"/>
      <c r="O52" s="14"/>
      <c r="P52" s="14"/>
      <c r="Q52" s="14"/>
      <c r="R52" s="73"/>
      <c r="S52" s="73"/>
      <c r="T52" s="73"/>
      <c r="U52" s="73"/>
      <c r="V52" s="212" t="s">
        <v>370</v>
      </c>
      <c r="W52" s="85"/>
      <c r="X52" s="85"/>
    </row>
    <row r="53" spans="7:35">
      <c r="V53" s="212" t="s">
        <v>371</v>
      </c>
      <c r="W53" s="85"/>
      <c r="X53" s="85"/>
    </row>
    <row r="54" spans="7:35" s="85" customFormat="1">
      <c r="G54" s="189"/>
      <c r="H54" s="189"/>
      <c r="I54" s="240"/>
      <c r="J54" s="240"/>
      <c r="K54" s="189"/>
      <c r="L54" s="189"/>
      <c r="M54" s="189"/>
      <c r="O54" s="189"/>
      <c r="P54" s="189"/>
      <c r="Q54" s="189"/>
      <c r="R54" s="20"/>
      <c r="S54" s="206"/>
      <c r="T54" s="206"/>
      <c r="U54" s="206"/>
      <c r="V54" s="212" t="s">
        <v>374</v>
      </c>
    </row>
    <row r="55" spans="7:35" s="85" customFormat="1">
      <c r="G55" s="189"/>
      <c r="H55" s="189"/>
      <c r="I55" s="240"/>
      <c r="J55" s="240"/>
      <c r="K55" s="189"/>
      <c r="L55" s="189"/>
      <c r="M55" s="189"/>
      <c r="O55" s="189"/>
      <c r="P55" s="189"/>
      <c r="Q55" s="189"/>
      <c r="R55" s="20"/>
      <c r="S55" s="206"/>
      <c r="T55" s="206"/>
      <c r="U55" s="206"/>
      <c r="V55" s="20"/>
    </row>
    <row r="56" spans="7:35" s="85" customFormat="1">
      <c r="G56" s="189"/>
      <c r="H56" s="189"/>
      <c r="I56" s="240"/>
      <c r="J56" s="240"/>
      <c r="K56" s="189"/>
      <c r="L56" s="189"/>
      <c r="M56" s="189"/>
      <c r="O56" s="189"/>
      <c r="P56" s="189"/>
      <c r="Q56" s="189"/>
      <c r="R56" s="20"/>
      <c r="S56" s="206"/>
      <c r="T56" s="206"/>
      <c r="U56" s="206"/>
      <c r="V56" s="212" t="s">
        <v>373</v>
      </c>
    </row>
    <row r="57" spans="7:35">
      <c r="V57" s="85"/>
      <c r="W57" s="85"/>
      <c r="X57" s="85"/>
      <c r="AB57" s="201"/>
    </row>
    <row r="58" spans="7:35">
      <c r="V58" s="85" t="s">
        <v>344</v>
      </c>
      <c r="W58" s="85"/>
      <c r="X58" s="85"/>
      <c r="AA58" s="205"/>
      <c r="AB58" s="14"/>
    </row>
    <row r="59" spans="7:35">
      <c r="V59" s="85" t="s">
        <v>376</v>
      </c>
      <c r="W59" s="85"/>
      <c r="X59" s="85"/>
    </row>
    <row r="60" spans="7:35">
      <c r="V60" s="85" t="s">
        <v>378</v>
      </c>
      <c r="W60" s="212"/>
      <c r="X60" s="212"/>
      <c r="AC60" s="208"/>
    </row>
    <row r="61" spans="7:35">
      <c r="W61" s="85"/>
      <c r="X61" s="85"/>
      <c r="AC61" s="209"/>
    </row>
    <row r="62" spans="7:35">
      <c r="V62" s="85" t="s">
        <v>375</v>
      </c>
    </row>
    <row r="63" spans="7:35">
      <c r="V63" s="212" t="s">
        <v>377</v>
      </c>
      <c r="W63" s="47"/>
      <c r="X63" s="47"/>
    </row>
    <row r="64" spans="7:35">
      <c r="V64" s="212" t="s">
        <v>379</v>
      </c>
    </row>
    <row r="66" spans="22:22">
      <c r="V66" s="85" t="s">
        <v>347</v>
      </c>
    </row>
    <row r="67" spans="22:22">
      <c r="V67" s="212" t="s">
        <v>483</v>
      </c>
    </row>
    <row r="69" spans="22:22">
      <c r="V69" s="212" t="s">
        <v>380</v>
      </c>
    </row>
    <row r="70" spans="22:22">
      <c r="V70" s="212" t="s">
        <v>381</v>
      </c>
    </row>
    <row r="71" spans="22:22">
      <c r="V71" s="212" t="s">
        <v>382</v>
      </c>
    </row>
    <row r="72" spans="22:22">
      <c r="V72" s="212" t="s">
        <v>383</v>
      </c>
    </row>
  </sheetData>
  <mergeCells count="13">
    <mergeCell ref="AF47:AH47"/>
    <mergeCell ref="AF13:AI13"/>
    <mergeCell ref="AF14:AI14"/>
    <mergeCell ref="AF15:AI15"/>
    <mergeCell ref="B2:F2"/>
    <mergeCell ref="AF46:AH46"/>
    <mergeCell ref="AE2:AI2"/>
    <mergeCell ref="AF10:AI10"/>
    <mergeCell ref="AF11:AI11"/>
    <mergeCell ref="AF6:AI6"/>
    <mergeCell ref="AF7:AI7"/>
    <mergeCell ref="H2:R2"/>
    <mergeCell ref="V2:Y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D03C-D14A-423D-A9F3-89E1774C05E6}">
  <dimension ref="A1:L28"/>
  <sheetViews>
    <sheetView workbookViewId="0">
      <selection activeCell="J34" sqref="J34"/>
    </sheetView>
  </sheetViews>
  <sheetFormatPr baseColWidth="10" defaultRowHeight="14.4"/>
  <cols>
    <col min="2" max="2" width="16" customWidth="1"/>
    <col min="3" max="3" width="11.5546875" style="85"/>
  </cols>
  <sheetData>
    <row r="1" spans="1:12">
      <c r="A1" s="222"/>
      <c r="B1" s="222"/>
      <c r="C1" s="222"/>
      <c r="D1" s="222"/>
      <c r="E1" s="222"/>
      <c r="F1" s="222"/>
      <c r="G1" s="222"/>
      <c r="H1" s="222"/>
      <c r="I1" s="222"/>
    </row>
    <row r="2" spans="1:12" ht="55.2">
      <c r="A2" s="222"/>
      <c r="C2" s="223" t="s">
        <v>93</v>
      </c>
      <c r="D2" s="223" t="s">
        <v>352</v>
      </c>
      <c r="E2" s="226" t="s">
        <v>353</v>
      </c>
      <c r="F2" s="226" t="s">
        <v>354</v>
      </c>
      <c r="G2" s="224" t="s">
        <v>355</v>
      </c>
      <c r="H2" s="224" t="s">
        <v>356</v>
      </c>
      <c r="I2" s="224" t="s">
        <v>357</v>
      </c>
      <c r="K2" s="230" t="s">
        <v>362</v>
      </c>
      <c r="L2" s="230" t="s">
        <v>363</v>
      </c>
    </row>
    <row r="3" spans="1:12" s="85" customFormat="1">
      <c r="A3" s="222"/>
      <c r="B3" s="227"/>
      <c r="C3" s="227"/>
      <c r="D3" s="125"/>
      <c r="E3" s="125"/>
      <c r="F3" s="125"/>
      <c r="G3" s="125"/>
      <c r="H3" s="125"/>
      <c r="I3" s="125"/>
      <c r="K3" s="126"/>
      <c r="L3" s="126"/>
    </row>
    <row r="4" spans="1:12" s="85" customFormat="1">
      <c r="B4" s="233" t="s">
        <v>34</v>
      </c>
      <c r="C4" s="5">
        <v>0.22011372772976756</v>
      </c>
      <c r="D4" s="125">
        <v>1.9037136164964521E-2</v>
      </c>
      <c r="E4" s="125">
        <v>8.314790069799011E-3</v>
      </c>
      <c r="F4" s="125">
        <v>1.0722346420512193E-2</v>
      </c>
      <c r="G4" s="125">
        <v>9.6464849809995076E-3</v>
      </c>
      <c r="H4" s="125">
        <v>1.0758614120001627E-3</v>
      </c>
      <c r="I4" s="125">
        <v>0</v>
      </c>
      <c r="K4" s="126"/>
      <c r="L4" s="126"/>
    </row>
    <row r="5" spans="1:12">
      <c r="B5" s="233" t="s">
        <v>35</v>
      </c>
      <c r="C5" s="231">
        <v>0.46062521636486098</v>
      </c>
      <c r="D5" s="125">
        <v>2.6619253532645132E-2</v>
      </c>
      <c r="E5" s="125">
        <v>1.1885801193945217E-2</v>
      </c>
      <c r="F5" s="125">
        <v>1.4733452773733596E-2</v>
      </c>
      <c r="G5" s="125">
        <v>1.1248435040968063E-2</v>
      </c>
      <c r="H5" s="125">
        <v>3.4333769057690359E-3</v>
      </c>
      <c r="I5" s="125">
        <v>5.1640529772792035E-5</v>
      </c>
      <c r="K5" s="126">
        <f t="shared" ref="K5" si="0">G5/I5</f>
        <v>217.82183665541231</v>
      </c>
      <c r="L5" s="126">
        <f t="shared" ref="L5" si="1">H5/I5</f>
        <v>66.486089915715525</v>
      </c>
    </row>
    <row r="6" spans="1:12">
      <c r="B6" s="233" t="s">
        <v>358</v>
      </c>
      <c r="C6" s="5">
        <v>0.22048752009868622</v>
      </c>
      <c r="D6" s="125">
        <v>5.1418855847739225E-2</v>
      </c>
      <c r="E6" s="125">
        <v>2.691997292363206E-2</v>
      </c>
      <c r="F6" s="125">
        <v>2.4498882924107165E-2</v>
      </c>
      <c r="G6" s="125">
        <v>1.1937176248880913E-2</v>
      </c>
      <c r="H6" s="125">
        <v>1.0092750110548545E-2</v>
      </c>
      <c r="I6" s="125">
        <v>2.4689560366871811E-3</v>
      </c>
      <c r="K6" s="126">
        <f>G6/I6</f>
        <v>4.8349083869869505</v>
      </c>
      <c r="L6" s="126">
        <f>H6/I6</f>
        <v>4.0878614121014847</v>
      </c>
    </row>
    <row r="7" spans="1:12">
      <c r="B7" s="233" t="s">
        <v>359</v>
      </c>
      <c r="C7" s="5">
        <v>6.4790062606334686E-2</v>
      </c>
      <c r="D7" s="125">
        <v>0.16582075327953449</v>
      </c>
      <c r="E7" s="125">
        <v>0.11486562748857948</v>
      </c>
      <c r="F7" s="125">
        <v>5.095511141648866E-2</v>
      </c>
      <c r="G7" s="125">
        <v>9.530062758920075E-3</v>
      </c>
      <c r="H7" s="125">
        <v>2.4557192767343514E-2</v>
      </c>
      <c r="I7" s="125">
        <v>1.6867855890225075E-2</v>
      </c>
      <c r="K7" s="126">
        <f t="shared" ref="K7" si="2">G7/I7</f>
        <v>0.56498364824439529</v>
      </c>
      <c r="L7" s="126">
        <f t="shared" ref="L7:L8" si="3">H7/I7</f>
        <v>1.4558573968831694</v>
      </c>
    </row>
    <row r="8" spans="1:12">
      <c r="B8" s="233" t="s">
        <v>360</v>
      </c>
      <c r="C8" s="5">
        <v>2.1636148914694786E-2</v>
      </c>
      <c r="D8" s="125">
        <v>0.25435800092959437</v>
      </c>
      <c r="E8" s="125">
        <v>0.19791019470947335</v>
      </c>
      <c r="F8" s="125">
        <v>5.6447816981307991E-2</v>
      </c>
      <c r="G8" s="125">
        <v>4.465457770885548E-3</v>
      </c>
      <c r="H8" s="125">
        <v>2.8607924137764199E-2</v>
      </c>
      <c r="I8" s="125">
        <v>2.337443339122278E-2</v>
      </c>
      <c r="K8" s="126">
        <f>G8/I8</f>
        <v>0.19104025736779359</v>
      </c>
      <c r="L8" s="126">
        <f t="shared" si="3"/>
        <v>1.223898079536192</v>
      </c>
    </row>
    <row r="9" spans="1:12">
      <c r="B9" s="233" t="s">
        <v>39</v>
      </c>
      <c r="C9" s="5">
        <v>1.2347344309091568E-2</v>
      </c>
      <c r="D9" s="125">
        <v>0.31878142475482468</v>
      </c>
      <c r="E9" s="125">
        <v>0.25214389381826113</v>
      </c>
      <c r="F9" s="125">
        <v>6.663751729162927E-2</v>
      </c>
      <c r="G9" s="125">
        <v>1.1575411597388853E-3</v>
      </c>
      <c r="H9" s="125">
        <v>3.0657562431232157E-2</v>
      </c>
      <c r="I9" s="125">
        <v>3.4822408782406118E-2</v>
      </c>
      <c r="K9" s="126">
        <f>G9/I9</f>
        <v>3.3241271934172693E-2</v>
      </c>
      <c r="L9" s="126">
        <f>H9/I9</f>
        <v>0.88039752283655248</v>
      </c>
    </row>
    <row r="10" spans="1:12">
      <c r="A10" s="222"/>
    </row>
    <row r="11" spans="1:12">
      <c r="A11" s="222"/>
      <c r="B11" s="225" t="s">
        <v>361</v>
      </c>
      <c r="C11" s="225"/>
      <c r="K11" s="232">
        <f>SUMPRODUCT(C4:C9,G4:G9) / SUMPRODUCT(C4:C9,I4:I9)</f>
        <v>4.107091254412599</v>
      </c>
      <c r="L11" s="232">
        <f>SUMPRODUCT(C4:C9,H4:H9) / SUMPRODUCT(C4:C9,I4:I9)</f>
        <v>2.5540625653174076</v>
      </c>
    </row>
    <row r="12" spans="1:12">
      <c r="A12" s="222"/>
      <c r="B12" s="225" t="s">
        <v>364</v>
      </c>
      <c r="C12" s="225"/>
    </row>
    <row r="13" spans="1:12">
      <c r="A13" s="222"/>
      <c r="B13" s="85" t="s">
        <v>365</v>
      </c>
    </row>
    <row r="14" spans="1:12">
      <c r="A14" s="222"/>
      <c r="B14" s="234" t="s">
        <v>366</v>
      </c>
      <c r="C14" s="222"/>
      <c r="D14" s="222"/>
      <c r="E14" s="222"/>
      <c r="F14" s="222"/>
      <c r="G14" s="222"/>
      <c r="H14" s="222"/>
      <c r="I14" s="222"/>
    </row>
    <row r="15" spans="1:12">
      <c r="B15" s="222"/>
      <c r="C15" s="222"/>
      <c r="D15" s="223"/>
      <c r="E15" s="226"/>
      <c r="F15" s="226"/>
      <c r="G15" s="226"/>
      <c r="H15" s="226"/>
      <c r="I15" s="226"/>
    </row>
    <row r="16" spans="1:12">
      <c r="B16" s="222"/>
      <c r="C16" s="222"/>
      <c r="D16" s="222"/>
      <c r="E16" s="222"/>
      <c r="F16" s="222"/>
      <c r="G16" s="222"/>
      <c r="H16" s="222"/>
      <c r="I16" s="222"/>
    </row>
    <row r="17" spans="2:12">
      <c r="B17" s="227"/>
      <c r="C17" s="227"/>
      <c r="D17" s="228"/>
      <c r="E17" s="228"/>
      <c r="F17" s="228"/>
      <c r="G17" s="228"/>
      <c r="H17" s="228"/>
      <c r="I17" s="228"/>
    </row>
    <row r="18" spans="2:12">
      <c r="B18" s="227"/>
      <c r="C18" s="227"/>
      <c r="D18" s="228"/>
      <c r="E18" s="228"/>
      <c r="F18" s="228"/>
      <c r="G18" s="228"/>
      <c r="H18" s="228"/>
      <c r="I18" s="228"/>
    </row>
    <row r="19" spans="2:12">
      <c r="B19" s="227"/>
      <c r="C19" s="227"/>
      <c r="D19" s="228"/>
      <c r="E19" s="228"/>
      <c r="F19" s="228"/>
      <c r="G19" s="228"/>
      <c r="H19" s="228"/>
      <c r="I19" s="228"/>
    </row>
    <row r="20" spans="2:12">
      <c r="B20" s="227"/>
      <c r="C20" s="227"/>
      <c r="D20" s="228"/>
      <c r="E20" s="228"/>
      <c r="F20" s="228"/>
      <c r="G20" s="228"/>
      <c r="H20" s="228"/>
      <c r="I20" s="228"/>
    </row>
    <row r="21" spans="2:12">
      <c r="B21" s="227"/>
      <c r="C21" s="227"/>
      <c r="D21" s="228"/>
      <c r="E21" s="228"/>
      <c r="F21" s="228"/>
      <c r="G21" s="228"/>
      <c r="H21" s="228"/>
      <c r="I21" s="228"/>
      <c r="K21" s="229"/>
      <c r="L21" s="229"/>
    </row>
    <row r="22" spans="2:12">
      <c r="B22" s="227"/>
      <c r="C22" s="227"/>
      <c r="D22" s="228"/>
      <c r="E22" s="228"/>
      <c r="F22" s="228"/>
      <c r="G22" s="228"/>
      <c r="H22" s="228"/>
      <c r="I22" s="228"/>
      <c r="K22" s="229"/>
      <c r="L22" s="229"/>
    </row>
    <row r="23" spans="2:12">
      <c r="B23" s="227"/>
      <c r="C23" s="227"/>
      <c r="D23" s="228"/>
      <c r="E23" s="228"/>
      <c r="F23" s="228"/>
      <c r="G23" s="228"/>
      <c r="H23" s="228"/>
      <c r="I23" s="228"/>
      <c r="K23" s="229"/>
      <c r="L23" s="229"/>
    </row>
    <row r="24" spans="2:12">
      <c r="B24" s="227"/>
      <c r="C24" s="227"/>
      <c r="D24" s="228"/>
      <c r="E24" s="228"/>
      <c r="F24" s="228"/>
      <c r="G24" s="228"/>
      <c r="H24" s="228"/>
      <c r="I24" s="228"/>
      <c r="K24" s="229"/>
      <c r="L24" s="229"/>
    </row>
    <row r="25" spans="2:12">
      <c r="B25" s="227"/>
      <c r="C25" s="227"/>
      <c r="D25" s="228"/>
      <c r="E25" s="228"/>
      <c r="F25" s="228"/>
      <c r="G25" s="228"/>
      <c r="H25" s="228"/>
      <c r="I25" s="228"/>
      <c r="K25" s="229"/>
      <c r="L25" s="229"/>
    </row>
    <row r="26" spans="2:12">
      <c r="B26" s="222"/>
      <c r="C26" s="222"/>
      <c r="D26" s="222"/>
      <c r="E26" s="222"/>
      <c r="F26" s="222"/>
      <c r="G26" s="222"/>
      <c r="H26" s="222"/>
      <c r="I26" s="222"/>
    </row>
    <row r="27" spans="2:12">
      <c r="B27" s="225"/>
      <c r="C27" s="225"/>
      <c r="D27" s="222"/>
      <c r="E27" s="222"/>
      <c r="F27" s="222"/>
      <c r="G27" s="222"/>
      <c r="H27" s="222"/>
      <c r="I27" s="222"/>
    </row>
    <row r="28" spans="2:12">
      <c r="B28" s="225"/>
      <c r="C28" s="225"/>
      <c r="D28" s="222"/>
      <c r="E28" s="222"/>
      <c r="F28" s="222"/>
      <c r="G28" s="222"/>
      <c r="H28" s="222"/>
      <c r="I28" s="222"/>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4EF5F-D00F-4F11-96F3-1FA9FF4FEF1A}">
  <dimension ref="B1:V135"/>
  <sheetViews>
    <sheetView zoomScale="70" zoomScaleNormal="70" workbookViewId="0">
      <selection activeCell="X116" sqref="X116"/>
    </sheetView>
  </sheetViews>
  <sheetFormatPr baseColWidth="10" defaultRowHeight="14.4"/>
  <cols>
    <col min="1" max="1" width="5" customWidth="1"/>
    <col min="2" max="14" width="11.5546875" style="28"/>
    <col min="16" max="17" width="11.5546875" style="216"/>
    <col min="21" max="22" width="11.5546875" style="27"/>
  </cols>
  <sheetData>
    <row r="1" spans="2:22" s="85" customFormat="1">
      <c r="B1" s="28"/>
      <c r="C1" s="28"/>
      <c r="D1" s="28"/>
      <c r="E1" s="28"/>
      <c r="F1" s="28"/>
      <c r="G1" s="28"/>
      <c r="H1" s="28"/>
      <c r="I1" s="28"/>
      <c r="J1" s="28"/>
      <c r="K1" s="28"/>
      <c r="L1" s="28"/>
      <c r="M1" s="28"/>
      <c r="N1" s="28"/>
      <c r="P1" s="216"/>
      <c r="Q1" s="216"/>
      <c r="U1" s="27"/>
      <c r="V1" s="27"/>
    </row>
    <row r="2" spans="2:22">
      <c r="B2" s="274" t="s">
        <v>94</v>
      </c>
      <c r="C2" s="274"/>
      <c r="D2" s="274"/>
      <c r="E2" s="274"/>
      <c r="F2" s="274"/>
      <c r="G2" s="274" t="s">
        <v>43</v>
      </c>
      <c r="H2" s="274"/>
      <c r="I2" s="274"/>
      <c r="J2" s="274"/>
      <c r="K2" s="274"/>
      <c r="L2" s="274"/>
      <c r="M2" s="274"/>
      <c r="N2" s="274"/>
      <c r="O2" s="274"/>
      <c r="P2" s="296" t="s">
        <v>419</v>
      </c>
      <c r="Q2" s="296"/>
    </row>
    <row r="3" spans="2:22">
      <c r="B3" s="38" t="s">
        <v>180</v>
      </c>
      <c r="C3" s="38" t="s">
        <v>181</v>
      </c>
      <c r="D3" s="38" t="s">
        <v>182</v>
      </c>
      <c r="E3" s="38" t="s">
        <v>183</v>
      </c>
      <c r="F3" s="38" t="s">
        <v>184</v>
      </c>
      <c r="G3" s="38" t="s">
        <v>185</v>
      </c>
      <c r="H3" s="38" t="s">
        <v>186</v>
      </c>
      <c r="I3" s="38" t="s">
        <v>187</v>
      </c>
      <c r="J3" s="38" t="s">
        <v>188</v>
      </c>
      <c r="K3" s="38" t="s">
        <v>189</v>
      </c>
      <c r="L3" s="38" t="s">
        <v>190</v>
      </c>
      <c r="M3" s="38" t="s">
        <v>191</v>
      </c>
      <c r="N3" s="38" t="s">
        <v>192</v>
      </c>
      <c r="O3" s="85" t="s">
        <v>417</v>
      </c>
      <c r="P3" s="216" t="s">
        <v>416</v>
      </c>
      <c r="Q3" s="216" t="s">
        <v>418</v>
      </c>
    </row>
    <row r="4" spans="2:22">
      <c r="B4" s="179">
        <v>0</v>
      </c>
      <c r="C4" s="179">
        <v>1825869</v>
      </c>
      <c r="D4" s="179">
        <v>0</v>
      </c>
      <c r="E4" s="180">
        <v>3.9999998989515007E-5</v>
      </c>
      <c r="F4" s="179">
        <v>495</v>
      </c>
      <c r="G4" s="179">
        <v>918</v>
      </c>
      <c r="H4" s="181">
        <v>1.8545454740524292</v>
      </c>
      <c r="I4" s="181">
        <v>0.98181819915771484</v>
      </c>
      <c r="J4" s="181">
        <v>0.1858585923910141</v>
      </c>
      <c r="K4" s="181">
        <v>0.45858585834503174</v>
      </c>
      <c r="L4" s="181">
        <v>0.18787878751754761</v>
      </c>
      <c r="M4" s="181">
        <v>3.8383837789297104E-2</v>
      </c>
      <c r="N4" s="181">
        <v>0</v>
      </c>
      <c r="O4" s="181">
        <v>0.20456782409633073</v>
      </c>
      <c r="P4" s="154">
        <v>7722</v>
      </c>
      <c r="Q4" s="93">
        <v>6.4102567732334137E-2</v>
      </c>
    </row>
    <row r="5" spans="2:22">
      <c r="B5" s="179">
        <v>1</v>
      </c>
      <c r="C5" s="179">
        <v>1826627</v>
      </c>
      <c r="D5" s="179">
        <v>1100</v>
      </c>
      <c r="E5" s="180">
        <v>1.3000000035390258E-4</v>
      </c>
      <c r="F5" s="179">
        <v>1707</v>
      </c>
      <c r="G5" s="179">
        <v>1290</v>
      </c>
      <c r="H5" s="181">
        <v>0.75571179389953613</v>
      </c>
      <c r="I5" s="181">
        <v>0.39543059468269348</v>
      </c>
      <c r="J5" s="181">
        <v>6.5026365220546722E-2</v>
      </c>
      <c r="K5" s="181">
        <v>0.24604569375514984</v>
      </c>
      <c r="L5" s="181">
        <v>3.2806091010570526E-2</v>
      </c>
      <c r="M5" s="181">
        <v>1.5817223116755486E-2</v>
      </c>
      <c r="N5" s="181">
        <v>0</v>
      </c>
      <c r="O5" s="181">
        <v>4.2372195550959793E-2</v>
      </c>
      <c r="P5" s="154">
        <v>6725</v>
      </c>
      <c r="Q5" s="93">
        <v>0.25382900238037109</v>
      </c>
    </row>
    <row r="6" spans="2:22">
      <c r="B6" s="179">
        <v>2</v>
      </c>
      <c r="C6" s="179">
        <v>1828777</v>
      </c>
      <c r="D6" s="179">
        <v>2300</v>
      </c>
      <c r="E6" s="180">
        <v>2.0999999833293259E-4</v>
      </c>
      <c r="F6" s="179">
        <v>2847</v>
      </c>
      <c r="G6" s="179">
        <v>1590</v>
      </c>
      <c r="H6" s="181">
        <v>0.5584825873374939</v>
      </c>
      <c r="I6" s="181">
        <v>0.26940637826919556</v>
      </c>
      <c r="J6" s="181">
        <v>4.1447136551141739E-2</v>
      </c>
      <c r="K6" s="181">
        <v>0.2184755951166153</v>
      </c>
      <c r="L6" s="181">
        <v>1.7562346532940865E-2</v>
      </c>
      <c r="M6" s="181">
        <v>1.1942395940423012E-2</v>
      </c>
      <c r="N6" s="181">
        <v>0</v>
      </c>
      <c r="O6" s="181">
        <v>5.0810915212847465E-3</v>
      </c>
      <c r="P6" s="154">
        <v>5429</v>
      </c>
      <c r="Q6" s="93">
        <v>0.52440595626831055</v>
      </c>
    </row>
    <row r="7" spans="2:22">
      <c r="B7" s="179">
        <v>3</v>
      </c>
      <c r="C7" s="179">
        <v>1826687</v>
      </c>
      <c r="D7" s="179">
        <v>3400</v>
      </c>
      <c r="E7" s="180">
        <v>3.0000001424923539E-4</v>
      </c>
      <c r="F7" s="179">
        <v>3983</v>
      </c>
      <c r="G7" s="179">
        <v>1884</v>
      </c>
      <c r="H7" s="181">
        <v>0.47301030158996582</v>
      </c>
      <c r="I7" s="181">
        <v>0.21491338312625885</v>
      </c>
      <c r="J7" s="181">
        <v>2.8370574116706848E-2</v>
      </c>
      <c r="K7" s="181">
        <v>0.21692192554473877</v>
      </c>
      <c r="L7" s="181">
        <v>6.025608628988266E-3</v>
      </c>
      <c r="M7" s="181">
        <v>6.5277428366243839E-3</v>
      </c>
      <c r="N7" s="181">
        <v>0</v>
      </c>
      <c r="O7" s="181">
        <v>2.5423317330575877E-2</v>
      </c>
      <c r="P7" s="154">
        <v>1073</v>
      </c>
      <c r="Q7" s="93">
        <v>3.7120223045349121</v>
      </c>
    </row>
    <row r="8" spans="2:22">
      <c r="B8" s="179">
        <v>4</v>
      </c>
      <c r="C8" s="179">
        <v>1827668</v>
      </c>
      <c r="D8" s="179">
        <v>4600</v>
      </c>
      <c r="E8" s="180">
        <v>3.9999998989515007E-4</v>
      </c>
      <c r="F8" s="179">
        <v>5365</v>
      </c>
      <c r="G8" s="179">
        <v>2228</v>
      </c>
      <c r="H8" s="181">
        <v>0.41528424620628357</v>
      </c>
      <c r="I8" s="181">
        <v>0.20316869020462036</v>
      </c>
      <c r="J8" s="181">
        <v>3.0195713043212891E-2</v>
      </c>
      <c r="K8" s="181">
        <v>0.16756756603717804</v>
      </c>
      <c r="L8" s="181">
        <v>6.7101586610078812E-3</v>
      </c>
      <c r="M8" s="181">
        <v>7.642124779522419E-3</v>
      </c>
      <c r="N8" s="181">
        <v>0</v>
      </c>
      <c r="O8" s="181">
        <v>2.4267065806128436E-2</v>
      </c>
      <c r="P8" s="154">
        <v>12733</v>
      </c>
      <c r="Q8" s="93">
        <v>0.42134609818458557</v>
      </c>
    </row>
    <row r="9" spans="2:22">
      <c r="B9" s="179">
        <v>5</v>
      </c>
      <c r="C9" s="179">
        <v>1827423</v>
      </c>
      <c r="D9" s="179">
        <v>6150</v>
      </c>
      <c r="E9" s="180">
        <v>5.2000000141561031E-4</v>
      </c>
      <c r="F9" s="179">
        <v>6919</v>
      </c>
      <c r="G9" s="179">
        <v>2602</v>
      </c>
      <c r="H9" s="181">
        <v>0.37606590986251831</v>
      </c>
      <c r="I9" s="181">
        <v>0.19395866990089417</v>
      </c>
      <c r="J9" s="181">
        <v>2.1534902974963188E-2</v>
      </c>
      <c r="K9" s="181">
        <v>0.14843185245990753</v>
      </c>
      <c r="L9" s="181">
        <v>6.3593005761504173E-3</v>
      </c>
      <c r="M9" s="181">
        <v>5.781182087957859E-3</v>
      </c>
      <c r="N9" s="181">
        <v>0</v>
      </c>
      <c r="O9" s="181">
        <v>3.1361181300255107E-2</v>
      </c>
      <c r="P9" s="154">
        <v>11603</v>
      </c>
      <c r="Q9" s="93">
        <v>0.59631127119064331</v>
      </c>
    </row>
    <row r="10" spans="2:22">
      <c r="B10" s="179">
        <v>6</v>
      </c>
      <c r="C10" s="179">
        <v>1826782</v>
      </c>
      <c r="D10" s="179">
        <v>7650</v>
      </c>
      <c r="E10" s="180">
        <v>6.2000000616535544E-4</v>
      </c>
      <c r="F10" s="179">
        <v>8275</v>
      </c>
      <c r="G10" s="179">
        <v>3056</v>
      </c>
      <c r="H10" s="181">
        <v>0.36930513381958008</v>
      </c>
      <c r="I10" s="181">
        <v>0.18187311291694641</v>
      </c>
      <c r="J10" s="181">
        <v>1.4984894543886185E-2</v>
      </c>
      <c r="K10" s="181">
        <v>0.16036254167556763</v>
      </c>
      <c r="L10" s="181">
        <v>7.4924472719430923E-3</v>
      </c>
      <c r="M10" s="181">
        <v>4.5921448618173599E-3</v>
      </c>
      <c r="N10" s="181">
        <v>0</v>
      </c>
      <c r="O10" s="181">
        <v>4.3703527374917443E-2</v>
      </c>
      <c r="P10" s="154">
        <v>8995</v>
      </c>
      <c r="Q10" s="93">
        <v>0.9199555516242981</v>
      </c>
    </row>
    <row r="11" spans="2:22">
      <c r="B11" s="179">
        <v>7</v>
      </c>
      <c r="C11" s="179">
        <v>1826475</v>
      </c>
      <c r="D11" s="179">
        <v>8900</v>
      </c>
      <c r="E11" s="180">
        <v>7.0999999297782779E-4</v>
      </c>
      <c r="F11" s="179">
        <v>9467</v>
      </c>
      <c r="G11" s="179">
        <v>3204</v>
      </c>
      <c r="H11" s="181">
        <v>0.33843877911567688</v>
      </c>
      <c r="I11" s="181">
        <v>0.15664941072463989</v>
      </c>
      <c r="J11" s="181">
        <v>1.552762184292078E-2</v>
      </c>
      <c r="K11" s="181">
        <v>0.15284672379493713</v>
      </c>
      <c r="L11" s="181">
        <v>9.8235979676246643E-3</v>
      </c>
      <c r="M11" s="181">
        <v>3.4857927821576595E-3</v>
      </c>
      <c r="N11" s="181">
        <v>0</v>
      </c>
      <c r="O11" s="181">
        <v>6.1121231904923093E-2</v>
      </c>
      <c r="P11" s="154">
        <v>9199</v>
      </c>
      <c r="Q11" s="93">
        <v>1.0291335582733154</v>
      </c>
    </row>
    <row r="12" spans="2:22">
      <c r="B12" s="179">
        <v>8</v>
      </c>
      <c r="C12" s="179">
        <v>1827870</v>
      </c>
      <c r="D12" s="179">
        <v>10000</v>
      </c>
      <c r="E12" s="180">
        <v>7.9000002006068826E-4</v>
      </c>
      <c r="F12" s="179">
        <v>10514</v>
      </c>
      <c r="G12" s="179">
        <v>3491</v>
      </c>
      <c r="H12" s="181">
        <v>0.33203348517417908</v>
      </c>
      <c r="I12" s="181">
        <v>0.15255849063396454</v>
      </c>
      <c r="J12" s="181">
        <v>1.1888910084962845E-2</v>
      </c>
      <c r="K12" s="181">
        <v>0.1576945036649704</v>
      </c>
      <c r="L12" s="181">
        <v>7.4186800047755241E-3</v>
      </c>
      <c r="M12" s="181">
        <v>2.377782016992569E-3</v>
      </c>
      <c r="N12" s="181">
        <v>0</v>
      </c>
      <c r="O12" s="181">
        <v>7.8424429425772046E-2</v>
      </c>
      <c r="P12" s="154">
        <v>6379</v>
      </c>
      <c r="Q12" s="93">
        <v>1.6482207775115967</v>
      </c>
    </row>
    <row r="13" spans="2:22">
      <c r="B13" s="179">
        <v>9</v>
      </c>
      <c r="C13" s="179">
        <v>1826935</v>
      </c>
      <c r="D13" s="179">
        <v>11100</v>
      </c>
      <c r="E13" s="180">
        <v>8.800000068731606E-4</v>
      </c>
      <c r="F13" s="179">
        <v>11699</v>
      </c>
      <c r="G13" s="179">
        <v>3661</v>
      </c>
      <c r="H13" s="181">
        <v>0.31293272972106934</v>
      </c>
      <c r="I13" s="181">
        <v>0.14650824666023254</v>
      </c>
      <c r="J13" s="181">
        <v>1.4616633765399456E-2</v>
      </c>
      <c r="K13" s="181">
        <v>0.13650739192962646</v>
      </c>
      <c r="L13" s="181">
        <v>1.256517693400383E-2</v>
      </c>
      <c r="M13" s="181">
        <v>2.7352764736860991E-3</v>
      </c>
      <c r="N13" s="181">
        <v>0</v>
      </c>
      <c r="O13" s="181">
        <v>5.4406203324070229E-2</v>
      </c>
      <c r="P13" s="154">
        <v>13104</v>
      </c>
      <c r="Q13" s="93">
        <v>0.8927808403968811</v>
      </c>
    </row>
    <row r="14" spans="2:22">
      <c r="B14" s="179">
        <v>10</v>
      </c>
      <c r="C14" s="179">
        <v>1824854</v>
      </c>
      <c r="D14" s="179">
        <v>12300</v>
      </c>
      <c r="E14" s="180">
        <v>9.6999999368563294E-4</v>
      </c>
      <c r="F14" s="179">
        <v>12842</v>
      </c>
      <c r="G14" s="179">
        <v>3640</v>
      </c>
      <c r="H14" s="181">
        <v>0.28344494104385376</v>
      </c>
      <c r="I14" s="181">
        <v>0.14164459705352783</v>
      </c>
      <c r="J14" s="181">
        <v>1.1991901323199272E-2</v>
      </c>
      <c r="K14" s="181">
        <v>0.12552562355995178</v>
      </c>
      <c r="L14" s="181">
        <v>1.9467372912913561E-3</v>
      </c>
      <c r="M14" s="181">
        <v>2.3360846098512411E-3</v>
      </c>
      <c r="N14" s="181">
        <v>0</v>
      </c>
      <c r="O14" s="181">
        <v>7.2656008230088762E-2</v>
      </c>
      <c r="P14" s="154">
        <v>8188</v>
      </c>
      <c r="Q14" s="93">
        <v>1.5683927536010742</v>
      </c>
    </row>
    <row r="15" spans="2:22">
      <c r="B15" s="179">
        <v>11</v>
      </c>
      <c r="C15" s="179">
        <v>1830117</v>
      </c>
      <c r="D15" s="179">
        <v>13300</v>
      </c>
      <c r="E15" s="180">
        <v>1.0499999625608325E-3</v>
      </c>
      <c r="F15" s="179">
        <v>13846</v>
      </c>
      <c r="G15" s="179">
        <v>3919</v>
      </c>
      <c r="H15" s="181">
        <v>0.28304204344749451</v>
      </c>
      <c r="I15" s="181">
        <v>0.13837932050228119</v>
      </c>
      <c r="J15" s="181">
        <v>1.2927921488881111E-2</v>
      </c>
      <c r="K15" s="181">
        <v>0.12379026412963867</v>
      </c>
      <c r="L15" s="181">
        <v>4.9111656844615936E-3</v>
      </c>
      <c r="M15" s="181">
        <v>3.0333669856190681E-3</v>
      </c>
      <c r="N15" s="181">
        <v>0</v>
      </c>
      <c r="O15" s="181">
        <v>6.8171158338987653E-2</v>
      </c>
      <c r="P15" s="154">
        <v>13900</v>
      </c>
      <c r="Q15" s="93">
        <v>0.99611508846282959</v>
      </c>
    </row>
    <row r="16" spans="2:22">
      <c r="B16" s="179">
        <v>12</v>
      </c>
      <c r="C16" s="179">
        <v>1827676</v>
      </c>
      <c r="D16" s="179">
        <v>14300</v>
      </c>
      <c r="E16" s="180">
        <v>1.1200000299140811E-3</v>
      </c>
      <c r="F16" s="179">
        <v>14794</v>
      </c>
      <c r="G16" s="179">
        <v>3999</v>
      </c>
      <c r="H16" s="181">
        <v>0.27031227946281433</v>
      </c>
      <c r="I16" s="181">
        <v>0.13255374133586884</v>
      </c>
      <c r="J16" s="181">
        <v>1.1085575446486473E-2</v>
      </c>
      <c r="K16" s="181">
        <v>0.12072461843490601</v>
      </c>
      <c r="L16" s="181">
        <v>3.379748435690999E-3</v>
      </c>
      <c r="M16" s="181">
        <v>2.5010139215737581E-3</v>
      </c>
      <c r="N16" s="181">
        <v>0</v>
      </c>
      <c r="O16" s="181">
        <v>5.5002369224803574E-2</v>
      </c>
      <c r="P16" s="154">
        <v>12486</v>
      </c>
      <c r="Q16" s="93">
        <v>1.1848469972610474</v>
      </c>
    </row>
    <row r="17" spans="2:17">
      <c r="B17" s="179">
        <v>13</v>
      </c>
      <c r="C17" s="179">
        <v>1822675</v>
      </c>
      <c r="D17" s="179">
        <v>15200</v>
      </c>
      <c r="E17" s="180">
        <v>1.1899999808520079E-3</v>
      </c>
      <c r="F17" s="179">
        <v>15771</v>
      </c>
      <c r="G17" s="179">
        <v>4215</v>
      </c>
      <c r="H17" s="181">
        <v>0.26726269721984863</v>
      </c>
      <c r="I17" s="181">
        <v>0.13087312877178192</v>
      </c>
      <c r="J17" s="181">
        <v>1.3886246830224991E-2</v>
      </c>
      <c r="K17" s="181">
        <v>0.11438716948032379</v>
      </c>
      <c r="L17" s="181">
        <v>5.5798618122935295E-3</v>
      </c>
      <c r="M17" s="181">
        <v>2.4094858672469854E-3</v>
      </c>
      <c r="N17" s="181">
        <v>0</v>
      </c>
      <c r="O17" s="181">
        <v>6.3289890413780955E-2</v>
      </c>
      <c r="P17" s="154">
        <v>18342</v>
      </c>
      <c r="Q17" s="93">
        <v>0.85982990264892578</v>
      </c>
    </row>
    <row r="18" spans="2:17">
      <c r="B18" s="179">
        <v>14</v>
      </c>
      <c r="C18" s="179">
        <v>1830928</v>
      </c>
      <c r="D18" s="179">
        <v>16300</v>
      </c>
      <c r="E18" s="180">
        <v>1.2700000079348683E-3</v>
      </c>
      <c r="F18" s="179">
        <v>16761</v>
      </c>
      <c r="G18" s="179">
        <v>4303</v>
      </c>
      <c r="H18" s="181">
        <v>0.25672692060470581</v>
      </c>
      <c r="I18" s="181">
        <v>0.12910924851894379</v>
      </c>
      <c r="J18" s="181">
        <v>1.348368264734745E-2</v>
      </c>
      <c r="K18" s="181">
        <v>0.1053636446595192</v>
      </c>
      <c r="L18" s="181">
        <v>6.2048803083598614E-3</v>
      </c>
      <c r="M18" s="181">
        <v>2.5058169849216938E-3</v>
      </c>
      <c r="N18" s="181">
        <v>0</v>
      </c>
      <c r="O18" s="181">
        <v>8.0912540054466131E-2</v>
      </c>
      <c r="P18" s="154">
        <v>21411</v>
      </c>
      <c r="Q18" s="93">
        <v>0.7828218936920166</v>
      </c>
    </row>
    <row r="19" spans="2:17">
      <c r="B19" s="179">
        <v>15</v>
      </c>
      <c r="C19" s="179">
        <v>1827649</v>
      </c>
      <c r="D19" s="179">
        <v>17200</v>
      </c>
      <c r="E19" s="180">
        <v>1.3399999588727951E-3</v>
      </c>
      <c r="F19" s="179">
        <v>17759</v>
      </c>
      <c r="G19" s="179">
        <v>4553</v>
      </c>
      <c r="H19" s="181">
        <v>0.25637704133987427</v>
      </c>
      <c r="I19" s="181">
        <v>0.12647108733654022</v>
      </c>
      <c r="J19" s="181">
        <v>1.227546576410532E-2</v>
      </c>
      <c r="K19" s="181">
        <v>0.10726955533027649</v>
      </c>
      <c r="L19" s="181">
        <v>8.27749352902174E-3</v>
      </c>
      <c r="M19" s="181">
        <v>2.0271411631256342E-3</v>
      </c>
      <c r="N19" s="181">
        <v>0</v>
      </c>
      <c r="O19" s="181">
        <v>9.5304155901144633E-2</v>
      </c>
      <c r="P19" s="154">
        <v>20009</v>
      </c>
      <c r="Q19" s="93">
        <v>0.88755059242248535</v>
      </c>
    </row>
    <row r="20" spans="2:17">
      <c r="B20" s="179">
        <v>16</v>
      </c>
      <c r="C20" s="179">
        <v>1825717</v>
      </c>
      <c r="D20" s="179">
        <v>18300</v>
      </c>
      <c r="E20" s="180">
        <v>1.4199999859556556E-3</v>
      </c>
      <c r="F20" s="179">
        <v>18839</v>
      </c>
      <c r="G20" s="179">
        <v>4664</v>
      </c>
      <c r="H20" s="181">
        <v>0.24757152795791626</v>
      </c>
      <c r="I20" s="181">
        <v>0.12484738975763321</v>
      </c>
      <c r="J20" s="181">
        <v>1.1943308636546135E-2</v>
      </c>
      <c r="K20" s="181">
        <v>9.5811881124973297E-2</v>
      </c>
      <c r="L20" s="181">
        <v>1.2474122457206249E-2</v>
      </c>
      <c r="M20" s="181">
        <v>2.4948245845735073E-3</v>
      </c>
      <c r="N20" s="181">
        <v>0</v>
      </c>
      <c r="O20" s="181">
        <v>8.638516378913362E-2</v>
      </c>
      <c r="P20" s="154">
        <v>23635</v>
      </c>
      <c r="Q20" s="93">
        <v>0.79708057641983032</v>
      </c>
    </row>
    <row r="21" spans="2:17">
      <c r="B21" s="179">
        <v>17</v>
      </c>
      <c r="C21" s="179">
        <v>1828758</v>
      </c>
      <c r="D21" s="179">
        <v>19400</v>
      </c>
      <c r="E21" s="180">
        <v>1.5099999727681279E-3</v>
      </c>
      <c r="F21" s="179">
        <v>19947</v>
      </c>
      <c r="G21" s="179">
        <v>5079</v>
      </c>
      <c r="H21" s="181">
        <v>0.25462475419044495</v>
      </c>
      <c r="I21" s="181">
        <v>0.12357748299837112</v>
      </c>
      <c r="J21" s="181">
        <v>1.2483079917728901E-2</v>
      </c>
      <c r="K21" s="181">
        <v>0.10522885620594025</v>
      </c>
      <c r="L21" s="181">
        <v>1.032736711204052E-2</v>
      </c>
      <c r="M21" s="181">
        <v>3.007971215993166E-3</v>
      </c>
      <c r="N21" s="181">
        <v>0</v>
      </c>
      <c r="O21" s="181">
        <v>7.179630463471548E-2</v>
      </c>
      <c r="P21" s="154">
        <v>23576</v>
      </c>
      <c r="Q21" s="93">
        <v>0.84607225656509399</v>
      </c>
    </row>
    <row r="22" spans="2:17">
      <c r="B22" s="179">
        <v>18</v>
      </c>
      <c r="C22" s="179">
        <v>1827360</v>
      </c>
      <c r="D22" s="179">
        <v>20500</v>
      </c>
      <c r="E22" s="180">
        <v>1.5899999998509884E-3</v>
      </c>
      <c r="F22" s="179">
        <v>21020</v>
      </c>
      <c r="G22" s="179">
        <v>5250</v>
      </c>
      <c r="H22" s="181">
        <v>0.24976213276386261</v>
      </c>
      <c r="I22" s="181">
        <v>0.11998096853494644</v>
      </c>
      <c r="J22" s="181">
        <v>1.0799238458275795E-2</v>
      </c>
      <c r="K22" s="181">
        <v>0.10842055082321167</v>
      </c>
      <c r="L22" s="181">
        <v>8.2778306677937508E-3</v>
      </c>
      <c r="M22" s="181">
        <v>2.2835393901914358E-3</v>
      </c>
      <c r="N22" s="181">
        <v>0</v>
      </c>
      <c r="O22" s="181">
        <v>0.13161737255280351</v>
      </c>
      <c r="P22" s="154">
        <v>21068</v>
      </c>
      <c r="Q22" s="93">
        <v>0.99772167205810547</v>
      </c>
    </row>
    <row r="23" spans="2:17">
      <c r="B23" s="179">
        <v>19</v>
      </c>
      <c r="C23" s="179">
        <v>1827437</v>
      </c>
      <c r="D23" s="179">
        <v>21500</v>
      </c>
      <c r="E23" s="180">
        <v>1.6599999507889152E-3</v>
      </c>
      <c r="F23" s="179">
        <v>22018</v>
      </c>
      <c r="G23" s="179">
        <v>5411</v>
      </c>
      <c r="H23" s="181">
        <v>0.24575346708297729</v>
      </c>
      <c r="I23" s="181">
        <v>0.11608684062957764</v>
      </c>
      <c r="J23" s="181">
        <v>1.2626033276319504E-2</v>
      </c>
      <c r="K23" s="181">
        <v>0.10455082356929779</v>
      </c>
      <c r="L23" s="181">
        <v>9.4013987109065056E-3</v>
      </c>
      <c r="M23" s="181">
        <v>3.0883823055773973E-3</v>
      </c>
      <c r="N23" s="181">
        <v>0</v>
      </c>
      <c r="O23" s="181">
        <v>0.13698489356385071</v>
      </c>
      <c r="P23" s="154">
        <v>24250</v>
      </c>
      <c r="Q23" s="93">
        <v>0.9079587459564209</v>
      </c>
    </row>
    <row r="24" spans="2:17">
      <c r="B24" s="179">
        <v>20</v>
      </c>
      <c r="C24" s="179">
        <v>1826811</v>
      </c>
      <c r="D24" s="179">
        <v>22600</v>
      </c>
      <c r="E24" s="180">
        <v>1.7399999778717756E-3</v>
      </c>
      <c r="F24" s="179">
        <v>23089</v>
      </c>
      <c r="G24" s="179">
        <v>5651</v>
      </c>
      <c r="H24" s="181">
        <v>0.24474857747554779</v>
      </c>
      <c r="I24" s="181">
        <v>0.11213131994009018</v>
      </c>
      <c r="J24" s="181">
        <v>1.0827667079865932E-2</v>
      </c>
      <c r="K24" s="181">
        <v>0.10723721235990524</v>
      </c>
      <c r="L24" s="181">
        <v>1.1910433880984783E-2</v>
      </c>
      <c r="M24" s="181">
        <v>2.6419507339596748E-3</v>
      </c>
      <c r="N24" s="181">
        <v>0</v>
      </c>
      <c r="O24" s="181">
        <v>9.0533061742761212E-2</v>
      </c>
      <c r="P24" s="154">
        <v>24317</v>
      </c>
      <c r="Q24" s="93">
        <v>0.94950032234191895</v>
      </c>
    </row>
    <row r="25" spans="2:17">
      <c r="B25" s="179">
        <v>21</v>
      </c>
      <c r="C25" s="179">
        <v>1827578</v>
      </c>
      <c r="D25" s="179">
        <v>23600</v>
      </c>
      <c r="E25" s="180">
        <v>1.8100000452250242E-3</v>
      </c>
      <c r="F25" s="179">
        <v>24028</v>
      </c>
      <c r="G25" s="179">
        <v>5796</v>
      </c>
      <c r="H25" s="181">
        <v>0.24121858179569244</v>
      </c>
      <c r="I25" s="181">
        <v>0.10858165472745895</v>
      </c>
      <c r="J25" s="181">
        <v>1.1528217233717442E-2</v>
      </c>
      <c r="K25" s="181">
        <v>0.10550191253423691</v>
      </c>
      <c r="L25" s="181">
        <v>1.2485433369874954E-2</v>
      </c>
      <c r="M25" s="181">
        <v>3.1213583424687386E-3</v>
      </c>
      <c r="N25" s="181">
        <v>0</v>
      </c>
      <c r="O25" s="181">
        <v>7.6459346606434345E-2</v>
      </c>
      <c r="P25" s="154">
        <v>24162</v>
      </c>
      <c r="Q25" s="93">
        <v>0.99445408582687378</v>
      </c>
    </row>
    <row r="26" spans="2:17">
      <c r="B26" s="179">
        <v>22</v>
      </c>
      <c r="C26" s="179">
        <v>1826449</v>
      </c>
      <c r="D26" s="179">
        <v>24500</v>
      </c>
      <c r="E26" s="180">
        <v>1.8899999558925629E-3</v>
      </c>
      <c r="F26" s="179">
        <v>25014</v>
      </c>
      <c r="G26" s="179">
        <v>6182</v>
      </c>
      <c r="H26" s="181">
        <v>0.24714159965515137</v>
      </c>
      <c r="I26" s="181">
        <v>0.1069800928235054</v>
      </c>
      <c r="J26" s="181">
        <v>1.0514112189412117E-2</v>
      </c>
      <c r="K26" s="181">
        <v>0.11173743009567261</v>
      </c>
      <c r="L26" s="181">
        <v>1.4791716821491718E-2</v>
      </c>
      <c r="M26" s="181">
        <v>3.1582314986735582E-3</v>
      </c>
      <c r="N26" s="181">
        <v>0</v>
      </c>
      <c r="O26" s="181">
        <v>0.10091524304035915</v>
      </c>
      <c r="P26" s="154">
        <v>23790</v>
      </c>
      <c r="Q26" s="93">
        <v>1.0514501333236694</v>
      </c>
    </row>
    <row r="27" spans="2:17">
      <c r="B27" s="179">
        <v>23</v>
      </c>
      <c r="C27" s="179">
        <v>1827110</v>
      </c>
      <c r="D27" s="179">
        <v>25500</v>
      </c>
      <c r="E27" s="180">
        <v>1.9600000232458115E-3</v>
      </c>
      <c r="F27" s="179">
        <v>25975</v>
      </c>
      <c r="G27" s="179">
        <v>6217</v>
      </c>
      <c r="H27" s="181">
        <v>0.23934552073478699</v>
      </c>
      <c r="I27" s="181">
        <v>0.1042155921459198</v>
      </c>
      <c r="J27" s="181">
        <v>1.0972088202834129E-2</v>
      </c>
      <c r="K27" s="181">
        <v>0.10621751844882965</v>
      </c>
      <c r="L27" s="181">
        <v>1.4821943826973438E-2</v>
      </c>
      <c r="M27" s="181">
        <v>3.0798844527453184E-3</v>
      </c>
      <c r="N27" s="181">
        <v>0</v>
      </c>
      <c r="O27" s="181">
        <v>0.12447050625237073</v>
      </c>
      <c r="P27" s="154">
        <v>28298</v>
      </c>
      <c r="Q27" s="93">
        <v>0.91790938377380371</v>
      </c>
    </row>
    <row r="28" spans="2:17">
      <c r="B28" s="179">
        <v>24</v>
      </c>
      <c r="C28" s="179">
        <v>1827388</v>
      </c>
      <c r="D28" s="179">
        <v>26500</v>
      </c>
      <c r="E28" s="180">
        <v>2.0399999339133501E-3</v>
      </c>
      <c r="F28" s="179">
        <v>27031</v>
      </c>
      <c r="G28" s="179">
        <v>6804</v>
      </c>
      <c r="H28" s="181">
        <v>0.25171101093292236</v>
      </c>
      <c r="I28" s="181">
        <v>0.10417668521404266</v>
      </c>
      <c r="J28" s="181">
        <v>1.1024379171431065E-2</v>
      </c>
      <c r="K28" s="181">
        <v>0.11719877272844315</v>
      </c>
      <c r="L28" s="181">
        <v>1.6425585374236107E-2</v>
      </c>
      <c r="M28" s="181">
        <v>2.9225703328847885E-3</v>
      </c>
      <c r="N28" s="181">
        <v>0</v>
      </c>
      <c r="O28" s="181">
        <v>0.11907275100233924</v>
      </c>
      <c r="P28" s="154">
        <v>25036</v>
      </c>
      <c r="Q28" s="93">
        <v>1.0796852111816406</v>
      </c>
    </row>
    <row r="29" spans="2:17">
      <c r="B29" s="179">
        <v>25</v>
      </c>
      <c r="C29" s="179">
        <v>1827111</v>
      </c>
      <c r="D29" s="179">
        <v>27600</v>
      </c>
      <c r="E29" s="180">
        <v>2.1200000774115324E-3</v>
      </c>
      <c r="F29" s="179">
        <v>28153</v>
      </c>
      <c r="G29" s="179">
        <v>6690</v>
      </c>
      <c r="H29" s="181">
        <v>0.23763009905815125</v>
      </c>
      <c r="I29" s="181">
        <v>0.10197847336530685</v>
      </c>
      <c r="J29" s="181">
        <v>1.2716229073703289E-2</v>
      </c>
      <c r="K29" s="181">
        <v>0.10215607285499573</v>
      </c>
      <c r="L29" s="181">
        <v>1.6410328447818756E-2</v>
      </c>
      <c r="M29" s="181">
        <v>4.3689836747944355E-3</v>
      </c>
      <c r="N29" s="181">
        <v>0</v>
      </c>
      <c r="O29" s="181">
        <v>0.12588845069686819</v>
      </c>
      <c r="P29" s="154">
        <v>38914</v>
      </c>
      <c r="Q29" s="93">
        <v>0.72346711158752441</v>
      </c>
    </row>
    <row r="30" spans="2:17">
      <c r="B30" s="179">
        <v>26</v>
      </c>
      <c r="C30" s="179">
        <v>1827428</v>
      </c>
      <c r="D30" s="179">
        <v>28700</v>
      </c>
      <c r="E30" s="180">
        <v>2.2100000642240047E-3</v>
      </c>
      <c r="F30" s="179">
        <v>29295</v>
      </c>
      <c r="G30" s="179">
        <v>7271</v>
      </c>
      <c r="H30" s="181">
        <v>0.24819935858249664</v>
      </c>
      <c r="I30" s="181">
        <v>0.10445468872785568</v>
      </c>
      <c r="J30" s="181">
        <v>1.2322922237217426E-2</v>
      </c>
      <c r="K30" s="181">
        <v>0.11257893592119217</v>
      </c>
      <c r="L30" s="181">
        <v>1.4814814552664757E-2</v>
      </c>
      <c r="M30" s="181">
        <v>4.0279910899698734E-3</v>
      </c>
      <c r="N30" s="181">
        <v>0</v>
      </c>
      <c r="O30" s="181">
        <v>0.11678367223756954</v>
      </c>
      <c r="P30" s="154">
        <v>37722</v>
      </c>
      <c r="Q30" s="93">
        <v>0.77660250663757324</v>
      </c>
    </row>
    <row r="31" spans="2:17">
      <c r="B31" s="179">
        <v>27</v>
      </c>
      <c r="C31" s="179">
        <v>1827751</v>
      </c>
      <c r="D31" s="179">
        <v>29900</v>
      </c>
      <c r="E31" s="180">
        <v>2.2899999748915434E-3</v>
      </c>
      <c r="F31" s="179">
        <v>30385</v>
      </c>
      <c r="G31" s="179">
        <v>7678</v>
      </c>
      <c r="H31" s="181">
        <v>0.25269046425819397</v>
      </c>
      <c r="I31" s="181">
        <v>0.10238604247570038</v>
      </c>
      <c r="J31" s="181">
        <v>1.346058864146471E-2</v>
      </c>
      <c r="K31" s="181">
        <v>0.11173276603221893</v>
      </c>
      <c r="L31" s="181">
        <v>2.0997202023863792E-2</v>
      </c>
      <c r="M31" s="181">
        <v>4.1138720698654652E-3</v>
      </c>
      <c r="N31" s="181">
        <v>0</v>
      </c>
      <c r="O31" s="181">
        <v>0.12568665578837537</v>
      </c>
      <c r="P31" s="154">
        <v>38766</v>
      </c>
      <c r="Q31" s="93">
        <v>0.78380537033081055</v>
      </c>
    </row>
    <row r="32" spans="2:17">
      <c r="B32" s="179">
        <v>28</v>
      </c>
      <c r="C32" s="179">
        <v>1826471</v>
      </c>
      <c r="D32" s="179">
        <v>30900</v>
      </c>
      <c r="E32" s="180">
        <v>2.369999885559082E-3</v>
      </c>
      <c r="F32" s="179">
        <v>31440</v>
      </c>
      <c r="G32" s="179">
        <v>8231</v>
      </c>
      <c r="H32" s="181">
        <v>0.26180025935173035</v>
      </c>
      <c r="I32" s="181">
        <v>0.10270356386899948</v>
      </c>
      <c r="J32" s="181">
        <v>1.307251863181591E-2</v>
      </c>
      <c r="K32" s="181">
        <v>0.12423664331436157</v>
      </c>
      <c r="L32" s="181">
        <v>1.8002543598413467E-2</v>
      </c>
      <c r="M32" s="181">
        <v>3.7531806156039238E-3</v>
      </c>
      <c r="N32" s="181">
        <v>0</v>
      </c>
      <c r="O32" s="181">
        <v>0.13090137789860967</v>
      </c>
      <c r="P32" s="154">
        <v>42092</v>
      </c>
      <c r="Q32" s="93">
        <v>0.74693530797958374</v>
      </c>
    </row>
    <row r="33" spans="2:17">
      <c r="B33" s="179">
        <v>29</v>
      </c>
      <c r="C33" s="179">
        <v>1828170</v>
      </c>
      <c r="D33" s="179">
        <v>32000</v>
      </c>
      <c r="E33" s="180">
        <v>2.460000105202198E-3</v>
      </c>
      <c r="F33" s="179">
        <v>32541</v>
      </c>
      <c r="G33" s="179">
        <v>8226</v>
      </c>
      <c r="H33" s="181">
        <v>0.25278878211975098</v>
      </c>
      <c r="I33" s="181">
        <v>0.10153345018625259</v>
      </c>
      <c r="J33" s="181">
        <v>1.204634178429842E-2</v>
      </c>
      <c r="K33" s="181">
        <v>0.11782059818506241</v>
      </c>
      <c r="L33" s="181">
        <v>1.8346086144447327E-2</v>
      </c>
      <c r="M33" s="181">
        <v>3.0730462167412043E-3</v>
      </c>
      <c r="N33" s="181">
        <v>0</v>
      </c>
      <c r="O33" s="181">
        <v>0.14069779917910985</v>
      </c>
      <c r="P33" s="154">
        <v>39093</v>
      </c>
      <c r="Q33" s="93">
        <v>0.83239966630935669</v>
      </c>
    </row>
    <row r="34" spans="2:17">
      <c r="B34" s="179">
        <v>30</v>
      </c>
      <c r="C34" s="179">
        <v>1827203</v>
      </c>
      <c r="D34" s="179">
        <v>33000</v>
      </c>
      <c r="E34" s="180">
        <v>2.529999939724803E-3</v>
      </c>
      <c r="F34" s="179">
        <v>33519</v>
      </c>
      <c r="G34" s="179">
        <v>8594</v>
      </c>
      <c r="H34" s="181">
        <v>0.25639188289642334</v>
      </c>
      <c r="I34" s="181">
        <v>0.10009248554706573</v>
      </c>
      <c r="J34" s="181">
        <v>1.3395387679338455E-2</v>
      </c>
      <c r="K34" s="181">
        <v>0.11715742945671082</v>
      </c>
      <c r="L34" s="181">
        <v>2.1808527410030365E-2</v>
      </c>
      <c r="M34" s="181">
        <v>3.9380649104714394E-3</v>
      </c>
      <c r="N34" s="181">
        <v>0</v>
      </c>
      <c r="O34" s="181">
        <v>0.13044268833622041</v>
      </c>
      <c r="P34" s="154">
        <v>48336</v>
      </c>
      <c r="Q34" s="93">
        <v>0.69345831871032715</v>
      </c>
    </row>
    <row r="35" spans="2:17">
      <c r="B35" s="179">
        <v>31</v>
      </c>
      <c r="C35" s="179">
        <v>1826697</v>
      </c>
      <c r="D35" s="179">
        <v>34000</v>
      </c>
      <c r="E35" s="180">
        <v>2.6100000832229853E-3</v>
      </c>
      <c r="F35" s="179">
        <v>34552</v>
      </c>
      <c r="G35" s="179">
        <v>8901</v>
      </c>
      <c r="H35" s="181">
        <v>0.2576117217540741</v>
      </c>
      <c r="I35" s="181">
        <v>9.9241726100444794E-2</v>
      </c>
      <c r="J35" s="181">
        <v>1.2994905933737755E-2</v>
      </c>
      <c r="K35" s="181">
        <v>0.11678050458431244</v>
      </c>
      <c r="L35" s="181">
        <v>2.4311183020472527E-2</v>
      </c>
      <c r="M35" s="181">
        <v>4.2833988554775715E-3</v>
      </c>
      <c r="N35" s="181">
        <v>0</v>
      </c>
      <c r="O35" s="181">
        <v>0.12293182341477493</v>
      </c>
      <c r="P35" s="154">
        <v>48177</v>
      </c>
      <c r="Q35" s="93">
        <v>0.71718871593475342</v>
      </c>
    </row>
    <row r="36" spans="2:17">
      <c r="B36" s="179">
        <v>32</v>
      </c>
      <c r="C36" s="179">
        <v>1826343</v>
      </c>
      <c r="D36" s="179">
        <v>35100</v>
      </c>
      <c r="E36" s="180">
        <v>2.6899999938905239E-3</v>
      </c>
      <c r="F36" s="179">
        <v>35696</v>
      </c>
      <c r="G36" s="179">
        <v>9480</v>
      </c>
      <c r="H36" s="181">
        <v>0.26557597517967224</v>
      </c>
      <c r="I36" s="181">
        <v>9.8106227815151215E-2</v>
      </c>
      <c r="J36" s="181">
        <v>1.3670999556779861E-2</v>
      </c>
      <c r="K36" s="181">
        <v>0.12208651006221771</v>
      </c>
      <c r="L36" s="181">
        <v>2.6697669178247452E-2</v>
      </c>
      <c r="M36" s="181">
        <v>4.9865529872477055E-3</v>
      </c>
      <c r="N36" s="181">
        <v>0</v>
      </c>
      <c r="O36" s="181">
        <v>0.11686448223698849</v>
      </c>
      <c r="P36" s="154">
        <v>56349</v>
      </c>
      <c r="Q36" s="93">
        <v>0.63348060846328735</v>
      </c>
    </row>
    <row r="37" spans="2:17">
      <c r="B37" s="179">
        <v>33</v>
      </c>
      <c r="C37" s="179">
        <v>1828250</v>
      </c>
      <c r="D37" s="179">
        <v>36200</v>
      </c>
      <c r="E37" s="180">
        <v>2.7799999807029963E-3</v>
      </c>
      <c r="F37" s="179">
        <v>36859</v>
      </c>
      <c r="G37" s="179">
        <v>9574</v>
      </c>
      <c r="H37" s="181">
        <v>0.25974661111831665</v>
      </c>
      <c r="I37" s="181">
        <v>9.6204452216625214E-2</v>
      </c>
      <c r="J37" s="181">
        <v>1.2398599646985531E-2</v>
      </c>
      <c r="K37" s="181">
        <v>0.11907539516687393</v>
      </c>
      <c r="L37" s="181">
        <v>2.6235112920403481E-2</v>
      </c>
      <c r="M37" s="181">
        <v>5.8873002417385578E-3</v>
      </c>
      <c r="N37" s="181">
        <v>0</v>
      </c>
      <c r="O37" s="181">
        <v>0.13466455429885887</v>
      </c>
      <c r="P37" s="154">
        <v>57751</v>
      </c>
      <c r="Q37" s="93">
        <v>0.63824003934860229</v>
      </c>
    </row>
    <row r="38" spans="2:17">
      <c r="B38" s="179">
        <v>34</v>
      </c>
      <c r="C38" s="179">
        <v>1827270</v>
      </c>
      <c r="D38" s="179">
        <v>37500</v>
      </c>
      <c r="E38" s="180">
        <v>2.8699999675154686E-3</v>
      </c>
      <c r="F38" s="179">
        <v>38081</v>
      </c>
      <c r="G38" s="179">
        <v>10078</v>
      </c>
      <c r="H38" s="181">
        <v>0.26464641094207764</v>
      </c>
      <c r="I38" s="181">
        <v>9.4561591744422913E-2</v>
      </c>
      <c r="J38" s="181">
        <v>1.5335732139647007E-2</v>
      </c>
      <c r="K38" s="181">
        <v>0.1165410578250885</v>
      </c>
      <c r="L38" s="181">
        <v>3.0750242993235588E-2</v>
      </c>
      <c r="M38" s="181">
        <v>7.4577871710062027E-3</v>
      </c>
      <c r="N38" s="181">
        <v>0</v>
      </c>
      <c r="O38" s="181">
        <v>0.15897601361097072</v>
      </c>
      <c r="P38" s="154">
        <v>74466</v>
      </c>
      <c r="Q38" s="93">
        <v>0.51138776540756226</v>
      </c>
    </row>
    <row r="39" spans="2:17">
      <c r="B39" s="179">
        <v>35</v>
      </c>
      <c r="C39" s="179">
        <v>1824936</v>
      </c>
      <c r="D39" s="179">
        <v>38700</v>
      </c>
      <c r="E39" s="180">
        <v>2.9700000304728746E-3</v>
      </c>
      <c r="F39" s="179">
        <v>39406</v>
      </c>
      <c r="G39" s="179">
        <v>9980</v>
      </c>
      <c r="H39" s="181">
        <v>0.25326091051101685</v>
      </c>
      <c r="I39" s="181">
        <v>9.371669590473175E-2</v>
      </c>
      <c r="J39" s="181">
        <v>1.4211033470928669E-2</v>
      </c>
      <c r="K39" s="181">
        <v>0.11351063102483749</v>
      </c>
      <c r="L39" s="181">
        <v>2.5275338441133499E-2</v>
      </c>
      <c r="M39" s="181">
        <v>6.5472261048853397E-3</v>
      </c>
      <c r="N39" s="181">
        <v>0</v>
      </c>
      <c r="O39" s="181">
        <v>0.14454487520129444</v>
      </c>
      <c r="P39" s="154">
        <v>72163</v>
      </c>
      <c r="Q39" s="93">
        <v>0.54606932401657104</v>
      </c>
    </row>
    <row r="40" spans="2:17">
      <c r="B40" s="179">
        <v>36</v>
      </c>
      <c r="C40" s="179">
        <v>1828983</v>
      </c>
      <c r="D40" s="179">
        <v>40100</v>
      </c>
      <c r="E40" s="180">
        <v>3.0799999367445707E-3</v>
      </c>
      <c r="F40" s="179">
        <v>40779</v>
      </c>
      <c r="G40" s="179">
        <v>10995</v>
      </c>
      <c r="H40" s="181">
        <v>0.26962408423423767</v>
      </c>
      <c r="I40" s="181">
        <v>9.316069632768631E-2</v>
      </c>
      <c r="J40" s="181">
        <v>1.2702616862952709E-2</v>
      </c>
      <c r="K40" s="181">
        <v>0.12771278619766235</v>
      </c>
      <c r="L40" s="181">
        <v>3.0358763411641121E-2</v>
      </c>
      <c r="M40" s="181">
        <v>5.6892028078436852E-3</v>
      </c>
      <c r="N40" s="181">
        <v>0</v>
      </c>
      <c r="O40" s="181">
        <v>0.14260474164548578</v>
      </c>
      <c r="P40" s="154">
        <v>63982</v>
      </c>
      <c r="Q40" s="93">
        <v>0.63735115528106689</v>
      </c>
    </row>
    <row r="41" spans="2:17">
      <c r="B41" s="179">
        <v>37</v>
      </c>
      <c r="C41" s="179">
        <v>1826955</v>
      </c>
      <c r="D41" s="179">
        <v>41400</v>
      </c>
      <c r="E41" s="180">
        <v>3.1699999235570431E-3</v>
      </c>
      <c r="F41" s="179">
        <v>42038</v>
      </c>
      <c r="G41" s="179">
        <v>11209</v>
      </c>
      <c r="H41" s="181">
        <v>0.26663970947265625</v>
      </c>
      <c r="I41" s="181">
        <v>9.1060467064380646E-2</v>
      </c>
      <c r="J41" s="181">
        <v>1.2464912608265877E-2</v>
      </c>
      <c r="K41" s="181">
        <v>0.12334078550338745</v>
      </c>
      <c r="L41" s="181">
        <v>3.3350776880979538E-2</v>
      </c>
      <c r="M41" s="181">
        <v>6.4227604307234287E-3</v>
      </c>
      <c r="N41" s="181">
        <v>0</v>
      </c>
      <c r="O41" s="181">
        <v>0.15717410458469389</v>
      </c>
      <c r="P41" s="154">
        <v>67222</v>
      </c>
      <c r="Q41" s="93">
        <v>0.62536072731018066</v>
      </c>
    </row>
    <row r="42" spans="2:17">
      <c r="B42" s="179">
        <v>38</v>
      </c>
      <c r="C42" s="179">
        <v>1828339</v>
      </c>
      <c r="D42" s="179">
        <v>42700</v>
      </c>
      <c r="E42" s="180">
        <v>3.2699999865144491E-3</v>
      </c>
      <c r="F42" s="179">
        <v>43266</v>
      </c>
      <c r="G42" s="179">
        <v>11405</v>
      </c>
      <c r="H42" s="181">
        <v>0.26360189914703369</v>
      </c>
      <c r="I42" s="181">
        <v>8.9169323444366455E-2</v>
      </c>
      <c r="J42" s="181">
        <v>1.3636574149131775E-2</v>
      </c>
      <c r="K42" s="181">
        <v>0.12090324610471725</v>
      </c>
      <c r="L42" s="181">
        <v>3.2912679016590118E-2</v>
      </c>
      <c r="M42" s="181">
        <v>7.003189530223608E-3</v>
      </c>
      <c r="N42" s="181">
        <v>0</v>
      </c>
      <c r="O42" s="181">
        <v>0.1791683256899925</v>
      </c>
      <c r="P42" s="154">
        <v>79164</v>
      </c>
      <c r="Q42" s="93">
        <v>0.54653632640838623</v>
      </c>
    </row>
    <row r="43" spans="2:17">
      <c r="B43" s="179">
        <v>39</v>
      </c>
      <c r="C43" s="179">
        <v>1826152</v>
      </c>
      <c r="D43" s="179">
        <v>43900</v>
      </c>
      <c r="E43" s="180">
        <v>3.3599999733269215E-3</v>
      </c>
      <c r="F43" s="179">
        <v>44550</v>
      </c>
      <c r="G43" s="179">
        <v>12076</v>
      </c>
      <c r="H43" s="181">
        <v>0.27106621861457825</v>
      </c>
      <c r="I43" s="181">
        <v>8.8350169360637665E-2</v>
      </c>
      <c r="J43" s="181">
        <v>1.3872053474187851E-2</v>
      </c>
      <c r="K43" s="181">
        <v>0.12592592835426331</v>
      </c>
      <c r="L43" s="181">
        <v>3.5465769469738007E-2</v>
      </c>
      <c r="M43" s="181">
        <v>7.4747474864125252E-3</v>
      </c>
      <c r="N43" s="181">
        <v>0</v>
      </c>
      <c r="O43" s="181">
        <v>0.17692681453093365</v>
      </c>
      <c r="P43" s="154">
        <v>83897</v>
      </c>
      <c r="Q43" s="93">
        <v>0.53100824356079102</v>
      </c>
    </row>
    <row r="44" spans="2:17">
      <c r="B44" s="179">
        <v>40</v>
      </c>
      <c r="C44" s="179">
        <v>1828119</v>
      </c>
      <c r="D44" s="179">
        <v>45200</v>
      </c>
      <c r="E44" s="180">
        <v>3.4600000362843275E-3</v>
      </c>
      <c r="F44" s="179">
        <v>45860</v>
      </c>
      <c r="G44" s="179">
        <v>12015</v>
      </c>
      <c r="H44" s="181">
        <v>0.26199302077293396</v>
      </c>
      <c r="I44" s="181">
        <v>8.5761010646820068E-2</v>
      </c>
      <c r="J44" s="181">
        <v>1.4566070400178432E-2</v>
      </c>
      <c r="K44" s="181">
        <v>0.12001744657754898</v>
      </c>
      <c r="L44" s="181">
        <v>3.4038376063108444E-2</v>
      </c>
      <c r="M44" s="181">
        <v>7.6101175509393215E-3</v>
      </c>
      <c r="N44" s="181">
        <v>0</v>
      </c>
      <c r="O44" s="181">
        <v>0.13995868811293147</v>
      </c>
      <c r="P44" s="154">
        <v>90737</v>
      </c>
      <c r="Q44" s="93">
        <v>0.50541675090789795</v>
      </c>
    </row>
    <row r="45" spans="2:17">
      <c r="B45" s="179">
        <v>41</v>
      </c>
      <c r="C45" s="179">
        <v>1826188</v>
      </c>
      <c r="D45" s="179">
        <v>46500</v>
      </c>
      <c r="E45" s="180">
        <v>3.5600000992417336E-3</v>
      </c>
      <c r="F45" s="179">
        <v>47165</v>
      </c>
      <c r="G45" s="179">
        <v>11938</v>
      </c>
      <c r="H45" s="181">
        <v>0.25311142206192017</v>
      </c>
      <c r="I45" s="181">
        <v>8.1882752478122711E-2</v>
      </c>
      <c r="J45" s="181">
        <v>1.5180748887360096E-2</v>
      </c>
      <c r="K45" s="181">
        <v>0.11601823568344116</v>
      </c>
      <c r="L45" s="181">
        <v>3.2481711357831955E-2</v>
      </c>
      <c r="M45" s="181">
        <v>7.5479699298739433E-3</v>
      </c>
      <c r="N45" s="181">
        <v>0</v>
      </c>
      <c r="O45" s="181">
        <v>0.15007206610081819</v>
      </c>
      <c r="P45" s="154">
        <v>96171</v>
      </c>
      <c r="Q45" s="93">
        <v>0.49042850732803345</v>
      </c>
    </row>
    <row r="46" spans="2:17">
      <c r="B46" s="179">
        <v>42</v>
      </c>
      <c r="C46" s="179">
        <v>1828023</v>
      </c>
      <c r="D46" s="179">
        <v>47800</v>
      </c>
      <c r="E46" s="180">
        <v>3.6700000055134296E-3</v>
      </c>
      <c r="F46" s="179">
        <v>48564</v>
      </c>
      <c r="G46" s="179">
        <v>12906</v>
      </c>
      <c r="H46" s="181">
        <v>0.2657524049282074</v>
      </c>
      <c r="I46" s="181">
        <v>8.0141671001911163E-2</v>
      </c>
      <c r="J46" s="181">
        <v>1.63083765655756E-2</v>
      </c>
      <c r="K46" s="181">
        <v>0.12052137404680252</v>
      </c>
      <c r="L46" s="181">
        <v>3.9288360625505447E-2</v>
      </c>
      <c r="M46" s="181">
        <v>9.5338113605976105E-3</v>
      </c>
      <c r="N46" s="181">
        <v>0</v>
      </c>
      <c r="O46" s="181">
        <v>0.1390467625714602</v>
      </c>
      <c r="P46" s="154">
        <v>109691</v>
      </c>
      <c r="Q46" s="93">
        <v>0.44273459911346436</v>
      </c>
    </row>
    <row r="47" spans="2:17">
      <c r="B47" s="179">
        <v>43</v>
      </c>
      <c r="C47" s="179">
        <v>1827585</v>
      </c>
      <c r="D47" s="179">
        <v>49300</v>
      </c>
      <c r="E47" s="180">
        <v>3.7799999117851257E-3</v>
      </c>
      <c r="F47" s="179">
        <v>50027</v>
      </c>
      <c r="G47" s="179">
        <v>12836</v>
      </c>
      <c r="H47" s="181">
        <v>0.25658145546913147</v>
      </c>
      <c r="I47" s="181">
        <v>7.9497069120407104E-2</v>
      </c>
      <c r="J47" s="181">
        <v>1.5311731956899166E-2</v>
      </c>
      <c r="K47" s="181">
        <v>0.11529774218797684</v>
      </c>
      <c r="L47" s="181">
        <v>3.7319846451282501E-2</v>
      </c>
      <c r="M47" s="181">
        <v>9.1750454157590866E-3</v>
      </c>
      <c r="N47" s="181">
        <v>0</v>
      </c>
      <c r="O47" s="181">
        <v>0.14330829278749488</v>
      </c>
      <c r="P47" s="154">
        <v>107072</v>
      </c>
      <c r="Q47" s="93">
        <v>0.46722766757011414</v>
      </c>
    </row>
    <row r="48" spans="2:17">
      <c r="B48" s="179">
        <v>44</v>
      </c>
      <c r="C48" s="179">
        <v>1826814</v>
      </c>
      <c r="D48" s="179">
        <v>50800</v>
      </c>
      <c r="E48" s="180">
        <v>3.8799999747425318E-3</v>
      </c>
      <c r="F48" s="179">
        <v>51424</v>
      </c>
      <c r="G48" s="179">
        <v>13267</v>
      </c>
      <c r="H48" s="181">
        <v>0.25799238681793213</v>
      </c>
      <c r="I48" s="181">
        <v>7.8465305268764496E-2</v>
      </c>
      <c r="J48" s="181">
        <v>1.5129122883081436E-2</v>
      </c>
      <c r="K48" s="181">
        <v>0.11764934659004211</v>
      </c>
      <c r="L48" s="181">
        <v>3.7531115114688873E-2</v>
      </c>
      <c r="M48" s="181">
        <v>9.217485785484314E-3</v>
      </c>
      <c r="N48" s="181">
        <v>0</v>
      </c>
      <c r="O48" s="181">
        <v>0.14979531884498504</v>
      </c>
      <c r="P48" s="154">
        <v>109462</v>
      </c>
      <c r="Q48" s="93">
        <v>0.46978861093521118</v>
      </c>
    </row>
    <row r="49" spans="2:17">
      <c r="B49" s="179">
        <v>45</v>
      </c>
      <c r="C49" s="179">
        <v>1826381</v>
      </c>
      <c r="D49" s="179">
        <v>52000</v>
      </c>
      <c r="E49" s="180">
        <v>3.9699999615550041E-3</v>
      </c>
      <c r="F49" s="179">
        <v>52669</v>
      </c>
      <c r="G49" s="179">
        <v>14205</v>
      </c>
      <c r="H49" s="181">
        <v>0.26970323920249939</v>
      </c>
      <c r="I49" s="181">
        <v>7.8831948339939117E-2</v>
      </c>
      <c r="J49" s="181">
        <v>1.4239875599741936E-2</v>
      </c>
      <c r="K49" s="181">
        <v>0.12512104213237762</v>
      </c>
      <c r="L49" s="181">
        <v>4.2263951152563095E-2</v>
      </c>
      <c r="M49" s="181">
        <v>9.2274388298392296E-3</v>
      </c>
      <c r="N49" s="181">
        <v>0</v>
      </c>
      <c r="O49" s="181">
        <v>0.15325816133005185</v>
      </c>
      <c r="P49" s="154">
        <v>106941</v>
      </c>
      <c r="Q49" s="93">
        <v>0.49250522255897522</v>
      </c>
    </row>
    <row r="50" spans="2:17">
      <c r="B50" s="179">
        <v>46</v>
      </c>
      <c r="C50" s="179">
        <v>1827404</v>
      </c>
      <c r="D50" s="179">
        <v>53300</v>
      </c>
      <c r="E50" s="180">
        <v>4.0699997916817665E-3</v>
      </c>
      <c r="F50" s="179">
        <v>53978</v>
      </c>
      <c r="G50" s="179">
        <v>14783</v>
      </c>
      <c r="H50" s="181">
        <v>0.27387082576751709</v>
      </c>
      <c r="I50" s="181">
        <v>7.8569047152996063E-2</v>
      </c>
      <c r="J50" s="181">
        <v>1.32090849801898E-2</v>
      </c>
      <c r="K50" s="181">
        <v>0.12905257940292358</v>
      </c>
      <c r="L50" s="181">
        <v>4.4907186180353165E-2</v>
      </c>
      <c r="M50" s="181">
        <v>8.1329429522156715E-3</v>
      </c>
      <c r="N50" s="181">
        <v>0</v>
      </c>
      <c r="O50" s="181">
        <v>0.1591089994261308</v>
      </c>
      <c r="P50" s="154">
        <v>93626</v>
      </c>
      <c r="Q50" s="93">
        <v>0.57652789354324341</v>
      </c>
    </row>
    <row r="51" spans="2:17">
      <c r="B51" s="179">
        <v>47</v>
      </c>
      <c r="C51" s="179">
        <v>1825925</v>
      </c>
      <c r="D51" s="179">
        <v>54600</v>
      </c>
      <c r="E51" s="180">
        <v>4.1700000874698162E-3</v>
      </c>
      <c r="F51" s="179">
        <v>55261</v>
      </c>
      <c r="G51" s="179">
        <v>15091</v>
      </c>
      <c r="H51" s="181">
        <v>0.27308589220046997</v>
      </c>
      <c r="I51" s="181">
        <v>7.7939234673976898E-2</v>
      </c>
      <c r="J51" s="181">
        <v>1.4494852162897587E-2</v>
      </c>
      <c r="K51" s="181">
        <v>0.12569443881511688</v>
      </c>
      <c r="L51" s="181">
        <v>4.5384630560874939E-2</v>
      </c>
      <c r="M51" s="181">
        <v>9.5727546140551567E-3</v>
      </c>
      <c r="N51" s="181">
        <v>0</v>
      </c>
      <c r="O51" s="181">
        <v>0.16868686879302475</v>
      </c>
      <c r="P51" s="154">
        <v>114199</v>
      </c>
      <c r="Q51" s="93">
        <v>0.48390090465545654</v>
      </c>
    </row>
    <row r="52" spans="2:17">
      <c r="B52" s="179">
        <v>48</v>
      </c>
      <c r="C52" s="179">
        <v>1829313</v>
      </c>
      <c r="D52" s="179">
        <v>55900</v>
      </c>
      <c r="E52" s="180">
        <v>4.2699999175965786E-3</v>
      </c>
      <c r="F52" s="179">
        <v>56563</v>
      </c>
      <c r="G52" s="179">
        <v>15482</v>
      </c>
      <c r="H52" s="181">
        <v>0.27371248602867126</v>
      </c>
      <c r="I52" s="181">
        <v>7.6993793249130249E-2</v>
      </c>
      <c r="J52" s="181">
        <v>1.5982178971171379E-2</v>
      </c>
      <c r="K52" s="181">
        <v>0.12467513978481293</v>
      </c>
      <c r="L52" s="181">
        <v>4.5471422374248505E-2</v>
      </c>
      <c r="M52" s="181">
        <v>1.0589961893856525E-2</v>
      </c>
      <c r="N52" s="181">
        <v>0</v>
      </c>
      <c r="O52" s="181">
        <v>0.17631259121016804</v>
      </c>
      <c r="P52" s="154">
        <v>129423</v>
      </c>
      <c r="Q52" s="93">
        <v>0.43703979253768921</v>
      </c>
    </row>
    <row r="53" spans="2:17">
      <c r="B53" s="179">
        <v>49</v>
      </c>
      <c r="C53" s="179">
        <v>1826508</v>
      </c>
      <c r="D53" s="179">
        <v>57300</v>
      </c>
      <c r="E53" s="180">
        <v>4.3799998238682747E-3</v>
      </c>
      <c r="F53" s="179">
        <v>58021</v>
      </c>
      <c r="G53" s="179">
        <v>15798</v>
      </c>
      <c r="H53" s="181">
        <v>0.27228072285652161</v>
      </c>
      <c r="I53" s="181">
        <v>7.6489545404911041E-2</v>
      </c>
      <c r="J53" s="181">
        <v>1.7528137192130089E-2</v>
      </c>
      <c r="K53" s="181">
        <v>0.12080109119415283</v>
      </c>
      <c r="L53" s="181">
        <v>4.6017821878194809E-2</v>
      </c>
      <c r="M53" s="181">
        <v>1.1426896788179874E-2</v>
      </c>
      <c r="N53" s="181">
        <v>0</v>
      </c>
      <c r="O53" s="181">
        <v>0.17098450515159652</v>
      </c>
      <c r="P53" s="154">
        <v>151387</v>
      </c>
      <c r="Q53" s="93">
        <v>0.3832627534866333</v>
      </c>
    </row>
    <row r="54" spans="2:17">
      <c r="B54" s="179">
        <v>50</v>
      </c>
      <c r="C54" s="179">
        <v>1827019</v>
      </c>
      <c r="D54" s="179">
        <v>58800</v>
      </c>
      <c r="E54" s="180">
        <v>4.4999998062849045E-3</v>
      </c>
      <c r="F54" s="179">
        <v>59677</v>
      </c>
      <c r="G54" s="179">
        <v>16468</v>
      </c>
      <c r="H54" s="181">
        <v>0.27595221996307373</v>
      </c>
      <c r="I54" s="181">
        <v>7.530539482831955E-2</v>
      </c>
      <c r="J54" s="181">
        <v>1.7628232017159462E-2</v>
      </c>
      <c r="K54" s="181">
        <v>0.12110193073749542</v>
      </c>
      <c r="L54" s="181">
        <v>4.953332245349884E-2</v>
      </c>
      <c r="M54" s="181">
        <v>1.238333061337471E-2</v>
      </c>
      <c r="N54" s="181">
        <v>0</v>
      </c>
      <c r="O54" s="181">
        <v>0.15251979605949792</v>
      </c>
      <c r="P54" s="154">
        <v>157704</v>
      </c>
      <c r="Q54" s="93">
        <v>0.37841144204139709</v>
      </c>
    </row>
    <row r="55" spans="2:17">
      <c r="B55" s="179">
        <v>51</v>
      </c>
      <c r="C55" s="179">
        <v>1827303</v>
      </c>
      <c r="D55" s="179">
        <v>60500</v>
      </c>
      <c r="E55" s="180">
        <v>4.629999864846468E-3</v>
      </c>
      <c r="F55" s="179">
        <v>61370</v>
      </c>
      <c r="G55" s="179">
        <v>17115</v>
      </c>
      <c r="H55" s="181">
        <v>0.27888217568397522</v>
      </c>
      <c r="I55" s="181">
        <v>7.5427733361721039E-2</v>
      </c>
      <c r="J55" s="181">
        <v>1.6099071130156517E-2</v>
      </c>
      <c r="K55" s="181">
        <v>0.12382271140813828</v>
      </c>
      <c r="L55" s="181">
        <v>5.129542201757431E-2</v>
      </c>
      <c r="M55" s="181">
        <v>1.2220954522490501E-2</v>
      </c>
      <c r="N55" s="181">
        <v>0</v>
      </c>
      <c r="O55" s="181">
        <v>0.15492409083479625</v>
      </c>
      <c r="P55" s="154">
        <v>151222</v>
      </c>
      <c r="Q55" s="93">
        <v>0.40582719445228577</v>
      </c>
    </row>
    <row r="56" spans="2:17">
      <c r="B56" s="179">
        <v>52</v>
      </c>
      <c r="C56" s="179">
        <v>1827177</v>
      </c>
      <c r="D56" s="179">
        <v>62200</v>
      </c>
      <c r="E56" s="180">
        <v>4.7499998472630978E-3</v>
      </c>
      <c r="F56" s="179">
        <v>62964</v>
      </c>
      <c r="G56" s="179">
        <v>17270</v>
      </c>
      <c r="H56" s="181">
        <v>0.27428370714187622</v>
      </c>
      <c r="I56" s="181">
        <v>7.4487008154392242E-2</v>
      </c>
      <c r="J56" s="181">
        <v>1.6088558360934258E-2</v>
      </c>
      <c r="K56" s="181">
        <v>0.12148211896419525</v>
      </c>
      <c r="L56" s="181">
        <v>5.1076807081699371E-2</v>
      </c>
      <c r="M56" s="181">
        <v>1.1149228550493717E-2</v>
      </c>
      <c r="N56" s="181">
        <v>0</v>
      </c>
      <c r="O56" s="181">
        <v>0.17362073749954754</v>
      </c>
      <c r="P56" s="154">
        <v>150320</v>
      </c>
      <c r="Q56" s="93">
        <v>0.41886642575263977</v>
      </c>
    </row>
    <row r="57" spans="2:17">
      <c r="B57" s="179">
        <v>53</v>
      </c>
      <c r="C57" s="179">
        <v>1827301</v>
      </c>
      <c r="D57" s="179">
        <v>63700</v>
      </c>
      <c r="E57" s="180">
        <v>4.8699998296797276E-3</v>
      </c>
      <c r="F57" s="179">
        <v>64494</v>
      </c>
      <c r="G57" s="179">
        <v>18192</v>
      </c>
      <c r="H57" s="181">
        <v>0.2820727527141571</v>
      </c>
      <c r="I57" s="181">
        <v>7.4735634028911591E-2</v>
      </c>
      <c r="J57" s="181">
        <v>1.6296088695526123E-2</v>
      </c>
      <c r="K57" s="181">
        <v>0.124972864985466</v>
      </c>
      <c r="L57" s="181">
        <v>5.4222099483013153E-2</v>
      </c>
      <c r="M57" s="181">
        <v>1.1877073906362057E-2</v>
      </c>
      <c r="N57" s="181">
        <v>0</v>
      </c>
      <c r="O57" s="181">
        <v>0.15809075423683858</v>
      </c>
      <c r="P57" s="154">
        <v>153428</v>
      </c>
      <c r="Q57" s="93">
        <v>0.42035353183746338</v>
      </c>
    </row>
    <row r="58" spans="2:17">
      <c r="B58" s="179">
        <v>54</v>
      </c>
      <c r="C58" s="179">
        <v>1827985</v>
      </c>
      <c r="D58" s="179">
        <v>65400</v>
      </c>
      <c r="E58" s="180">
        <v>4.999999888241291E-3</v>
      </c>
      <c r="F58" s="179">
        <v>66204</v>
      </c>
      <c r="G58" s="179">
        <v>18774</v>
      </c>
      <c r="H58" s="181">
        <v>0.28357803821563721</v>
      </c>
      <c r="I58" s="181">
        <v>7.4436590075492859E-2</v>
      </c>
      <c r="J58" s="181">
        <v>1.617727056145668E-2</v>
      </c>
      <c r="K58" s="181">
        <v>0.12464503943920135</v>
      </c>
      <c r="L58" s="181">
        <v>5.7383239269256592E-2</v>
      </c>
      <c r="M58" s="181">
        <v>1.0935895144939423E-2</v>
      </c>
      <c r="N58" s="181">
        <v>0</v>
      </c>
      <c r="O58" s="181">
        <v>0.15124330673528463</v>
      </c>
      <c r="P58" s="154">
        <v>160017</v>
      </c>
      <c r="Q58" s="93">
        <v>0.41373103857040405</v>
      </c>
    </row>
    <row r="59" spans="2:17">
      <c r="B59" s="179">
        <v>55</v>
      </c>
      <c r="C59" s="179">
        <v>1825681</v>
      </c>
      <c r="D59" s="179">
        <v>67100</v>
      </c>
      <c r="E59" s="180">
        <v>5.1299999468028545E-3</v>
      </c>
      <c r="F59" s="179">
        <v>68055</v>
      </c>
      <c r="G59" s="179">
        <v>19021</v>
      </c>
      <c r="H59" s="181">
        <v>0.2794945240020752</v>
      </c>
      <c r="I59" s="181">
        <v>7.2735287249088287E-2</v>
      </c>
      <c r="J59" s="181">
        <v>1.764749176800251E-2</v>
      </c>
      <c r="K59" s="181">
        <v>0.12018220871686935</v>
      </c>
      <c r="L59" s="181">
        <v>5.616045743227005E-2</v>
      </c>
      <c r="M59" s="181">
        <v>1.2754390016198158E-2</v>
      </c>
      <c r="N59" s="181">
        <v>0</v>
      </c>
      <c r="O59" s="181">
        <v>0.15513795370607797</v>
      </c>
      <c r="P59" s="154">
        <v>182193</v>
      </c>
      <c r="Q59" s="93">
        <v>0.37353247404098511</v>
      </c>
    </row>
    <row r="60" spans="2:17">
      <c r="B60" s="179">
        <v>56</v>
      </c>
      <c r="C60" s="179">
        <v>1828049</v>
      </c>
      <c r="D60" s="179">
        <v>69000</v>
      </c>
      <c r="E60" s="180">
        <v>5.2899997681379318E-3</v>
      </c>
      <c r="F60" s="179">
        <v>70096</v>
      </c>
      <c r="G60" s="179">
        <v>19438</v>
      </c>
      <c r="H60" s="181">
        <v>0.27730542421340942</v>
      </c>
      <c r="I60" s="181">
        <v>7.1944192051887512E-2</v>
      </c>
      <c r="J60" s="181">
        <v>1.9558889791369438E-2</v>
      </c>
      <c r="K60" s="181">
        <v>0.11723921447992325</v>
      </c>
      <c r="L60" s="181">
        <v>5.5038802325725555E-2</v>
      </c>
      <c r="M60" s="181">
        <v>1.3524309732019901E-2</v>
      </c>
      <c r="N60" s="181">
        <v>0</v>
      </c>
      <c r="O60" s="181">
        <v>0.16605741173586572</v>
      </c>
      <c r="P60" s="154">
        <v>212005</v>
      </c>
      <c r="Q60" s="93">
        <v>0.33063369989395142</v>
      </c>
    </row>
    <row r="61" spans="2:17">
      <c r="B61" s="179">
        <v>57</v>
      </c>
      <c r="C61" s="179">
        <v>1827963</v>
      </c>
      <c r="D61" s="179">
        <v>71200</v>
      </c>
      <c r="E61" s="180">
        <v>5.4600001312792301E-3</v>
      </c>
      <c r="F61" s="179">
        <v>72340</v>
      </c>
      <c r="G61" s="179">
        <v>20273</v>
      </c>
      <c r="H61" s="181">
        <v>0.28024604916572571</v>
      </c>
      <c r="I61" s="181">
        <v>7.0887476205825806E-2</v>
      </c>
      <c r="J61" s="181">
        <v>1.9256290048360825E-2</v>
      </c>
      <c r="K61" s="181">
        <v>0.11813657730817795</v>
      </c>
      <c r="L61" s="181">
        <v>5.8128282427787781E-2</v>
      </c>
      <c r="M61" s="181">
        <v>1.3851257972419262E-2</v>
      </c>
      <c r="N61" s="181">
        <v>0</v>
      </c>
      <c r="O61" s="181">
        <v>0.16244605354240663</v>
      </c>
      <c r="P61" s="154">
        <v>212929</v>
      </c>
      <c r="Q61" s="93">
        <v>0.3397376537322998</v>
      </c>
    </row>
    <row r="62" spans="2:17">
      <c r="B62" s="179">
        <v>58</v>
      </c>
      <c r="C62" s="179">
        <v>1825800</v>
      </c>
      <c r="D62" s="179">
        <v>73500</v>
      </c>
      <c r="E62" s="180">
        <v>5.6199999526143074E-3</v>
      </c>
      <c r="F62" s="179">
        <v>74600</v>
      </c>
      <c r="G62" s="179">
        <v>21099</v>
      </c>
      <c r="H62" s="181">
        <v>0.28282842040061951</v>
      </c>
      <c r="I62" s="181">
        <v>6.7278817296028137E-2</v>
      </c>
      <c r="J62" s="181">
        <v>1.9638068974018097E-2</v>
      </c>
      <c r="K62" s="181">
        <v>0.11939678341150284</v>
      </c>
      <c r="L62" s="181">
        <v>6.2895439565181732E-2</v>
      </c>
      <c r="M62" s="181">
        <v>1.360589824616909E-2</v>
      </c>
      <c r="N62" s="181">
        <v>0</v>
      </c>
      <c r="O62" s="181">
        <v>0.16237742424898344</v>
      </c>
      <c r="P62" s="154">
        <v>221855</v>
      </c>
      <c r="Q62" s="93">
        <v>0.33625566959381104</v>
      </c>
    </row>
    <row r="63" spans="2:17">
      <c r="B63" s="179">
        <v>59</v>
      </c>
      <c r="C63" s="179">
        <v>1827030</v>
      </c>
      <c r="D63" s="179">
        <v>75700</v>
      </c>
      <c r="E63" s="180">
        <v>5.8100000023841858E-3</v>
      </c>
      <c r="F63" s="179">
        <v>76989</v>
      </c>
      <c r="G63" s="179">
        <v>21871</v>
      </c>
      <c r="H63" s="181">
        <v>0.28407955169677734</v>
      </c>
      <c r="I63" s="181">
        <v>6.4074091613292694E-2</v>
      </c>
      <c r="J63" s="181">
        <v>2.0600344985723495E-2</v>
      </c>
      <c r="K63" s="181">
        <v>0.12114717811346054</v>
      </c>
      <c r="L63" s="181">
        <v>6.3554532825946808E-2</v>
      </c>
      <c r="M63" s="181">
        <v>1.469041034579277E-2</v>
      </c>
      <c r="N63" s="181">
        <v>0</v>
      </c>
      <c r="O63" s="181">
        <v>0.16617456092473967</v>
      </c>
      <c r="P63" s="154">
        <v>245920</v>
      </c>
      <c r="Q63" s="93">
        <v>0.31306523084640503</v>
      </c>
    </row>
    <row r="64" spans="2:17">
      <c r="B64" s="179">
        <v>60</v>
      </c>
      <c r="C64" s="179">
        <v>1828714</v>
      </c>
      <c r="D64" s="179">
        <v>78200</v>
      </c>
      <c r="E64" s="180">
        <v>6.0100001282989979E-3</v>
      </c>
      <c r="F64" s="179">
        <v>79591</v>
      </c>
      <c r="G64" s="179">
        <v>22470</v>
      </c>
      <c r="H64" s="181">
        <v>0.2823183536529541</v>
      </c>
      <c r="I64" s="181">
        <v>6.3110150396823883E-2</v>
      </c>
      <c r="J64" s="181">
        <v>2.0416881889104843E-2</v>
      </c>
      <c r="K64" s="181">
        <v>0.11893304437398911</v>
      </c>
      <c r="L64" s="181">
        <v>6.5019913017749786E-2</v>
      </c>
      <c r="M64" s="181">
        <v>1.483836118131876E-2</v>
      </c>
      <c r="N64" s="181">
        <v>0</v>
      </c>
      <c r="O64" s="181">
        <v>0.14621993005368797</v>
      </c>
      <c r="P64" s="154">
        <v>245671</v>
      </c>
      <c r="Q64" s="93">
        <v>0.32397392392158508</v>
      </c>
    </row>
    <row r="65" spans="2:17">
      <c r="B65" s="179">
        <v>61</v>
      </c>
      <c r="C65" s="179">
        <v>1827355</v>
      </c>
      <c r="D65" s="179">
        <v>81000</v>
      </c>
      <c r="E65" s="180">
        <v>6.2299999408423901E-3</v>
      </c>
      <c r="F65" s="179">
        <v>82591</v>
      </c>
      <c r="G65" s="179">
        <v>23484</v>
      </c>
      <c r="H65" s="181">
        <v>0.28434091806411743</v>
      </c>
      <c r="I65" s="181">
        <v>6.2597617506980896E-2</v>
      </c>
      <c r="J65" s="181">
        <v>2.2447966039180756E-2</v>
      </c>
      <c r="K65" s="181">
        <v>0.11946821957826614</v>
      </c>
      <c r="L65" s="181">
        <v>6.506761908531189E-2</v>
      </c>
      <c r="M65" s="181">
        <v>1.4759477227926254E-2</v>
      </c>
      <c r="N65" s="181">
        <v>0</v>
      </c>
      <c r="O65" s="181">
        <v>0.14467443916972403</v>
      </c>
      <c r="P65" s="154">
        <v>274116</v>
      </c>
      <c r="Q65" s="93">
        <v>0.30129945278167725</v>
      </c>
    </row>
    <row r="66" spans="2:17">
      <c r="B66" s="179">
        <v>62</v>
      </c>
      <c r="C66" s="179">
        <v>1826583</v>
      </c>
      <c r="D66" s="179">
        <v>84100</v>
      </c>
      <c r="E66" s="180">
        <v>6.4599998295307159E-3</v>
      </c>
      <c r="F66" s="179">
        <v>85659</v>
      </c>
      <c r="G66" s="179">
        <v>24881</v>
      </c>
      <c r="H66" s="181">
        <v>0.29046568274497986</v>
      </c>
      <c r="I66" s="181">
        <v>6.2632061541080475E-2</v>
      </c>
      <c r="J66" s="181">
        <v>2.359355054795742E-2</v>
      </c>
      <c r="K66" s="181">
        <v>0.12031427025794983</v>
      </c>
      <c r="L66" s="181">
        <v>6.8002194166183472E-2</v>
      </c>
      <c r="M66" s="181">
        <v>1.5935277566313744E-2</v>
      </c>
      <c r="N66" s="181">
        <v>0</v>
      </c>
      <c r="O66" s="181">
        <v>0.14143480641169404</v>
      </c>
      <c r="P66" s="154">
        <v>293732</v>
      </c>
      <c r="Q66" s="93">
        <v>0.29162296652793884</v>
      </c>
    </row>
    <row r="67" spans="2:17">
      <c r="B67" s="179">
        <v>63</v>
      </c>
      <c r="C67" s="179">
        <v>1828123</v>
      </c>
      <c r="D67" s="179">
        <v>87300</v>
      </c>
      <c r="E67" s="180">
        <v>6.7099998705089092E-3</v>
      </c>
      <c r="F67" s="179">
        <v>88933</v>
      </c>
      <c r="G67" s="179">
        <v>26351</v>
      </c>
      <c r="H67" s="181">
        <v>0.29630172252655029</v>
      </c>
      <c r="I67" s="181">
        <v>6.1889287084341049E-2</v>
      </c>
      <c r="J67" s="181">
        <v>2.2545062005519867E-2</v>
      </c>
      <c r="K67" s="181">
        <v>0.12187826633453369</v>
      </c>
      <c r="L67" s="181">
        <v>7.5596235692501068E-2</v>
      </c>
      <c r="M67" s="181">
        <v>1.4392857439815998E-2</v>
      </c>
      <c r="N67" s="181">
        <v>0</v>
      </c>
      <c r="O67" s="181">
        <v>0.14253107901916989</v>
      </c>
      <c r="P67" s="154">
        <v>290441</v>
      </c>
      <c r="Q67" s="93">
        <v>0.30619987845420837</v>
      </c>
    </row>
    <row r="68" spans="2:17">
      <c r="B68" s="179">
        <v>64</v>
      </c>
      <c r="C68" s="179">
        <v>1826683</v>
      </c>
      <c r="D68" s="179">
        <v>90700</v>
      </c>
      <c r="E68" s="180">
        <v>6.9699999876320362E-3</v>
      </c>
      <c r="F68" s="179">
        <v>92377</v>
      </c>
      <c r="G68" s="179">
        <v>26509</v>
      </c>
      <c r="H68" s="181">
        <v>0.28696537017822266</v>
      </c>
      <c r="I68" s="181">
        <v>6.1541292816400528E-2</v>
      </c>
      <c r="J68" s="181">
        <v>2.2559728473424911E-2</v>
      </c>
      <c r="K68" s="181">
        <v>0.11849270015954971</v>
      </c>
      <c r="L68" s="181">
        <v>7.0266410708427429E-2</v>
      </c>
      <c r="M68" s="181">
        <v>1.4116067439317703E-2</v>
      </c>
      <c r="N68" s="181">
        <v>0</v>
      </c>
      <c r="O68" s="181">
        <v>0.13381127153899738</v>
      </c>
      <c r="P68" s="154">
        <v>308035</v>
      </c>
      <c r="Q68" s="93">
        <v>0.29989123344421387</v>
      </c>
    </row>
    <row r="69" spans="2:17">
      <c r="B69" s="179">
        <v>65</v>
      </c>
      <c r="C69" s="179">
        <v>1827018</v>
      </c>
      <c r="D69" s="179">
        <v>94000</v>
      </c>
      <c r="E69" s="180">
        <v>7.2300001047551632E-3</v>
      </c>
      <c r="F69" s="179">
        <v>95778</v>
      </c>
      <c r="G69" s="179">
        <v>28193</v>
      </c>
      <c r="H69" s="181">
        <v>0.2943577766418457</v>
      </c>
      <c r="I69" s="181">
        <v>6.1277121305465698E-2</v>
      </c>
      <c r="J69" s="181">
        <v>2.25417111068964E-2</v>
      </c>
      <c r="K69" s="181">
        <v>0.1223558634519577</v>
      </c>
      <c r="L69" s="181">
        <v>7.2939507663249969E-2</v>
      </c>
      <c r="M69" s="181">
        <v>1.5243584290146828E-2</v>
      </c>
      <c r="N69" s="181">
        <v>0</v>
      </c>
      <c r="O69" s="181">
        <v>0.12894646401352231</v>
      </c>
      <c r="P69" s="154">
        <v>314329</v>
      </c>
      <c r="Q69" s="93">
        <v>0.30470621585845947</v>
      </c>
    </row>
    <row r="70" spans="2:17">
      <c r="B70" s="179">
        <v>66</v>
      </c>
      <c r="C70" s="179">
        <v>1826332</v>
      </c>
      <c r="D70" s="179">
        <v>97700</v>
      </c>
      <c r="E70" s="180">
        <v>7.4900002218782902E-3</v>
      </c>
      <c r="F70" s="179">
        <v>99325</v>
      </c>
      <c r="G70" s="179">
        <v>29816</v>
      </c>
      <c r="H70" s="181">
        <v>0.30018624663352966</v>
      </c>
      <c r="I70" s="181">
        <v>6.1424616724252701E-2</v>
      </c>
      <c r="J70" s="181">
        <v>2.265290729701519E-2</v>
      </c>
      <c r="K70" s="181">
        <v>0.12365467101335526</v>
      </c>
      <c r="L70" s="181">
        <v>7.7452808618545532E-2</v>
      </c>
      <c r="M70" s="181">
        <v>1.5001258812844753E-2</v>
      </c>
      <c r="N70" s="181">
        <v>0</v>
      </c>
      <c r="O70" s="181">
        <v>0.12623499329052512</v>
      </c>
      <c r="P70" s="154">
        <v>337455</v>
      </c>
      <c r="Q70" s="93">
        <v>0.29433554410934448</v>
      </c>
    </row>
    <row r="71" spans="2:17">
      <c r="B71" s="179">
        <v>67</v>
      </c>
      <c r="C71" s="179">
        <v>1827886</v>
      </c>
      <c r="D71" s="179">
        <v>101000</v>
      </c>
      <c r="E71" s="180">
        <v>7.7700000256299973E-3</v>
      </c>
      <c r="F71" s="179">
        <v>102926</v>
      </c>
      <c r="G71" s="179">
        <v>30362</v>
      </c>
      <c r="H71" s="181">
        <v>0.29498863220214844</v>
      </c>
      <c r="I71" s="181">
        <v>6.0460913926362991E-2</v>
      </c>
      <c r="J71" s="181">
        <v>2.3541184142231941E-2</v>
      </c>
      <c r="K71" s="181">
        <v>0.1202222928404808</v>
      </c>
      <c r="L71" s="181">
        <v>7.5277380645275116E-2</v>
      </c>
      <c r="M71" s="181">
        <v>1.5496570616960526E-2</v>
      </c>
      <c r="N71" s="181">
        <v>0</v>
      </c>
      <c r="O71" s="181">
        <v>0.13214865023727809</v>
      </c>
      <c r="P71" s="154">
        <v>351849</v>
      </c>
      <c r="Q71" s="93">
        <v>0.29252889752388</v>
      </c>
    </row>
    <row r="72" spans="2:17">
      <c r="B72" s="179">
        <v>68</v>
      </c>
      <c r="C72" s="179">
        <v>1827801</v>
      </c>
      <c r="D72" s="179">
        <v>105000</v>
      </c>
      <c r="E72" s="180">
        <v>8.0800000578165054E-3</v>
      </c>
      <c r="F72" s="179">
        <v>106999</v>
      </c>
      <c r="G72" s="179">
        <v>31675</v>
      </c>
      <c r="H72" s="181">
        <v>0.29603078961372375</v>
      </c>
      <c r="I72" s="181">
        <v>5.9879064559936523E-2</v>
      </c>
      <c r="J72" s="181">
        <v>2.5355376303195953E-2</v>
      </c>
      <c r="K72" s="181">
        <v>0.11714128404855728</v>
      </c>
      <c r="L72" s="181">
        <v>7.6402582228183746E-2</v>
      </c>
      <c r="M72" s="181">
        <v>1.7261844128370285E-2</v>
      </c>
      <c r="N72" s="181">
        <v>0</v>
      </c>
      <c r="O72" s="181">
        <v>0.13063341275068577</v>
      </c>
      <c r="P72" s="154">
        <v>415056</v>
      </c>
      <c r="Q72" s="93">
        <v>0.25779414176940918</v>
      </c>
    </row>
    <row r="73" spans="2:17">
      <c r="B73" s="179">
        <v>69</v>
      </c>
      <c r="C73" s="179">
        <v>1827178</v>
      </c>
      <c r="D73" s="179">
        <v>109000</v>
      </c>
      <c r="E73" s="180">
        <v>8.39999970048666E-3</v>
      </c>
      <c r="F73" s="179">
        <v>111296</v>
      </c>
      <c r="G73" s="179">
        <v>32998</v>
      </c>
      <c r="H73" s="181">
        <v>0.29648864269256592</v>
      </c>
      <c r="I73" s="181">
        <v>5.9409141540527344E-2</v>
      </c>
      <c r="J73" s="181">
        <v>2.3783424869179726E-2</v>
      </c>
      <c r="K73" s="181">
        <v>0.11568250507116318</v>
      </c>
      <c r="L73" s="181">
        <v>7.9661443829536438E-2</v>
      </c>
      <c r="M73" s="181">
        <v>1.7961112782359123E-2</v>
      </c>
      <c r="N73" s="181">
        <v>0</v>
      </c>
      <c r="O73" s="181">
        <v>0.12721452590770868</v>
      </c>
      <c r="P73" s="154">
        <v>418680</v>
      </c>
      <c r="Q73" s="93">
        <v>0.26582592725753784</v>
      </c>
    </row>
    <row r="74" spans="2:17">
      <c r="B74" s="179">
        <v>70</v>
      </c>
      <c r="C74" s="179">
        <v>1826641</v>
      </c>
      <c r="D74" s="179">
        <v>114000</v>
      </c>
      <c r="E74" s="180">
        <v>8.7400004267692566E-3</v>
      </c>
      <c r="F74" s="179">
        <v>115912</v>
      </c>
      <c r="G74" s="179">
        <v>34608</v>
      </c>
      <c r="H74" s="181">
        <v>0.29857131838798523</v>
      </c>
      <c r="I74" s="181">
        <v>5.9096556156873703E-2</v>
      </c>
      <c r="J74" s="181">
        <v>2.6399336755275726E-2</v>
      </c>
      <c r="K74" s="181">
        <v>0.11430223286151886</v>
      </c>
      <c r="L74" s="181">
        <v>8.0794051289558411E-2</v>
      </c>
      <c r="M74" s="181">
        <v>1.7979156225919724E-2</v>
      </c>
      <c r="N74" s="181">
        <v>0</v>
      </c>
      <c r="O74" s="181">
        <v>0.1251748323191815</v>
      </c>
      <c r="P74" s="154">
        <v>472639</v>
      </c>
      <c r="Q74" s="93">
        <v>0.24524424970149994</v>
      </c>
    </row>
    <row r="75" spans="2:17">
      <c r="B75" s="179">
        <v>71</v>
      </c>
      <c r="C75" s="179">
        <v>1827936</v>
      </c>
      <c r="D75" s="179">
        <v>118000</v>
      </c>
      <c r="E75" s="180">
        <v>9.089999832212925E-3</v>
      </c>
      <c r="F75" s="179">
        <v>120448</v>
      </c>
      <c r="G75" s="179">
        <v>36628</v>
      </c>
      <c r="H75" s="181">
        <v>0.30409803986549377</v>
      </c>
      <c r="I75" s="181">
        <v>5.8921691030263901E-2</v>
      </c>
      <c r="J75" s="181">
        <v>2.5687433779239655E-2</v>
      </c>
      <c r="K75" s="181">
        <v>0.11458887159824371</v>
      </c>
      <c r="L75" s="181">
        <v>8.670961856842041E-2</v>
      </c>
      <c r="M75" s="181">
        <v>1.8182119354605675E-2</v>
      </c>
      <c r="N75" s="181">
        <v>0</v>
      </c>
      <c r="O75" s="181">
        <v>0.1186292896808102</v>
      </c>
      <c r="P75" s="154">
        <v>501083</v>
      </c>
      <c r="Q75" s="93">
        <v>0.2403753399848938</v>
      </c>
    </row>
    <row r="76" spans="2:17">
      <c r="B76" s="179">
        <v>72</v>
      </c>
      <c r="C76" s="179">
        <v>1827572</v>
      </c>
      <c r="D76" s="179">
        <v>123000</v>
      </c>
      <c r="E76" s="180">
        <v>9.4200000166893005E-3</v>
      </c>
      <c r="F76" s="179">
        <v>124857</v>
      </c>
      <c r="G76" s="179">
        <v>37641</v>
      </c>
      <c r="H76" s="181">
        <v>0.30147287249565125</v>
      </c>
      <c r="I76" s="181">
        <v>5.8571003377437592E-2</v>
      </c>
      <c r="J76" s="181">
        <v>2.5413071736693382E-2</v>
      </c>
      <c r="K76" s="181">
        <v>0.11312141269445419</v>
      </c>
      <c r="L76" s="181">
        <v>8.5641972720623016E-2</v>
      </c>
      <c r="M76" s="181">
        <v>1.8725421279668808E-2</v>
      </c>
      <c r="N76" s="181">
        <v>0</v>
      </c>
      <c r="O76" s="181">
        <v>0.11739462189770872</v>
      </c>
      <c r="P76" s="154">
        <v>511824</v>
      </c>
      <c r="Q76" s="93">
        <v>0.24394518136978149</v>
      </c>
    </row>
    <row r="77" spans="2:17">
      <c r="B77" s="179">
        <v>73</v>
      </c>
      <c r="C77" s="179">
        <v>1826956</v>
      </c>
      <c r="D77" s="179">
        <v>127000</v>
      </c>
      <c r="E77" s="180">
        <v>9.7799999639391899E-3</v>
      </c>
      <c r="F77" s="179">
        <v>129646</v>
      </c>
      <c r="G77" s="179">
        <v>39303</v>
      </c>
      <c r="H77" s="181">
        <v>0.3031562864780426</v>
      </c>
      <c r="I77" s="181">
        <v>5.8598026633262634E-2</v>
      </c>
      <c r="J77" s="181">
        <v>2.5793313980102539E-2</v>
      </c>
      <c r="K77" s="181">
        <v>0.11460438370704651</v>
      </c>
      <c r="L77" s="181">
        <v>8.522438257932663E-2</v>
      </c>
      <c r="M77" s="181">
        <v>1.8936179578304291E-2</v>
      </c>
      <c r="N77" s="181">
        <v>0</v>
      </c>
      <c r="O77" s="181">
        <v>0.11356028500923404</v>
      </c>
      <c r="P77" s="154">
        <v>528433</v>
      </c>
      <c r="Q77" s="93">
        <v>0.24534046649932861</v>
      </c>
    </row>
    <row r="78" spans="2:17">
      <c r="B78" s="179">
        <v>74</v>
      </c>
      <c r="C78" s="179">
        <v>1826908</v>
      </c>
      <c r="D78" s="179">
        <v>132000</v>
      </c>
      <c r="E78" s="180">
        <v>1.0169999673962593E-2</v>
      </c>
      <c r="F78" s="179">
        <v>134848</v>
      </c>
      <c r="G78" s="179">
        <v>40775</v>
      </c>
      <c r="H78" s="181">
        <v>0.30237749218940735</v>
      </c>
      <c r="I78" s="181">
        <v>5.7420205324888229E-2</v>
      </c>
      <c r="J78" s="181">
        <v>2.6296274736523628E-2</v>
      </c>
      <c r="K78" s="181">
        <v>0.1079585924744606</v>
      </c>
      <c r="L78" s="181">
        <v>8.9196726679801941E-2</v>
      </c>
      <c r="M78" s="181">
        <v>2.1498279646039009E-2</v>
      </c>
      <c r="N78" s="181">
        <v>0</v>
      </c>
      <c r="O78" s="181">
        <v>0.11355096711424631</v>
      </c>
      <c r="P78" s="154">
        <v>605918</v>
      </c>
      <c r="Q78" s="93">
        <v>0.22255156934261322</v>
      </c>
    </row>
    <row r="79" spans="2:17">
      <c r="B79" s="179">
        <v>75</v>
      </c>
      <c r="C79" s="179">
        <v>1827500</v>
      </c>
      <c r="D79" s="179">
        <v>138000</v>
      </c>
      <c r="E79" s="180">
        <v>1.0579999536275864E-2</v>
      </c>
      <c r="F79" s="179">
        <v>140233</v>
      </c>
      <c r="G79" s="179">
        <v>41896</v>
      </c>
      <c r="H79" s="181">
        <v>0.29875990748405457</v>
      </c>
      <c r="I79" s="181">
        <v>5.6833982467651367E-2</v>
      </c>
      <c r="J79" s="181">
        <v>2.6184992864727974E-2</v>
      </c>
      <c r="K79" s="181">
        <v>0.10700049251317978</v>
      </c>
      <c r="L79" s="181">
        <v>8.8160417973995209E-2</v>
      </c>
      <c r="M79" s="181">
        <v>2.0587164908647537E-2</v>
      </c>
      <c r="N79" s="181">
        <v>0</v>
      </c>
      <c r="O79" s="181">
        <v>0.10815900777856075</v>
      </c>
      <c r="P79" s="154">
        <v>639744</v>
      </c>
      <c r="Q79" s="93">
        <v>0.21920174360275269</v>
      </c>
    </row>
    <row r="80" spans="2:17">
      <c r="B80" s="179">
        <v>76</v>
      </c>
      <c r="C80" s="179">
        <v>1826094</v>
      </c>
      <c r="D80" s="179">
        <v>143000</v>
      </c>
      <c r="E80" s="180">
        <v>1.0990000329911709E-2</v>
      </c>
      <c r="F80" s="179">
        <v>145765</v>
      </c>
      <c r="G80" s="179">
        <v>43906</v>
      </c>
      <c r="H80" s="181">
        <v>0.30121085047721863</v>
      </c>
      <c r="I80" s="181">
        <v>5.5219016969203949E-2</v>
      </c>
      <c r="J80" s="181">
        <v>2.6721091940999031E-2</v>
      </c>
      <c r="K80" s="181">
        <v>0.10672657936811447</v>
      </c>
      <c r="L80" s="181">
        <v>9.1235890984535217E-2</v>
      </c>
      <c r="M80" s="181">
        <v>2.130826935172081E-2</v>
      </c>
      <c r="N80" s="181">
        <v>0</v>
      </c>
      <c r="O80" s="181">
        <v>9.7008098933029016E-2</v>
      </c>
      <c r="P80" s="154">
        <v>668748</v>
      </c>
      <c r="Q80" s="93">
        <v>0.21796700358390808</v>
      </c>
    </row>
    <row r="81" spans="2:17">
      <c r="B81" s="179">
        <v>77</v>
      </c>
      <c r="C81" s="179">
        <v>1828463</v>
      </c>
      <c r="D81" s="179">
        <v>149000</v>
      </c>
      <c r="E81" s="180">
        <v>1.1450000107288361E-2</v>
      </c>
      <c r="F81" s="179">
        <v>151608</v>
      </c>
      <c r="G81" s="179">
        <v>43918</v>
      </c>
      <c r="H81" s="181">
        <v>0.28968128561973572</v>
      </c>
      <c r="I81" s="181">
        <v>4.9885232001543045E-2</v>
      </c>
      <c r="J81" s="181">
        <v>2.8098780661821365E-2</v>
      </c>
      <c r="K81" s="181">
        <v>9.9157035350799561E-2</v>
      </c>
      <c r="L81" s="181">
        <v>8.8168174028396606E-2</v>
      </c>
      <c r="M81" s="181">
        <v>2.437206543982029E-2</v>
      </c>
      <c r="N81" s="181">
        <v>0</v>
      </c>
      <c r="O81" s="181">
        <v>0.10276330644360583</v>
      </c>
      <c r="P81" s="154">
        <v>758210</v>
      </c>
      <c r="Q81" s="93">
        <v>0.19995515048503876</v>
      </c>
    </row>
    <row r="82" spans="2:17">
      <c r="B82" s="179">
        <v>78</v>
      </c>
      <c r="C82" s="179">
        <v>1826929</v>
      </c>
      <c r="D82" s="179">
        <v>154000</v>
      </c>
      <c r="E82" s="180">
        <v>1.1880000121891499E-2</v>
      </c>
      <c r="F82" s="179">
        <v>157471</v>
      </c>
      <c r="G82" s="179">
        <v>45252</v>
      </c>
      <c r="H82" s="181">
        <v>0.28736719489097595</v>
      </c>
      <c r="I82" s="181">
        <v>4.8212051391601563E-2</v>
      </c>
      <c r="J82" s="181">
        <v>2.7738440781831741E-2</v>
      </c>
      <c r="K82" s="181">
        <v>9.9008709192276001E-2</v>
      </c>
      <c r="L82" s="181">
        <v>8.8397227227687836E-2</v>
      </c>
      <c r="M82" s="181">
        <v>2.401077002286911E-2</v>
      </c>
      <c r="N82" s="181">
        <v>0</v>
      </c>
      <c r="O82" s="181">
        <v>9.7605173547296184E-2</v>
      </c>
      <c r="P82" s="154">
        <v>798781</v>
      </c>
      <c r="Q82" s="93">
        <v>0.19713914394378662</v>
      </c>
    </row>
    <row r="83" spans="2:17">
      <c r="B83" s="179">
        <v>79</v>
      </c>
      <c r="C83" s="179">
        <v>1826442</v>
      </c>
      <c r="D83" s="179">
        <v>161000</v>
      </c>
      <c r="E83" s="180">
        <v>1.233999989926815E-2</v>
      </c>
      <c r="F83" s="179">
        <v>163666</v>
      </c>
      <c r="G83" s="179">
        <v>47072</v>
      </c>
      <c r="H83" s="181">
        <v>0.28761014342308044</v>
      </c>
      <c r="I83" s="181">
        <v>4.7517504543066025E-2</v>
      </c>
      <c r="J83" s="181">
        <v>2.780052088201046E-2</v>
      </c>
      <c r="K83" s="181">
        <v>9.7393475472927094E-2</v>
      </c>
      <c r="L83" s="181">
        <v>9.0147003531455994E-2</v>
      </c>
      <c r="M83" s="181">
        <v>2.4751627817749977E-2</v>
      </c>
      <c r="N83" s="181">
        <v>0</v>
      </c>
      <c r="O83" s="181">
        <v>9.9169671181256872E-2</v>
      </c>
      <c r="P83" s="154">
        <v>833604</v>
      </c>
      <c r="Q83" s="93">
        <v>0.19633543491363525</v>
      </c>
    </row>
    <row r="84" spans="2:17">
      <c r="B84" s="179">
        <v>80</v>
      </c>
      <c r="C84" s="179">
        <v>1826595</v>
      </c>
      <c r="D84" s="179">
        <v>167000</v>
      </c>
      <c r="E84" s="180">
        <v>1.2830000370740891E-2</v>
      </c>
      <c r="F84" s="179">
        <v>170055</v>
      </c>
      <c r="G84" s="179">
        <v>48767</v>
      </c>
      <c r="H84" s="181">
        <v>0.28677192330360413</v>
      </c>
      <c r="I84" s="181">
        <v>4.7261178493499756E-2</v>
      </c>
      <c r="J84" s="181">
        <v>2.8379054740071297E-2</v>
      </c>
      <c r="K84" s="181">
        <v>9.5745496451854706E-2</v>
      </c>
      <c r="L84" s="181">
        <v>9.1170504689216614E-2</v>
      </c>
      <c r="M84" s="181">
        <v>2.4221574887633324E-2</v>
      </c>
      <c r="N84" s="181">
        <v>0</v>
      </c>
      <c r="O84" s="181">
        <v>9.5231182468312275E-2</v>
      </c>
      <c r="P84" s="154">
        <v>883210</v>
      </c>
      <c r="Q84" s="93">
        <v>0.19254197180271149</v>
      </c>
    </row>
    <row r="85" spans="2:17">
      <c r="B85" s="179">
        <v>81</v>
      </c>
      <c r="C85" s="179">
        <v>1828153</v>
      </c>
      <c r="D85" s="179">
        <v>173000</v>
      </c>
      <c r="E85" s="180">
        <v>1.3330000452697277E-2</v>
      </c>
      <c r="F85" s="179">
        <v>176633</v>
      </c>
      <c r="G85" s="179">
        <v>50867</v>
      </c>
      <c r="H85" s="181">
        <v>0.2879813015460968</v>
      </c>
      <c r="I85" s="181">
        <v>4.6763628721237183E-2</v>
      </c>
      <c r="J85" s="181">
        <v>2.7922302484512329E-2</v>
      </c>
      <c r="K85" s="181">
        <v>9.5746546983718872E-2</v>
      </c>
      <c r="L85" s="181">
        <v>9.2355333268642426E-2</v>
      </c>
      <c r="M85" s="181">
        <v>2.5193480774760246E-2</v>
      </c>
      <c r="N85" s="181">
        <v>0</v>
      </c>
      <c r="O85" s="181">
        <v>9.8502670560485436E-2</v>
      </c>
      <c r="P85" s="154">
        <v>916742</v>
      </c>
      <c r="Q85" s="93">
        <v>0.19267471134662628</v>
      </c>
    </row>
    <row r="86" spans="2:17">
      <c r="B86" s="179">
        <v>82</v>
      </c>
      <c r="C86" s="179">
        <v>1827944</v>
      </c>
      <c r="D86" s="179">
        <v>180000</v>
      </c>
      <c r="E86" s="180">
        <v>1.3849999755620956E-2</v>
      </c>
      <c r="F86" s="179">
        <v>183535</v>
      </c>
      <c r="G86" s="179">
        <v>54531</v>
      </c>
      <c r="H86" s="181">
        <v>0.29711499810218811</v>
      </c>
      <c r="I86" s="181">
        <v>4.7015555202960968E-2</v>
      </c>
      <c r="J86" s="181">
        <v>2.7259105816483498E-2</v>
      </c>
      <c r="K86" s="181">
        <v>0.10170812159776688</v>
      </c>
      <c r="L86" s="181">
        <v>9.7801506519317627E-2</v>
      </c>
      <c r="M86" s="181">
        <v>2.3330699652433395E-2</v>
      </c>
      <c r="N86" s="181">
        <v>0</v>
      </c>
      <c r="O86" s="181">
        <v>8.815796914532785E-2</v>
      </c>
      <c r="P86" s="154">
        <v>908979</v>
      </c>
      <c r="Q86" s="93">
        <v>0.20191335678100586</v>
      </c>
    </row>
    <row r="87" spans="2:17">
      <c r="B87" s="179">
        <v>83</v>
      </c>
      <c r="C87" s="179">
        <v>1826779</v>
      </c>
      <c r="D87" s="179">
        <v>187000</v>
      </c>
      <c r="E87" s="180">
        <v>1.4430000446736813E-2</v>
      </c>
      <c r="F87" s="179">
        <v>191246</v>
      </c>
      <c r="G87" s="179">
        <v>56992</v>
      </c>
      <c r="H87" s="181">
        <v>0.29800361394882202</v>
      </c>
      <c r="I87" s="181">
        <v>4.6495091170072556E-2</v>
      </c>
      <c r="J87" s="181">
        <v>2.8282944113016129E-2</v>
      </c>
      <c r="K87" s="181">
        <v>9.7821652889251709E-2</v>
      </c>
      <c r="L87" s="181">
        <v>0.100655697286129</v>
      </c>
      <c r="M87" s="181">
        <v>2.4743001908063889E-2</v>
      </c>
      <c r="N87" s="181">
        <v>0</v>
      </c>
      <c r="O87" s="181">
        <v>8.9614614648204249E-2</v>
      </c>
      <c r="P87" s="154">
        <v>998317</v>
      </c>
      <c r="Q87" s="93">
        <v>0.19156840443611145</v>
      </c>
    </row>
    <row r="88" spans="2:17">
      <c r="B88" s="179">
        <v>84</v>
      </c>
      <c r="C88" s="179">
        <v>1827920</v>
      </c>
      <c r="D88" s="179">
        <v>195000</v>
      </c>
      <c r="E88" s="180">
        <v>1.5019999817013741E-2</v>
      </c>
      <c r="F88" s="179">
        <v>199016</v>
      </c>
      <c r="G88" s="179">
        <v>59184</v>
      </c>
      <c r="H88" s="181">
        <v>0.29738312959671021</v>
      </c>
      <c r="I88" s="181">
        <v>4.5971177518367767E-2</v>
      </c>
      <c r="J88" s="181">
        <v>2.9052941128611565E-2</v>
      </c>
      <c r="K88" s="181">
        <v>9.6514850854873657E-2</v>
      </c>
      <c r="L88" s="181">
        <v>0.10112755000591278</v>
      </c>
      <c r="M88" s="181">
        <v>2.4711580947041512E-2</v>
      </c>
      <c r="N88" s="181">
        <v>0</v>
      </c>
      <c r="O88" s="181">
        <v>8.662468176396948E-2</v>
      </c>
      <c r="P88" s="154">
        <v>1058910</v>
      </c>
      <c r="Q88" s="93">
        <v>0.1879442036151886</v>
      </c>
    </row>
    <row r="89" spans="2:17">
      <c r="B89" s="179">
        <v>85</v>
      </c>
      <c r="C89" s="179">
        <v>1827035</v>
      </c>
      <c r="D89" s="179">
        <v>203000</v>
      </c>
      <c r="E89" s="180">
        <v>1.5680000185966492E-2</v>
      </c>
      <c r="F89" s="179">
        <v>207841</v>
      </c>
      <c r="G89" s="179">
        <v>62008</v>
      </c>
      <c r="H89" s="181">
        <v>0.29834344983100891</v>
      </c>
      <c r="I89" s="181">
        <v>4.5207634568214417E-2</v>
      </c>
      <c r="J89" s="181">
        <v>2.9229074716567993E-2</v>
      </c>
      <c r="K89" s="181">
        <v>9.3403130769729614E-2</v>
      </c>
      <c r="L89" s="181">
        <v>0.10433456301689148</v>
      </c>
      <c r="M89" s="181">
        <v>2.6164231821894646E-2</v>
      </c>
      <c r="N89" s="181">
        <v>0</v>
      </c>
      <c r="O89" s="181">
        <v>8.1815557652582083E-2</v>
      </c>
      <c r="P89" s="154">
        <v>1151603</v>
      </c>
      <c r="Q89" s="93">
        <v>0.1804797351360321</v>
      </c>
    </row>
    <row r="90" spans="2:17">
      <c r="B90" s="179">
        <v>86</v>
      </c>
      <c r="C90" s="179">
        <v>1827380</v>
      </c>
      <c r="D90" s="179">
        <v>213000</v>
      </c>
      <c r="E90" s="180">
        <v>1.6440000385046005E-2</v>
      </c>
      <c r="F90" s="179">
        <v>217939</v>
      </c>
      <c r="G90" s="179">
        <v>65411</v>
      </c>
      <c r="H90" s="181">
        <v>0.30013445019721985</v>
      </c>
      <c r="I90" s="181">
        <v>4.4934593141078949E-2</v>
      </c>
      <c r="J90" s="181">
        <v>3.0444297939538956E-2</v>
      </c>
      <c r="K90" s="181">
        <v>9.2585541307926178E-2</v>
      </c>
      <c r="L90" s="181">
        <v>0.10559835284948349</v>
      </c>
      <c r="M90" s="181">
        <v>2.6567066088318825E-2</v>
      </c>
      <c r="N90" s="181">
        <v>0</v>
      </c>
      <c r="O90" s="181">
        <v>8.1824722679020995E-2</v>
      </c>
      <c r="P90" s="154">
        <v>1254767</v>
      </c>
      <c r="Q90" s="93">
        <v>0.17368881404399872</v>
      </c>
    </row>
    <row r="91" spans="2:17">
      <c r="B91" s="179">
        <v>87</v>
      </c>
      <c r="C91" s="179">
        <v>1827146</v>
      </c>
      <c r="D91" s="179">
        <v>223000</v>
      </c>
      <c r="E91" s="180">
        <v>1.728999987244606E-2</v>
      </c>
      <c r="F91" s="179">
        <v>229193</v>
      </c>
      <c r="G91" s="179">
        <v>69162</v>
      </c>
      <c r="H91" s="181">
        <v>0.3017631471157074</v>
      </c>
      <c r="I91" s="181">
        <v>4.4674139469861984E-2</v>
      </c>
      <c r="J91" s="181">
        <v>3.2400641590356827E-2</v>
      </c>
      <c r="K91" s="181">
        <v>9.1608382761478424E-2</v>
      </c>
      <c r="L91" s="181">
        <v>0.10666992515325546</v>
      </c>
      <c r="M91" s="181">
        <v>2.641005627810955E-2</v>
      </c>
      <c r="N91" s="181">
        <v>0</v>
      </c>
      <c r="O91" s="181">
        <v>7.3846343677530624E-2</v>
      </c>
      <c r="P91" s="154">
        <v>1336106</v>
      </c>
      <c r="Q91" s="93">
        <v>0.17153804004192352</v>
      </c>
    </row>
    <row r="92" spans="2:17">
      <c r="B92" s="179">
        <v>88</v>
      </c>
      <c r="C92" s="179">
        <v>1827176</v>
      </c>
      <c r="D92" s="179">
        <v>235000</v>
      </c>
      <c r="E92" s="180">
        <v>1.8219999969005585E-2</v>
      </c>
      <c r="F92" s="179">
        <v>241440</v>
      </c>
      <c r="G92" s="179">
        <v>74482</v>
      </c>
      <c r="H92" s="181">
        <v>0.30849072337150574</v>
      </c>
      <c r="I92" s="181">
        <v>4.4710900634527206E-2</v>
      </c>
      <c r="J92" s="181">
        <v>3.2749336212873459E-2</v>
      </c>
      <c r="K92" s="181">
        <v>9.3298539519309998E-2</v>
      </c>
      <c r="L92" s="181">
        <v>0.11225149035453796</v>
      </c>
      <c r="M92" s="181">
        <v>2.5480451062321663E-2</v>
      </c>
      <c r="N92" s="181">
        <v>0</v>
      </c>
      <c r="O92" s="181">
        <v>7.1059140686969183E-2</v>
      </c>
      <c r="P92" s="154">
        <v>1446964</v>
      </c>
      <c r="Q92" s="93">
        <v>0.16685971617698669</v>
      </c>
    </row>
    <row r="93" spans="2:17">
      <c r="B93" s="179">
        <v>89</v>
      </c>
      <c r="C93" s="179">
        <v>1826347</v>
      </c>
      <c r="D93" s="179">
        <v>248000</v>
      </c>
      <c r="E93" s="180">
        <v>1.9269999116659164E-2</v>
      </c>
      <c r="F93" s="179">
        <v>255548</v>
      </c>
      <c r="G93" s="179">
        <v>79949</v>
      </c>
      <c r="H93" s="181">
        <v>0.31285315752029419</v>
      </c>
      <c r="I93" s="181">
        <v>4.5067854225635529E-2</v>
      </c>
      <c r="J93" s="181">
        <v>3.1618326902389526E-2</v>
      </c>
      <c r="K93" s="181">
        <v>9.6306763589382172E-2</v>
      </c>
      <c r="L93" s="181">
        <v>0.11515253782272339</v>
      </c>
      <c r="M93" s="181">
        <v>2.470768615603447E-2</v>
      </c>
      <c r="N93" s="181">
        <v>0</v>
      </c>
      <c r="O93" s="181">
        <v>6.8891013906803689E-2</v>
      </c>
      <c r="P93" s="154">
        <v>1486114</v>
      </c>
      <c r="Q93" s="93">
        <v>0.17195719480514526</v>
      </c>
    </row>
    <row r="94" spans="2:17">
      <c r="B94" s="179">
        <v>90</v>
      </c>
      <c r="C94" s="179">
        <v>1827890</v>
      </c>
      <c r="D94" s="179">
        <v>264000</v>
      </c>
      <c r="E94" s="180">
        <v>2.0500000566244125E-2</v>
      </c>
      <c r="F94" s="179">
        <v>271631</v>
      </c>
      <c r="G94" s="179">
        <v>85079</v>
      </c>
      <c r="H94" s="181">
        <v>0.31321534514427185</v>
      </c>
      <c r="I94" s="181">
        <v>4.4667214155197144E-2</v>
      </c>
      <c r="J94" s="181">
        <v>3.2702453434467316E-2</v>
      </c>
      <c r="K94" s="181">
        <v>9.2430539429187775E-2</v>
      </c>
      <c r="L94" s="181">
        <v>0.11767066270112991</v>
      </c>
      <c r="M94" s="181">
        <v>2.574448473751545E-2</v>
      </c>
      <c r="N94" s="181">
        <v>0</v>
      </c>
      <c r="O94" s="181">
        <v>6.3227692207123681E-2</v>
      </c>
      <c r="P94" s="154">
        <v>1634292</v>
      </c>
      <c r="Q94" s="93">
        <v>0.16620713472366333</v>
      </c>
    </row>
    <row r="95" spans="2:17">
      <c r="B95" s="179">
        <v>91</v>
      </c>
      <c r="C95" s="179">
        <v>1827486</v>
      </c>
      <c r="D95" s="179">
        <v>280000</v>
      </c>
      <c r="E95" s="180">
        <v>2.1800000220537186E-2</v>
      </c>
      <c r="F95" s="179">
        <v>288904</v>
      </c>
      <c r="G95" s="179">
        <v>91390</v>
      </c>
      <c r="H95" s="181">
        <v>0.31633344292640686</v>
      </c>
      <c r="I95" s="181">
        <v>4.4623818248510361E-2</v>
      </c>
      <c r="J95" s="181">
        <v>3.1328745186328888E-2</v>
      </c>
      <c r="K95" s="181">
        <v>9.1905958950519562E-2</v>
      </c>
      <c r="L95" s="181">
        <v>0.12245936691761017</v>
      </c>
      <c r="M95" s="181">
        <v>2.6015562936663628E-2</v>
      </c>
      <c r="N95" s="181">
        <v>0</v>
      </c>
      <c r="O95" s="181">
        <v>5.7144142532130814E-2</v>
      </c>
      <c r="P95" s="154">
        <v>1714483</v>
      </c>
      <c r="Q95" s="93">
        <v>0.16850793361663818</v>
      </c>
    </row>
    <row r="96" spans="2:17">
      <c r="B96" s="179">
        <v>92</v>
      </c>
      <c r="C96" s="179">
        <v>1825998</v>
      </c>
      <c r="D96" s="179">
        <v>299000</v>
      </c>
      <c r="E96" s="180">
        <v>2.346000075340271E-2</v>
      </c>
      <c r="F96" s="179">
        <v>311183</v>
      </c>
      <c r="G96" s="179">
        <v>97155</v>
      </c>
      <c r="H96" s="181">
        <v>0.3122117817401886</v>
      </c>
      <c r="I96" s="181">
        <v>4.3986979871988297E-2</v>
      </c>
      <c r="J96" s="181">
        <v>3.2758858054876328E-2</v>
      </c>
      <c r="K96" s="181">
        <v>8.4291234612464905E-2</v>
      </c>
      <c r="L96" s="181">
        <v>0.12287303805351257</v>
      </c>
      <c r="M96" s="181">
        <v>2.8308100998401642E-2</v>
      </c>
      <c r="N96" s="181">
        <v>0</v>
      </c>
      <c r="O96" s="181">
        <v>5.4331318587560719E-2</v>
      </c>
      <c r="P96" s="154">
        <v>1989948</v>
      </c>
      <c r="Q96" s="93">
        <v>0.15637744963169098</v>
      </c>
    </row>
    <row r="97" spans="2:17">
      <c r="B97" s="179">
        <v>93</v>
      </c>
      <c r="C97" s="179">
        <v>1827616</v>
      </c>
      <c r="D97" s="179">
        <v>324000</v>
      </c>
      <c r="E97" s="180">
        <v>2.5550000369548798E-2</v>
      </c>
      <c r="F97" s="179">
        <v>338546</v>
      </c>
      <c r="G97" s="179">
        <v>105966</v>
      </c>
      <c r="H97" s="181">
        <v>0.31300324201583862</v>
      </c>
      <c r="I97" s="181">
        <v>4.2915880680084229E-2</v>
      </c>
      <c r="J97" s="181">
        <v>3.3652737736701965E-2</v>
      </c>
      <c r="K97" s="181">
        <v>8.0411523580551147E-2</v>
      </c>
      <c r="L97" s="181">
        <v>0.12591494619846344</v>
      </c>
      <c r="M97" s="181">
        <v>3.0108168721199036E-2</v>
      </c>
      <c r="N97" s="181">
        <v>0</v>
      </c>
      <c r="O97" s="181">
        <v>4.9202904469714516E-2</v>
      </c>
      <c r="P97" s="154">
        <v>2259034</v>
      </c>
      <c r="Q97" s="93">
        <v>0.14986316859722137</v>
      </c>
    </row>
    <row r="98" spans="2:17">
      <c r="B98" s="179">
        <v>94</v>
      </c>
      <c r="C98" s="179">
        <v>1827186</v>
      </c>
      <c r="D98" s="179">
        <v>354000</v>
      </c>
      <c r="E98" s="180">
        <v>2.8130000457167625E-2</v>
      </c>
      <c r="F98" s="179">
        <v>372892</v>
      </c>
      <c r="G98" s="179">
        <v>117688</v>
      </c>
      <c r="H98" s="181">
        <v>0.31560879945755005</v>
      </c>
      <c r="I98" s="181">
        <v>3.7101894617080688E-2</v>
      </c>
      <c r="J98" s="181">
        <v>3.1169882044196129E-2</v>
      </c>
      <c r="K98" s="181">
        <v>8.1444494426250458E-2</v>
      </c>
      <c r="L98" s="181">
        <v>0.13665619492530823</v>
      </c>
      <c r="M98" s="181">
        <v>2.9236346483230591E-2</v>
      </c>
      <c r="N98" s="181">
        <v>0</v>
      </c>
      <c r="O98" s="181">
        <v>4.3235600111676722E-2</v>
      </c>
      <c r="P98" s="154">
        <v>2360931</v>
      </c>
      <c r="Q98" s="93">
        <v>0.15794277191162109</v>
      </c>
    </row>
    <row r="99" spans="2:17">
      <c r="B99" s="179">
        <v>95</v>
      </c>
      <c r="C99" s="179">
        <v>1826716</v>
      </c>
      <c r="D99" s="179">
        <v>392000</v>
      </c>
      <c r="E99" s="180">
        <v>3.1309999525547028E-2</v>
      </c>
      <c r="F99" s="179">
        <v>415070</v>
      </c>
      <c r="G99" s="179">
        <v>131522</v>
      </c>
      <c r="H99" s="181">
        <v>0.31686702370643616</v>
      </c>
      <c r="I99" s="181">
        <v>3.5321753472089767E-2</v>
      </c>
      <c r="J99" s="181">
        <v>3.1512755900621414E-2</v>
      </c>
      <c r="K99" s="181">
        <v>7.7377311885356903E-2</v>
      </c>
      <c r="L99" s="181">
        <v>0.14220733940601349</v>
      </c>
      <c r="M99" s="181">
        <v>3.0447876080870628E-2</v>
      </c>
      <c r="N99" s="181">
        <v>0</v>
      </c>
      <c r="O99" s="181">
        <v>3.8153825890841729E-2</v>
      </c>
      <c r="P99" s="154">
        <v>2670127</v>
      </c>
      <c r="Q99" s="93">
        <v>0.15544953942298889</v>
      </c>
    </row>
    <row r="100" spans="2:17">
      <c r="B100" s="179">
        <v>96</v>
      </c>
      <c r="C100" s="179">
        <v>1826399</v>
      </c>
      <c r="D100" s="179">
        <v>441000</v>
      </c>
      <c r="E100" s="180">
        <v>3.5700000822544098E-2</v>
      </c>
      <c r="F100" s="179">
        <v>473373</v>
      </c>
      <c r="G100" s="179">
        <v>151690</v>
      </c>
      <c r="H100" s="181">
        <v>0.32044497132301331</v>
      </c>
      <c r="I100" s="181">
        <v>3.4484434872865677E-2</v>
      </c>
      <c r="J100" s="181">
        <v>3.1993798911571503E-2</v>
      </c>
      <c r="K100" s="181">
        <v>7.2866432368755341E-2</v>
      </c>
      <c r="L100" s="181">
        <v>0.15050287544727325</v>
      </c>
      <c r="M100" s="181">
        <v>3.0599547550082207E-2</v>
      </c>
      <c r="N100" s="181">
        <v>0</v>
      </c>
      <c r="O100" s="181">
        <v>3.124671153872817E-2</v>
      </c>
      <c r="P100" s="154">
        <v>3105343</v>
      </c>
      <c r="Q100" s="93">
        <v>0.15243823826313019</v>
      </c>
    </row>
    <row r="101" spans="2:17">
      <c r="B101" s="179">
        <v>97</v>
      </c>
      <c r="C101" s="179">
        <v>1828725</v>
      </c>
      <c r="D101" s="179">
        <v>511000</v>
      </c>
      <c r="E101" s="180">
        <v>4.3269999325275421E-2</v>
      </c>
      <c r="F101" s="179">
        <v>573048</v>
      </c>
      <c r="G101" s="179">
        <v>187720</v>
      </c>
      <c r="H101" s="181">
        <v>0.32758164405822754</v>
      </c>
      <c r="I101" s="181">
        <v>3.3738885074853897E-2</v>
      </c>
      <c r="J101" s="181">
        <v>3.1700659543275833E-2</v>
      </c>
      <c r="K101" s="181">
        <v>6.550934910774231E-2</v>
      </c>
      <c r="L101" s="181">
        <v>0.16570863127708435</v>
      </c>
      <c r="M101" s="181">
        <v>3.0922366306185722E-2</v>
      </c>
      <c r="N101" s="181">
        <v>0</v>
      </c>
      <c r="O101" s="181">
        <v>2.5369946145703606E-2</v>
      </c>
      <c r="P101" s="154">
        <v>3768131</v>
      </c>
      <c r="Q101" s="93">
        <v>0.15207751095294952</v>
      </c>
    </row>
    <row r="102" spans="2:17">
      <c r="B102" s="179">
        <v>98</v>
      </c>
      <c r="C102" s="179">
        <v>1827803</v>
      </c>
      <c r="D102" s="179">
        <v>651000</v>
      </c>
      <c r="E102" s="180">
        <v>5.908999964594841E-2</v>
      </c>
      <c r="F102" s="179">
        <v>782918</v>
      </c>
      <c r="G102" s="179">
        <v>255776</v>
      </c>
      <c r="H102" s="181">
        <v>0.3266957700252533</v>
      </c>
      <c r="I102" s="181">
        <v>3.2399307936429977E-2</v>
      </c>
      <c r="J102" s="181">
        <v>3.2689247280359268E-2</v>
      </c>
      <c r="K102" s="181">
        <v>5.2794799208641052E-2</v>
      </c>
      <c r="L102" s="181">
        <v>0.17581279575824738</v>
      </c>
      <c r="M102" s="181">
        <v>3.2999623566865921E-2</v>
      </c>
      <c r="N102" s="181">
        <v>0</v>
      </c>
      <c r="O102" s="181">
        <v>1.7201958186402577E-2</v>
      </c>
      <c r="P102" s="154">
        <v>5423785</v>
      </c>
      <c r="Q102" s="93">
        <v>0.14434900879859924</v>
      </c>
    </row>
    <row r="103" spans="2:17">
      <c r="B103" s="182">
        <v>99</v>
      </c>
      <c r="C103" s="179">
        <v>182889</v>
      </c>
      <c r="D103" s="179">
        <v>979000</v>
      </c>
      <c r="E103" s="180">
        <v>7.6199998147785664E-3</v>
      </c>
      <c r="F103" s="179">
        <v>1008759</v>
      </c>
      <c r="G103" s="179">
        <v>330759</v>
      </c>
      <c r="H103" s="181">
        <v>0.32788702845573425</v>
      </c>
      <c r="I103" s="181">
        <v>2.614896185696125E-2</v>
      </c>
      <c r="J103" s="181">
        <v>3.3748399466276169E-2</v>
      </c>
      <c r="K103" s="181">
        <v>4.417804628610611E-2</v>
      </c>
      <c r="L103" s="181">
        <v>0.18671555817127228</v>
      </c>
      <c r="M103" s="181">
        <v>3.7096075713634491E-2</v>
      </c>
      <c r="N103" s="181">
        <v>0</v>
      </c>
      <c r="O103" s="181">
        <v>1.2407911014662333E-2</v>
      </c>
      <c r="P103" s="154">
        <v>7170062</v>
      </c>
      <c r="Q103" s="93">
        <v>0.14069041609764099</v>
      </c>
    </row>
    <row r="104" spans="2:17">
      <c r="B104" s="182">
        <v>99.100000000000009</v>
      </c>
      <c r="C104" s="179">
        <v>182702</v>
      </c>
      <c r="D104" s="179">
        <v>1040000</v>
      </c>
      <c r="E104" s="180">
        <v>8.1700002774596214E-3</v>
      </c>
      <c r="F104" s="179">
        <v>1082850</v>
      </c>
      <c r="G104" s="179">
        <v>352084</v>
      </c>
      <c r="H104" s="181">
        <v>0.32514569163322449</v>
      </c>
      <c r="I104" s="181">
        <v>2.5471672415733337E-2</v>
      </c>
      <c r="J104" s="181">
        <v>3.4884795546531677E-2</v>
      </c>
      <c r="K104" s="181">
        <v>4.2880363762378693E-2</v>
      </c>
      <c r="L104" s="181">
        <v>0.18806298077106476</v>
      </c>
      <c r="M104" s="181">
        <v>3.3843100070953369E-2</v>
      </c>
      <c r="N104" s="181">
        <v>2.770466835499974E-6</v>
      </c>
      <c r="O104" s="181">
        <v>1.1595671647072798E-2</v>
      </c>
      <c r="P104" s="154">
        <v>7658592</v>
      </c>
      <c r="Q104" s="93">
        <v>0.14139021933078766</v>
      </c>
    </row>
    <row r="105" spans="2:17">
      <c r="B105" s="182">
        <v>99.2</v>
      </c>
      <c r="C105" s="179">
        <v>182724</v>
      </c>
      <c r="D105" s="179">
        <v>1120000</v>
      </c>
      <c r="E105" s="180">
        <v>8.7900003418326378E-3</v>
      </c>
      <c r="F105" s="179">
        <v>1164413</v>
      </c>
      <c r="G105" s="179">
        <v>390204</v>
      </c>
      <c r="H105" s="181">
        <v>0.33510789275169373</v>
      </c>
      <c r="I105" s="181">
        <v>2.5004873052239418E-2</v>
      </c>
      <c r="J105" s="181">
        <v>3.3376473933458328E-2</v>
      </c>
      <c r="K105" s="181">
        <v>4.2371563613414764E-2</v>
      </c>
      <c r="L105" s="181">
        <v>0.19910891354084015</v>
      </c>
      <c r="M105" s="181">
        <v>3.5214308649301529E-2</v>
      </c>
      <c r="N105" s="181">
        <v>3.1775667594047263E-5</v>
      </c>
      <c r="O105" s="181">
        <v>1.1556787238472184E-2</v>
      </c>
      <c r="P105" s="154">
        <v>8265897</v>
      </c>
      <c r="Q105" s="93">
        <v>0.14086952805519104</v>
      </c>
    </row>
    <row r="106" spans="2:17">
      <c r="B106" s="182">
        <v>99.3</v>
      </c>
      <c r="C106" s="179">
        <v>182635</v>
      </c>
      <c r="D106" s="179">
        <v>1210000</v>
      </c>
      <c r="E106" s="180">
        <v>9.4299996271729469E-3</v>
      </c>
      <c r="F106" s="179">
        <v>1250234</v>
      </c>
      <c r="G106" s="179">
        <v>427184</v>
      </c>
      <c r="H106" s="181">
        <v>0.34168323874473572</v>
      </c>
      <c r="I106" s="181">
        <v>2.4839350953698158E-2</v>
      </c>
      <c r="J106" s="181">
        <v>3.2289955765008926E-2</v>
      </c>
      <c r="K106" s="181">
        <v>4.1849765926599503E-2</v>
      </c>
      <c r="L106" s="181">
        <v>0.20741157233715057</v>
      </c>
      <c r="M106" s="181">
        <v>3.5290192812681198E-2</v>
      </c>
      <c r="N106" s="181">
        <v>3.1994011351343943E-6</v>
      </c>
      <c r="O106" s="181">
        <v>9.9853657037220975E-3</v>
      </c>
      <c r="P106" s="154">
        <v>8564721</v>
      </c>
      <c r="Q106" s="93">
        <v>0.14597485959529877</v>
      </c>
    </row>
    <row r="107" spans="2:17">
      <c r="B107" s="182">
        <v>99.4</v>
      </c>
      <c r="C107" s="179">
        <v>182860</v>
      </c>
      <c r="D107" s="179">
        <v>1300000</v>
      </c>
      <c r="E107" s="180">
        <v>1.0350000113248825E-2</v>
      </c>
      <c r="F107" s="179">
        <v>1370883</v>
      </c>
      <c r="G107" s="179">
        <v>460780</v>
      </c>
      <c r="H107" s="181">
        <v>0.33611911535263062</v>
      </c>
      <c r="I107" s="181">
        <v>2.4490054696798325E-2</v>
      </c>
      <c r="J107" s="181">
        <v>3.3423714339733124E-2</v>
      </c>
      <c r="K107" s="181">
        <v>3.8593374192714691E-2</v>
      </c>
      <c r="L107" s="181">
        <v>0.20519329607486725</v>
      </c>
      <c r="M107" s="181">
        <v>3.4380029886960983E-2</v>
      </c>
      <c r="N107" s="181">
        <v>3.9390670281136408E-5</v>
      </c>
      <c r="O107" s="181">
        <v>8.6792060803167273E-3</v>
      </c>
      <c r="P107" s="154">
        <v>9662573</v>
      </c>
      <c r="Q107" s="93">
        <v>0.14187556505203247</v>
      </c>
    </row>
    <row r="108" spans="2:17">
      <c r="B108" s="182">
        <v>99.5</v>
      </c>
      <c r="C108" s="179">
        <v>182724</v>
      </c>
      <c r="D108" s="179">
        <v>1450000</v>
      </c>
      <c r="E108" s="180">
        <v>1.1769999749958515E-2</v>
      </c>
      <c r="F108" s="179">
        <v>1559773</v>
      </c>
      <c r="G108" s="179">
        <v>515435</v>
      </c>
      <c r="H108" s="181">
        <v>0.33045512437820435</v>
      </c>
      <c r="I108" s="181">
        <v>2.4068886414170265E-2</v>
      </c>
      <c r="J108" s="181">
        <v>3.5819955170154572E-2</v>
      </c>
      <c r="K108" s="181">
        <v>3.2411128282546997E-2</v>
      </c>
      <c r="L108" s="181">
        <v>0.19824166595935822</v>
      </c>
      <c r="M108" s="181">
        <v>3.9713472127914429E-2</v>
      </c>
      <c r="N108" s="181">
        <v>1.9938798504881561E-4</v>
      </c>
      <c r="O108" s="181">
        <v>7.3661457855738154E-3</v>
      </c>
      <c r="P108" s="154">
        <v>12043273</v>
      </c>
      <c r="Q108" s="93">
        <v>0.12951403856277466</v>
      </c>
    </row>
    <row r="109" spans="2:17">
      <c r="B109" s="182">
        <v>99.600000000000009</v>
      </c>
      <c r="C109" s="179">
        <v>182730</v>
      </c>
      <c r="D109" s="179">
        <v>1690000</v>
      </c>
      <c r="E109" s="180">
        <v>1.3779999688267708E-2</v>
      </c>
      <c r="F109" s="179">
        <v>1826575</v>
      </c>
      <c r="G109" s="179">
        <v>598375</v>
      </c>
      <c r="H109" s="181">
        <v>0.32759398221969604</v>
      </c>
      <c r="I109" s="181">
        <v>2.4165993556380272E-2</v>
      </c>
      <c r="J109" s="181">
        <v>4.0647659450769424E-2</v>
      </c>
      <c r="K109" s="181">
        <v>2.729206345975399E-2</v>
      </c>
      <c r="L109" s="181">
        <v>0.1925012618303299</v>
      </c>
      <c r="M109" s="181">
        <v>4.0548019111156464E-2</v>
      </c>
      <c r="N109" s="181">
        <v>2.4389910977333784E-3</v>
      </c>
      <c r="O109" s="181">
        <v>6.1714012821731173E-3</v>
      </c>
      <c r="P109" s="154">
        <v>15529849</v>
      </c>
      <c r="Q109" s="93">
        <v>0.11761704832315445</v>
      </c>
    </row>
    <row r="110" spans="2:17">
      <c r="B110" s="182">
        <v>99.7</v>
      </c>
      <c r="C110" s="179">
        <v>182693</v>
      </c>
      <c r="D110" s="179">
        <v>1990000</v>
      </c>
      <c r="E110" s="180">
        <v>1.7219999805092812E-2</v>
      </c>
      <c r="F110" s="179">
        <v>2282999</v>
      </c>
      <c r="G110" s="179">
        <v>777637</v>
      </c>
      <c r="H110" s="181">
        <v>0.34062081575393677</v>
      </c>
      <c r="I110" s="181">
        <v>2.4061333388090134E-2</v>
      </c>
      <c r="J110" s="181">
        <v>3.6606237292289734E-2</v>
      </c>
      <c r="K110" s="181">
        <v>2.5293922051787376E-2</v>
      </c>
      <c r="L110" s="181">
        <v>0.21307018399238586</v>
      </c>
      <c r="M110" s="181">
        <v>4.0109522640705109E-2</v>
      </c>
      <c r="N110" s="181">
        <v>1.4791947323828936E-3</v>
      </c>
      <c r="O110" s="181">
        <v>4.823542051873699E-3</v>
      </c>
      <c r="P110" s="154">
        <v>18114800</v>
      </c>
      <c r="Q110" s="93">
        <v>0.12602949142456055</v>
      </c>
    </row>
    <row r="111" spans="2:17">
      <c r="B111" s="182">
        <v>99.8</v>
      </c>
      <c r="C111" s="179">
        <v>182757</v>
      </c>
      <c r="D111" s="179">
        <v>2670000</v>
      </c>
      <c r="E111" s="180">
        <v>2.5089999660849571E-2</v>
      </c>
      <c r="F111" s="179">
        <v>3325306</v>
      </c>
      <c r="G111" s="179">
        <v>1138494</v>
      </c>
      <c r="H111" s="181">
        <v>0.34237271547317505</v>
      </c>
      <c r="I111" s="181">
        <v>2.4100339040160179E-2</v>
      </c>
      <c r="J111" s="181">
        <v>3.9651390165090561E-2</v>
      </c>
      <c r="K111" s="181">
        <v>1.9985830411314964E-2</v>
      </c>
      <c r="L111" s="181">
        <v>0.21177239716053009</v>
      </c>
      <c r="M111" s="181">
        <v>4.2632769793272018E-2</v>
      </c>
      <c r="N111" s="181">
        <v>4.2302873916924E-3</v>
      </c>
      <c r="O111" s="181">
        <v>3.2670276174235854E-3</v>
      </c>
      <c r="P111" s="154">
        <v>27942002</v>
      </c>
      <c r="Q111" s="93">
        <v>0.11900743842124939</v>
      </c>
    </row>
    <row r="112" spans="2:17">
      <c r="B112" s="183">
        <v>99.9</v>
      </c>
      <c r="C112" s="179">
        <v>18284</v>
      </c>
      <c r="D112" s="179">
        <v>4280000</v>
      </c>
      <c r="E112" s="180">
        <v>3.3599999733269215E-3</v>
      </c>
      <c r="F112" s="179">
        <v>4449407</v>
      </c>
      <c r="G112" s="179">
        <v>1601751</v>
      </c>
      <c r="H112" s="181">
        <v>0.35999202728271484</v>
      </c>
      <c r="I112" s="181">
        <v>2.4193111807107925E-2</v>
      </c>
      <c r="J112" s="181">
        <v>4.0121752768754959E-2</v>
      </c>
      <c r="K112" s="181">
        <v>1.8446054309606552E-2</v>
      </c>
      <c r="L112" s="181">
        <v>0.22651602327823639</v>
      </c>
      <c r="M112" s="181">
        <v>4.3777968734502792E-2</v>
      </c>
      <c r="N112" s="181">
        <v>6.9371042773127556E-3</v>
      </c>
      <c r="O112" s="181">
        <v>2.357925550233118E-3</v>
      </c>
      <c r="P112" s="154">
        <v>37251120</v>
      </c>
      <c r="Q112" s="93">
        <v>0.11944357305765152</v>
      </c>
    </row>
    <row r="113" spans="2:17">
      <c r="B113" s="183">
        <v>99.91</v>
      </c>
      <c r="C113" s="179">
        <v>18266</v>
      </c>
      <c r="D113" s="179">
        <v>4620000</v>
      </c>
      <c r="E113" s="180">
        <v>3.6400000099092722E-3</v>
      </c>
      <c r="F113" s="179">
        <v>4820974</v>
      </c>
      <c r="G113" s="179">
        <v>1718929</v>
      </c>
      <c r="H113" s="181">
        <v>0.35655221343040466</v>
      </c>
      <c r="I113" s="181">
        <v>2.4189095944166183E-2</v>
      </c>
      <c r="J113" s="181">
        <v>4.020349308848381E-2</v>
      </c>
      <c r="K113" s="181">
        <v>1.7572797834873199E-2</v>
      </c>
      <c r="L113" s="181">
        <v>0.22189167141914368</v>
      </c>
      <c r="M113" s="181">
        <v>4.4980328530073166E-2</v>
      </c>
      <c r="N113" s="181">
        <v>7.7146235853433609E-3</v>
      </c>
      <c r="O113" s="181">
        <v>1.9016372141491841E-3</v>
      </c>
      <c r="P113" s="154">
        <v>40636652</v>
      </c>
      <c r="Q113" s="93">
        <v>0.11863610148429871</v>
      </c>
    </row>
    <row r="114" spans="2:17">
      <c r="B114" s="183">
        <v>99.92</v>
      </c>
      <c r="C114" s="179">
        <v>18263</v>
      </c>
      <c r="D114" s="179">
        <v>5040000</v>
      </c>
      <c r="E114" s="180">
        <v>3.9900001138448715E-3</v>
      </c>
      <c r="F114" s="179">
        <v>5286687</v>
      </c>
      <c r="G114" s="179">
        <v>1945697</v>
      </c>
      <c r="H114" s="181">
        <v>0.36803710460662842</v>
      </c>
      <c r="I114" s="181">
        <v>2.4025443941354752E-2</v>
      </c>
      <c r="J114" s="181">
        <v>4.1661441326141357E-2</v>
      </c>
      <c r="K114" s="181">
        <v>1.5449373051524162E-2</v>
      </c>
      <c r="L114" s="181">
        <v>0.22913575172424316</v>
      </c>
      <c r="M114" s="181">
        <v>4.8809584230184555E-2</v>
      </c>
      <c r="N114" s="181">
        <v>8.9553249999880791E-3</v>
      </c>
      <c r="O114" s="181">
        <v>1.9584939881736253E-3</v>
      </c>
      <c r="P114" s="154">
        <v>45808236</v>
      </c>
      <c r="Q114" s="93">
        <v>0.11540909111499786</v>
      </c>
    </row>
    <row r="115" spans="2:17">
      <c r="B115" s="183">
        <v>99.93</v>
      </c>
      <c r="C115" s="179">
        <v>18296</v>
      </c>
      <c r="D115" s="179">
        <v>5560000</v>
      </c>
      <c r="E115" s="180">
        <v>4.4300002045929432E-3</v>
      </c>
      <c r="F115" s="179">
        <v>5858332</v>
      </c>
      <c r="G115" s="179">
        <v>2198240</v>
      </c>
      <c r="H115" s="181">
        <v>0.37523308396339417</v>
      </c>
      <c r="I115" s="181">
        <v>2.4180945008993149E-2</v>
      </c>
      <c r="J115" s="181">
        <v>4.0302425622940063E-2</v>
      </c>
      <c r="K115" s="181">
        <v>1.672404445707798E-2</v>
      </c>
      <c r="L115" s="181">
        <v>0.23812699317932129</v>
      </c>
      <c r="M115" s="181">
        <v>4.6440523117780685E-2</v>
      </c>
      <c r="N115" s="181">
        <v>9.4581525772809982E-3</v>
      </c>
      <c r="O115" s="181">
        <v>1.8260332568095711E-3</v>
      </c>
      <c r="P115" s="154">
        <v>50112480</v>
      </c>
      <c r="Q115" s="93">
        <v>0.11690365523099899</v>
      </c>
    </row>
    <row r="116" spans="2:17">
      <c r="B116" s="183">
        <v>99.94</v>
      </c>
      <c r="C116" s="179">
        <v>18255</v>
      </c>
      <c r="D116" s="179">
        <v>6180000</v>
      </c>
      <c r="E116" s="180">
        <v>4.9299998208880424E-3</v>
      </c>
      <c r="F116" s="179">
        <v>6534245</v>
      </c>
      <c r="G116" s="179">
        <v>2393920</v>
      </c>
      <c r="H116" s="181">
        <v>0.36636519432067871</v>
      </c>
      <c r="I116" s="181">
        <v>2.4240903556346893E-2</v>
      </c>
      <c r="J116" s="181">
        <v>4.0656112134456635E-2</v>
      </c>
      <c r="K116" s="181">
        <v>1.5481819398701191E-2</v>
      </c>
      <c r="L116" s="181">
        <v>0.2314351499080658</v>
      </c>
      <c r="M116" s="181">
        <v>4.4462520629167557E-2</v>
      </c>
      <c r="N116" s="181">
        <v>1.008854154497385E-2</v>
      </c>
      <c r="O116" s="181">
        <v>1.5220249544139605E-3</v>
      </c>
      <c r="P116" s="154">
        <v>55701228</v>
      </c>
      <c r="Q116" s="93">
        <v>0.11730881780385971</v>
      </c>
    </row>
    <row r="117" spans="2:17">
      <c r="B117" s="183">
        <v>99.95</v>
      </c>
      <c r="C117" s="179">
        <v>18268</v>
      </c>
      <c r="D117" s="179">
        <v>6920000</v>
      </c>
      <c r="E117" s="180">
        <v>5.5900001898407936E-3</v>
      </c>
      <c r="F117" s="179">
        <v>7415345</v>
      </c>
      <c r="G117" s="179">
        <v>2724594</v>
      </c>
      <c r="H117" s="181">
        <v>0.36742645502090454</v>
      </c>
      <c r="I117" s="181">
        <v>2.4323346093297005E-2</v>
      </c>
      <c r="J117" s="181">
        <v>4.3704912066459656E-2</v>
      </c>
      <c r="K117" s="181">
        <v>1.4605388976633549E-2</v>
      </c>
      <c r="L117" s="181">
        <v>0.2281620055437088</v>
      </c>
      <c r="M117" s="181">
        <v>4.5219745486974716E-2</v>
      </c>
      <c r="N117" s="181">
        <v>1.1411067098379135E-2</v>
      </c>
      <c r="O117" s="181">
        <v>1.4294499386602133E-3</v>
      </c>
      <c r="P117" s="154">
        <v>66008748</v>
      </c>
      <c r="Q117" s="93">
        <v>0.11233881860971451</v>
      </c>
    </row>
    <row r="118" spans="2:17">
      <c r="B118" s="183">
        <v>99.960000000000008</v>
      </c>
      <c r="C118" s="179">
        <v>18126</v>
      </c>
      <c r="D118" s="179">
        <v>8030000</v>
      </c>
      <c r="E118" s="180">
        <v>6.6100000403821468E-3</v>
      </c>
      <c r="F118" s="179">
        <v>8834036</v>
      </c>
      <c r="G118" s="179">
        <v>3294443</v>
      </c>
      <c r="H118" s="181">
        <v>0.37292614579200745</v>
      </c>
      <c r="I118" s="181">
        <v>2.4202980101108551E-2</v>
      </c>
      <c r="J118" s="181">
        <v>4.4938236474990845E-2</v>
      </c>
      <c r="K118" s="181">
        <v>1.3336033560335636E-2</v>
      </c>
      <c r="L118" s="181">
        <v>0.22952917218208313</v>
      </c>
      <c r="M118" s="181">
        <v>4.7752127051353455E-2</v>
      </c>
      <c r="N118" s="181">
        <v>1.3167707249522209E-2</v>
      </c>
      <c r="O118" s="181">
        <v>1.2150362224394912E-3</v>
      </c>
      <c r="P118" s="154">
        <v>81914720</v>
      </c>
      <c r="Q118" s="93">
        <v>0.10784430801868439</v>
      </c>
    </row>
    <row r="119" spans="2:17">
      <c r="B119" s="183">
        <v>99.97</v>
      </c>
      <c r="C119" s="179">
        <v>18430</v>
      </c>
      <c r="D119" s="179">
        <v>9820000</v>
      </c>
      <c r="E119" s="180">
        <v>8.5300002247095108E-3</v>
      </c>
      <c r="F119" s="179">
        <v>11211325</v>
      </c>
      <c r="G119" s="179">
        <v>4398088</v>
      </c>
      <c r="H119" s="181">
        <v>0.39228975772857666</v>
      </c>
      <c r="I119" s="181">
        <v>2.4281429126858711E-2</v>
      </c>
      <c r="J119" s="181">
        <v>4.5340850949287415E-2</v>
      </c>
      <c r="K119" s="181">
        <v>1.3894164934754372E-2</v>
      </c>
      <c r="L119" s="181">
        <v>0.2476368248462677</v>
      </c>
      <c r="M119" s="181">
        <v>4.7675274312496185E-2</v>
      </c>
      <c r="N119" s="181">
        <v>1.3461209833621979E-2</v>
      </c>
      <c r="O119" s="181">
        <v>1.0461031256483902E-3</v>
      </c>
      <c r="P119" s="154">
        <v>102704184</v>
      </c>
      <c r="Q119" s="93">
        <v>0.10916132479906082</v>
      </c>
    </row>
    <row r="120" spans="2:17">
      <c r="B120" s="183">
        <v>99.98</v>
      </c>
      <c r="C120" s="179">
        <v>18267</v>
      </c>
      <c r="D120" s="179">
        <v>13100000</v>
      </c>
      <c r="E120" s="180">
        <v>1.2830000370740891E-2</v>
      </c>
      <c r="F120" s="179">
        <v>17015616</v>
      </c>
      <c r="G120" s="179">
        <v>6565557</v>
      </c>
      <c r="H120" s="181">
        <v>0.38585478067398071</v>
      </c>
      <c r="I120" s="181">
        <v>2.4229155853390694E-2</v>
      </c>
      <c r="J120" s="181">
        <v>5.1231879740953445E-2</v>
      </c>
      <c r="K120" s="181">
        <v>1.0550837963819504E-2</v>
      </c>
      <c r="L120" s="181">
        <v>0.23280027508735657</v>
      </c>
      <c r="M120" s="181">
        <v>5.1727835088968277E-2</v>
      </c>
      <c r="N120" s="181">
        <v>1.5314755961298943E-2</v>
      </c>
      <c r="O120" s="181">
        <v>8.5886650848249766E-4</v>
      </c>
      <c r="P120" s="154">
        <v>179399840</v>
      </c>
      <c r="Q120" s="93">
        <v>9.4847440719604492E-2</v>
      </c>
    </row>
    <row r="121" spans="2:17">
      <c r="B121" s="184">
        <v>99.990000000000009</v>
      </c>
      <c r="C121" s="179">
        <v>1825</v>
      </c>
      <c r="D121" s="179">
        <v>22800000</v>
      </c>
      <c r="E121" s="180">
        <v>1.7699999734759331E-3</v>
      </c>
      <c r="F121" s="179">
        <v>23490960</v>
      </c>
      <c r="G121" s="179">
        <v>8286428</v>
      </c>
      <c r="H121" s="181">
        <v>0.35274964570999146</v>
      </c>
      <c r="I121" s="181">
        <v>2.4260567501187325E-2</v>
      </c>
      <c r="J121" s="181">
        <v>5.9925053268671036E-2</v>
      </c>
      <c r="K121" s="181">
        <v>7.1745896711945534E-3</v>
      </c>
      <c r="L121" s="181">
        <v>0.19323255121707916</v>
      </c>
      <c r="M121" s="181">
        <v>5.2359078079462051E-2</v>
      </c>
      <c r="N121" s="181">
        <v>1.5797864645719528E-2</v>
      </c>
      <c r="O121" s="181">
        <v>5.0511464269618466E-4</v>
      </c>
      <c r="P121" s="154">
        <v>276638336</v>
      </c>
      <c r="Q121" s="93">
        <v>8.4915779531002045E-2</v>
      </c>
    </row>
    <row r="122" spans="2:17">
      <c r="B122" s="184">
        <v>99.991</v>
      </c>
      <c r="C122" s="179">
        <v>1823</v>
      </c>
      <c r="D122" s="179">
        <v>24400000</v>
      </c>
      <c r="E122" s="180">
        <v>1.9099999917671084E-3</v>
      </c>
      <c r="F122" s="179">
        <v>25364120</v>
      </c>
      <c r="G122" s="179">
        <v>9108614</v>
      </c>
      <c r="H122" s="181">
        <v>0.3591141402721405</v>
      </c>
      <c r="I122" s="181">
        <v>2.438085712492466E-2</v>
      </c>
      <c r="J122" s="181">
        <v>6.0266036540269852E-2</v>
      </c>
      <c r="K122" s="181">
        <v>6.8812952376902103E-3</v>
      </c>
      <c r="L122" s="181">
        <v>0.20709411799907684</v>
      </c>
      <c r="M122" s="181">
        <v>4.5441120862960815E-2</v>
      </c>
      <c r="N122" s="181">
        <v>1.5050709247589111E-2</v>
      </c>
      <c r="O122" s="181">
        <v>4.9718342471124154E-4</v>
      </c>
      <c r="P122" s="154">
        <v>297075392</v>
      </c>
      <c r="Q122" s="93">
        <v>8.5379406809806824E-2</v>
      </c>
    </row>
    <row r="123" spans="2:17">
      <c r="B123" s="184">
        <v>99.992000000000004</v>
      </c>
      <c r="C123" s="179">
        <v>1825</v>
      </c>
      <c r="D123" s="179">
        <v>26500000</v>
      </c>
      <c r="E123" s="180">
        <v>2.099999925121665E-3</v>
      </c>
      <c r="F123" s="179">
        <v>27859668</v>
      </c>
      <c r="G123" s="179">
        <v>10692533</v>
      </c>
      <c r="H123" s="181">
        <v>0.38379973173141479</v>
      </c>
      <c r="I123" s="181">
        <v>2.4306787177920341E-2</v>
      </c>
      <c r="J123" s="181">
        <v>6.0137327760457993E-2</v>
      </c>
      <c r="K123" s="181">
        <v>8.0103250220417976E-3</v>
      </c>
      <c r="L123" s="181">
        <v>0.23347640037536621</v>
      </c>
      <c r="M123" s="181">
        <v>4.4007346034049988E-2</v>
      </c>
      <c r="N123" s="181">
        <v>1.3861543498933315E-2</v>
      </c>
      <c r="O123" s="181">
        <v>4.2616662914902342E-4</v>
      </c>
      <c r="P123" s="154">
        <v>322527904</v>
      </c>
      <c r="Q123" s="93">
        <v>8.6379095911979675E-2</v>
      </c>
    </row>
    <row r="124" spans="2:17">
      <c r="B124" s="184">
        <v>99.992999999999995</v>
      </c>
      <c r="C124" s="179">
        <v>1847</v>
      </c>
      <c r="D124" s="179">
        <v>29200000</v>
      </c>
      <c r="E124" s="180">
        <v>2.3300000466406345E-3</v>
      </c>
      <c r="F124" s="179">
        <v>30491976</v>
      </c>
      <c r="G124" s="179">
        <v>11311036</v>
      </c>
      <c r="H124" s="181">
        <v>0.37095123529434204</v>
      </c>
      <c r="I124" s="181">
        <v>2.4338271468877792E-2</v>
      </c>
      <c r="J124" s="181">
        <v>5.5171959102153778E-2</v>
      </c>
      <c r="K124" s="181">
        <v>8.6257122457027435E-3</v>
      </c>
      <c r="L124" s="181">
        <v>0.23096801340579987</v>
      </c>
      <c r="M124" s="181">
        <v>3.9236027747392654E-2</v>
      </c>
      <c r="N124" s="181">
        <v>1.2611252255737782E-2</v>
      </c>
      <c r="O124" s="181">
        <v>3.5462562353848469E-4</v>
      </c>
      <c r="P124" s="154">
        <v>331779232</v>
      </c>
      <c r="Q124" s="93">
        <v>9.1904416680335999E-2</v>
      </c>
    </row>
    <row r="125" spans="2:17">
      <c r="B125" s="184">
        <v>99.994</v>
      </c>
      <c r="C125" s="179">
        <v>1825</v>
      </c>
      <c r="D125" s="179">
        <v>32200000</v>
      </c>
      <c r="E125" s="180">
        <v>2.5599999353289604E-3</v>
      </c>
      <c r="F125" s="179">
        <v>33966692</v>
      </c>
      <c r="G125" s="179">
        <v>12360759</v>
      </c>
      <c r="H125" s="181">
        <v>0.36390823125839233</v>
      </c>
      <c r="I125" s="181">
        <v>2.4414271116256714E-2</v>
      </c>
      <c r="J125" s="181">
        <v>5.6817453354597092E-2</v>
      </c>
      <c r="K125" s="181">
        <v>8.2627125084400177E-3</v>
      </c>
      <c r="L125" s="181">
        <v>0.21650183200836182</v>
      </c>
      <c r="M125" s="181">
        <v>4.5154530555009842E-2</v>
      </c>
      <c r="N125" s="181">
        <v>1.2757439166307449E-2</v>
      </c>
      <c r="O125" s="181">
        <v>3.3708711388818222E-4</v>
      </c>
      <c r="P125" s="154">
        <v>387824512</v>
      </c>
      <c r="Q125" s="93">
        <v>8.7582632899284363E-2</v>
      </c>
    </row>
    <row r="126" spans="2:17">
      <c r="B126" s="184">
        <v>99.995000000000005</v>
      </c>
      <c r="C126" s="179">
        <v>1829</v>
      </c>
      <c r="D126" s="179">
        <v>36200000</v>
      </c>
      <c r="E126" s="180">
        <v>2.9700000304728746E-3</v>
      </c>
      <c r="F126" s="179">
        <v>39317848</v>
      </c>
      <c r="G126" s="179">
        <v>14183669</v>
      </c>
      <c r="H126" s="181">
        <v>0.36074379086494446</v>
      </c>
      <c r="I126" s="181">
        <v>2.4450652301311493E-2</v>
      </c>
      <c r="J126" s="181">
        <v>5.6442990899085999E-2</v>
      </c>
      <c r="K126" s="181">
        <v>6.978942546993494E-3</v>
      </c>
      <c r="L126" s="181">
        <v>0.2158341109752655</v>
      </c>
      <c r="M126" s="181">
        <v>4.4441599398851395E-2</v>
      </c>
      <c r="N126" s="181">
        <v>1.2595475651323795E-2</v>
      </c>
      <c r="O126" s="181">
        <v>2.9875196779872873E-4</v>
      </c>
      <c r="P126" s="154">
        <v>465478080</v>
      </c>
      <c r="Q126" s="93">
        <v>8.4467671811580658E-2</v>
      </c>
    </row>
    <row r="127" spans="2:17">
      <c r="B127" s="184">
        <v>99.995999999999995</v>
      </c>
      <c r="C127" s="179">
        <v>1811</v>
      </c>
      <c r="D127" s="179">
        <v>43200000</v>
      </c>
      <c r="E127" s="180">
        <v>3.5699999425560236E-3</v>
      </c>
      <c r="F127" s="179">
        <v>47722816</v>
      </c>
      <c r="G127" s="179">
        <v>16515232</v>
      </c>
      <c r="H127" s="181">
        <v>0.34606575965881348</v>
      </c>
      <c r="I127" s="181">
        <v>2.4383598938584328E-2</v>
      </c>
      <c r="J127" s="181">
        <v>6.2193982303142548E-2</v>
      </c>
      <c r="K127" s="181">
        <v>6.9200862199068069E-3</v>
      </c>
      <c r="L127" s="181">
        <v>0.19469286501407623</v>
      </c>
      <c r="M127" s="181">
        <v>4.5324169099330902E-2</v>
      </c>
      <c r="N127" s="181">
        <v>1.2551061809062958E-2</v>
      </c>
      <c r="O127" s="181">
        <v>2.4090674456809873E-4</v>
      </c>
      <c r="P127" s="154">
        <v>577942208</v>
      </c>
      <c r="Q127" s="93">
        <v>8.2573682069778442E-2</v>
      </c>
    </row>
    <row r="128" spans="2:17">
      <c r="B128" s="184">
        <v>99.997</v>
      </c>
      <c r="C128" s="179">
        <v>1835</v>
      </c>
      <c r="D128" s="179">
        <v>53400000</v>
      </c>
      <c r="E128" s="180">
        <v>4.720000084489584E-3</v>
      </c>
      <c r="F128" s="179">
        <v>62283592</v>
      </c>
      <c r="G128" s="179">
        <v>22592040</v>
      </c>
      <c r="H128" s="181">
        <v>0.36272859573364258</v>
      </c>
      <c r="I128" s="181">
        <v>2.4210838600993156E-2</v>
      </c>
      <c r="J128" s="181">
        <v>6.1990950256586075E-2</v>
      </c>
      <c r="K128" s="181">
        <v>5.9000770561397076E-3</v>
      </c>
      <c r="L128" s="181">
        <v>0.20827916264533997</v>
      </c>
      <c r="M128" s="181">
        <v>4.9531888216733932E-2</v>
      </c>
      <c r="N128" s="181">
        <v>1.2815671041607857E-2</v>
      </c>
      <c r="O128" s="181">
        <v>2.0705807928866042E-4</v>
      </c>
      <c r="P128" s="154">
        <v>786091840</v>
      </c>
      <c r="Q128" s="93">
        <v>7.9231955111026764E-2</v>
      </c>
    </row>
    <row r="129" spans="2:17">
      <c r="B129" s="184">
        <v>99.998000000000005</v>
      </c>
      <c r="C129" s="179">
        <v>1822</v>
      </c>
      <c r="D129" s="179">
        <v>73000000</v>
      </c>
      <c r="E129" s="180">
        <v>6.8600000813603401E-3</v>
      </c>
      <c r="F129" s="179">
        <v>91153264</v>
      </c>
      <c r="G129" s="179">
        <v>31013466</v>
      </c>
      <c r="H129" s="181">
        <v>0.34023427963256836</v>
      </c>
      <c r="I129" s="181">
        <v>2.4329045787453651E-2</v>
      </c>
      <c r="J129" s="181">
        <v>6.3112549483776093E-2</v>
      </c>
      <c r="K129" s="181">
        <v>5.1152859814465046E-3</v>
      </c>
      <c r="L129" s="181">
        <v>0.18998077511787415</v>
      </c>
      <c r="M129" s="181">
        <v>4.4882442802190781E-2</v>
      </c>
      <c r="N129" s="181">
        <v>1.2814176268875599E-2</v>
      </c>
      <c r="O129" s="181">
        <v>1.3858328592302019E-4</v>
      </c>
      <c r="P129" s="154">
        <v>1160000000</v>
      </c>
      <c r="Q129" s="93">
        <v>7.8580401837825775E-2</v>
      </c>
    </row>
    <row r="130" spans="2:17">
      <c r="B130" s="184">
        <v>99.998999999999995</v>
      </c>
      <c r="C130" s="179">
        <v>1431</v>
      </c>
      <c r="D130" s="179">
        <v>119000000</v>
      </c>
      <c r="E130" s="180">
        <v>9.8500000312924385E-3</v>
      </c>
      <c r="F130" s="179">
        <v>166643920</v>
      </c>
      <c r="G130" s="179">
        <v>49335596</v>
      </c>
      <c r="H130" s="181">
        <v>0.29605397582054138</v>
      </c>
      <c r="I130" s="181">
        <v>2.4300567805767059E-2</v>
      </c>
      <c r="J130" s="181">
        <v>6.9543257355690002E-2</v>
      </c>
      <c r="K130" s="181">
        <v>2.3065349087119102E-3</v>
      </c>
      <c r="L130" s="181">
        <v>0.13085755705833435</v>
      </c>
      <c r="M130" s="181">
        <v>5.5447451770305634E-2</v>
      </c>
      <c r="N130" s="181">
        <v>1.3598611578345299E-2</v>
      </c>
      <c r="O130" s="181">
        <v>8.4528367657331027E-5</v>
      </c>
      <c r="P130" s="154">
        <v>2270000128</v>
      </c>
      <c r="Q130" s="93">
        <v>7.3411412537097931E-2</v>
      </c>
    </row>
    <row r="131" spans="2:17">
      <c r="B131" s="179">
        <v>400</v>
      </c>
      <c r="C131" s="179">
        <v>411</v>
      </c>
      <c r="D131" s="179">
        <v>367000000</v>
      </c>
      <c r="E131" s="180">
        <v>1.6119999811053276E-2</v>
      </c>
      <c r="F131" s="179">
        <v>950575488</v>
      </c>
      <c r="G131" s="179">
        <v>344839328</v>
      </c>
      <c r="H131" s="181">
        <v>0.36276900768280029</v>
      </c>
      <c r="I131" s="181">
        <v>2.3340567946434021E-2</v>
      </c>
      <c r="J131" s="181">
        <v>7.4621632695198059E-2</v>
      </c>
      <c r="K131" s="181">
        <v>2.3451047018170357E-3</v>
      </c>
      <c r="L131" s="181">
        <v>0.12396587431430817</v>
      </c>
      <c r="M131" s="181">
        <v>0.12451723217964172</v>
      </c>
      <c r="N131" s="181">
        <v>1.3978608883917332E-2</v>
      </c>
      <c r="O131" s="181">
        <v>1.4818537523259657E-5</v>
      </c>
      <c r="P131" s="154">
        <v>13299999744</v>
      </c>
      <c r="Q131" s="93">
        <v>7.1471840143203735E-2</v>
      </c>
    </row>
    <row r="132" spans="2:17">
      <c r="B132" s="38"/>
      <c r="C132" s="38"/>
      <c r="D132" s="38"/>
      <c r="E132" s="38"/>
      <c r="F132" s="38"/>
      <c r="G132" s="38"/>
      <c r="H132" s="38"/>
      <c r="I132" s="38"/>
      <c r="J132" s="38"/>
      <c r="K132" s="38"/>
      <c r="L132" s="38"/>
      <c r="M132" s="38"/>
      <c r="N132" s="38"/>
      <c r="O132" s="43"/>
      <c r="P132" s="154"/>
    </row>
    <row r="133" spans="2:17">
      <c r="B133" s="23" t="s">
        <v>415</v>
      </c>
      <c r="C133" s="38"/>
      <c r="D133" s="38"/>
      <c r="E133" s="38"/>
      <c r="F133" s="38"/>
      <c r="G133" s="38"/>
      <c r="H133" s="38"/>
      <c r="I133" s="38"/>
      <c r="J133" s="38"/>
      <c r="K133" s="38"/>
      <c r="L133" s="38"/>
      <c r="M133" s="38"/>
      <c r="N133" s="38"/>
      <c r="O133" s="43"/>
      <c r="P133" s="154"/>
    </row>
    <row r="134" spans="2:17">
      <c r="B134" s="104" t="s">
        <v>201</v>
      </c>
    </row>
    <row r="135" spans="2:17">
      <c r="B135" s="1"/>
    </row>
  </sheetData>
  <mergeCells count="3">
    <mergeCell ref="B2:F2"/>
    <mergeCell ref="G2:O2"/>
    <mergeCell ref="P2:Q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1228E-E6EC-4D97-A6BE-F9C5DE6DBC67}">
  <dimension ref="B1:L17"/>
  <sheetViews>
    <sheetView zoomScale="115" zoomScaleNormal="115" workbookViewId="0">
      <selection activeCell="K24" sqref="K24"/>
    </sheetView>
  </sheetViews>
  <sheetFormatPr baseColWidth="10" defaultRowHeight="14.4"/>
  <cols>
    <col min="1" max="1" width="3.6640625" customWidth="1"/>
    <col min="2" max="2" width="24.33203125" style="22" customWidth="1"/>
    <col min="3" max="3" width="11.5546875" style="22"/>
    <col min="4" max="4" width="16.33203125" style="22" bestFit="1" customWidth="1"/>
    <col min="5" max="5" width="16.33203125" style="22" customWidth="1"/>
    <col min="6" max="6" width="13" style="22" bestFit="1" customWidth="1"/>
    <col min="7" max="10" width="11.5546875" style="22"/>
    <col min="11" max="11" width="13" bestFit="1" customWidth="1"/>
    <col min="12" max="12" width="17.88671875" bestFit="1" customWidth="1"/>
  </cols>
  <sheetData>
    <row r="1" spans="2:12" s="85" customFormat="1">
      <c r="B1" s="22"/>
      <c r="C1" s="22"/>
      <c r="D1" s="22"/>
      <c r="E1" s="22"/>
      <c r="F1" s="22"/>
      <c r="G1" s="22"/>
      <c r="H1" s="22"/>
      <c r="I1" s="22"/>
      <c r="J1" s="22"/>
    </row>
    <row r="3" spans="2:12">
      <c r="B3" s="298" t="s">
        <v>7</v>
      </c>
      <c r="C3" s="298" t="s">
        <v>63</v>
      </c>
      <c r="D3" s="298" t="s">
        <v>64</v>
      </c>
      <c r="E3" s="298" t="s">
        <v>147</v>
      </c>
      <c r="F3" s="274" t="s">
        <v>43</v>
      </c>
      <c r="G3" s="274"/>
      <c r="H3" s="274"/>
      <c r="I3" s="274"/>
      <c r="J3" s="274"/>
    </row>
    <row r="4" spans="2:12" ht="43.2">
      <c r="B4" s="298"/>
      <c r="C4" s="298"/>
      <c r="D4" s="298"/>
      <c r="E4" s="298"/>
      <c r="F4" s="39" t="s">
        <v>50</v>
      </c>
      <c r="G4" s="45" t="s">
        <v>65</v>
      </c>
      <c r="H4" s="39" t="s">
        <v>66</v>
      </c>
      <c r="I4" s="45" t="s">
        <v>61</v>
      </c>
      <c r="J4" s="45" t="s">
        <v>67</v>
      </c>
    </row>
    <row r="5" spans="2:12" s="85" customFormat="1">
      <c r="B5" s="297" t="s">
        <v>198</v>
      </c>
      <c r="C5" s="297"/>
      <c r="D5" s="297"/>
      <c r="E5" s="297"/>
      <c r="F5" s="297"/>
      <c r="G5" s="297"/>
      <c r="H5" s="297"/>
      <c r="I5" s="297"/>
      <c r="J5" s="297"/>
    </row>
    <row r="6" spans="2:12">
      <c r="B6" s="154" t="s">
        <v>62</v>
      </c>
      <c r="C6" s="154">
        <v>367</v>
      </c>
      <c r="D6" s="97">
        <v>452300000</v>
      </c>
      <c r="E6" s="168">
        <v>5.6000000000000001E-2</v>
      </c>
      <c r="F6" s="107">
        <v>0.23799999999999999</v>
      </c>
      <c r="G6" s="107">
        <v>0.11</v>
      </c>
      <c r="H6" s="107">
        <v>8.8999999999999996E-2</v>
      </c>
      <c r="I6" s="107">
        <v>6.0000000000000001E-3</v>
      </c>
      <c r="J6" s="107">
        <v>3.4000000000000002E-2</v>
      </c>
      <c r="K6" s="26"/>
      <c r="L6" s="81"/>
    </row>
    <row r="7" spans="2:12">
      <c r="B7" s="154" t="s">
        <v>196</v>
      </c>
      <c r="C7" s="154">
        <v>92</v>
      </c>
      <c r="D7" s="97">
        <v>1093400000</v>
      </c>
      <c r="E7" s="168">
        <v>5.2999999999999999E-2</v>
      </c>
      <c r="F7" s="107">
        <v>0.22</v>
      </c>
      <c r="G7" s="107">
        <v>0.08</v>
      </c>
      <c r="H7" s="107">
        <v>0.10100000000000001</v>
      </c>
      <c r="I7" s="107">
        <v>4.0000000000000001E-3</v>
      </c>
      <c r="J7" s="107">
        <v>3.5999999999999997E-2</v>
      </c>
      <c r="K7" s="26"/>
    </row>
    <row r="8" spans="2:12">
      <c r="B8" s="154" t="s">
        <v>197</v>
      </c>
      <c r="C8" s="154">
        <v>276</v>
      </c>
      <c r="D8" s="97">
        <v>238700000</v>
      </c>
      <c r="E8" s="168">
        <v>6.3E-2</v>
      </c>
      <c r="F8" s="107">
        <v>0.26600000000000001</v>
      </c>
      <c r="G8" s="107">
        <v>0.156</v>
      </c>
      <c r="H8" s="107">
        <v>7.0999999999999994E-2</v>
      </c>
      <c r="I8" s="107">
        <v>8.9999999999999993E-3</v>
      </c>
      <c r="J8" s="107">
        <v>0.03</v>
      </c>
      <c r="K8" s="26"/>
    </row>
    <row r="9" spans="2:12" s="85" customFormat="1">
      <c r="B9" s="297" t="s">
        <v>200</v>
      </c>
      <c r="C9" s="297"/>
      <c r="D9" s="297"/>
      <c r="E9" s="297"/>
      <c r="F9" s="297"/>
      <c r="G9" s="297"/>
      <c r="H9" s="297"/>
      <c r="I9" s="297"/>
      <c r="J9" s="297"/>
      <c r="K9" s="26"/>
    </row>
    <row r="10" spans="2:12" s="85" customFormat="1">
      <c r="B10" s="154" t="s">
        <v>62</v>
      </c>
      <c r="C10" s="154">
        <v>367</v>
      </c>
      <c r="D10" s="97">
        <f>(D6*C6-F16)/C6</f>
        <v>395956675.74931878</v>
      </c>
      <c r="E10" s="168">
        <f>E6*(D10/D6)</f>
        <v>4.9024041215922728E-2</v>
      </c>
      <c r="F10" s="107">
        <f>F6*($D6/$D10)</f>
        <v>0.27186661216479113</v>
      </c>
      <c r="G10" s="107">
        <f>G6*($D6/$D10)</f>
        <v>0.1256526358744833</v>
      </c>
      <c r="H10" s="107">
        <f>H6*($D6/$D10)</f>
        <v>0.10166440538935466</v>
      </c>
      <c r="I10" s="107">
        <f>I6*($D6/$D10)</f>
        <v>6.8537801386081799E-3</v>
      </c>
      <c r="J10" s="107">
        <f>J6*($D6/$D10)</f>
        <v>3.8838087452113021E-2</v>
      </c>
      <c r="K10" s="26"/>
    </row>
    <row r="11" spans="2:12">
      <c r="B11" s="19"/>
    </row>
    <row r="12" spans="2:12">
      <c r="B12" s="19" t="s">
        <v>289</v>
      </c>
    </row>
    <row r="13" spans="2:12">
      <c r="B13" s="19" t="s">
        <v>290</v>
      </c>
    </row>
    <row r="14" spans="2:12">
      <c r="B14" s="19" t="s">
        <v>291</v>
      </c>
      <c r="H14" s="45"/>
    </row>
    <row r="16" spans="2:12">
      <c r="B16" s="169" t="s">
        <v>199</v>
      </c>
      <c r="F16" s="106">
        <f>0.49*42.2*1000000000</f>
        <v>20678000000</v>
      </c>
    </row>
    <row r="17" spans="2:2">
      <c r="B17" s="19" t="s">
        <v>288</v>
      </c>
    </row>
  </sheetData>
  <mergeCells count="7">
    <mergeCell ref="B9:J9"/>
    <mergeCell ref="F3:J3"/>
    <mergeCell ref="B5:J5"/>
    <mergeCell ref="E3:E4"/>
    <mergeCell ref="D3:D4"/>
    <mergeCell ref="C3:C4"/>
    <mergeCell ref="B3:B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D255-9FD5-4F0E-A8E9-9FD9F5E5BD9A}">
  <sheetPr codeName="Feuil5"/>
  <dimension ref="B2:P35"/>
  <sheetViews>
    <sheetView topLeftCell="B1" zoomScale="115" zoomScaleNormal="115" workbookViewId="0">
      <selection activeCell="H29" sqref="H29"/>
    </sheetView>
  </sheetViews>
  <sheetFormatPr baseColWidth="10" defaultRowHeight="14.4"/>
  <cols>
    <col min="1" max="1" width="2.6640625" customWidth="1"/>
    <col min="2" max="2" width="15.5546875" customWidth="1"/>
    <col min="9" max="9" width="15.33203125" customWidth="1"/>
    <col min="11" max="11" width="14.109375" bestFit="1" customWidth="1"/>
    <col min="12" max="12" width="17.5546875" customWidth="1"/>
  </cols>
  <sheetData>
    <row r="2" spans="2:16">
      <c r="C2" s="274" t="s">
        <v>6</v>
      </c>
      <c r="D2" s="274"/>
      <c r="E2" s="274"/>
      <c r="F2" s="274"/>
      <c r="G2" s="274"/>
      <c r="I2" s="274" t="s">
        <v>42</v>
      </c>
      <c r="J2" s="274"/>
      <c r="K2" s="274"/>
      <c r="L2" s="274"/>
      <c r="M2" s="274"/>
    </row>
    <row r="3" spans="2:16" ht="55.2">
      <c r="B3" s="39" t="s">
        <v>7</v>
      </c>
      <c r="C3" s="21" t="s">
        <v>15</v>
      </c>
      <c r="D3" s="21" t="s">
        <v>11</v>
      </c>
      <c r="E3" s="21" t="s">
        <v>12</v>
      </c>
      <c r="F3" s="21" t="s">
        <v>13</v>
      </c>
      <c r="G3" s="21" t="s">
        <v>14</v>
      </c>
      <c r="H3" s="21"/>
      <c r="I3" s="21" t="s">
        <v>7</v>
      </c>
      <c r="J3" s="21" t="s">
        <v>31</v>
      </c>
      <c r="K3" s="39" t="s">
        <v>16</v>
      </c>
      <c r="L3" s="39" t="s">
        <v>17</v>
      </c>
      <c r="M3" s="39" t="s">
        <v>32</v>
      </c>
      <c r="N3" s="43"/>
      <c r="O3" s="43"/>
      <c r="P3" s="43"/>
    </row>
    <row r="4" spans="2:16">
      <c r="B4" s="155" t="s">
        <v>19</v>
      </c>
      <c r="C4" s="107">
        <v>7.5960683602224799E-2</v>
      </c>
      <c r="D4" s="107">
        <v>0.212741843744019</v>
      </c>
      <c r="E4" s="107">
        <v>0.20531545757172201</v>
      </c>
      <c r="F4" s="107">
        <v>1.26300513016978E-2</v>
      </c>
      <c r="G4" s="107">
        <v>0.5066480362196637</v>
      </c>
      <c r="H4" s="84"/>
      <c r="I4" s="39" t="s">
        <v>33</v>
      </c>
      <c r="J4" s="170">
        <v>13332368</v>
      </c>
      <c r="K4" s="92"/>
      <c r="L4" s="97">
        <v>44371</v>
      </c>
      <c r="M4" s="107">
        <v>1</v>
      </c>
      <c r="N4" s="43"/>
      <c r="O4" s="43"/>
      <c r="P4" s="43"/>
    </row>
    <row r="5" spans="2:16">
      <c r="B5" s="155" t="s">
        <v>20</v>
      </c>
      <c r="C5" s="107">
        <v>9.0593912806377894E-2</v>
      </c>
      <c r="D5" s="107">
        <v>0.17665944307649101</v>
      </c>
      <c r="E5" s="107">
        <v>0.17307909536456301</v>
      </c>
      <c r="F5" s="107">
        <v>1.7366535107066199E-2</v>
      </c>
      <c r="G5" s="107">
        <v>0.45769898635449813</v>
      </c>
      <c r="H5" s="84"/>
      <c r="I5" s="154" t="s">
        <v>34</v>
      </c>
      <c r="J5" s="170">
        <v>6666184</v>
      </c>
      <c r="K5" s="92"/>
      <c r="L5" s="97">
        <v>19049</v>
      </c>
      <c r="M5" s="107">
        <v>0.215</v>
      </c>
      <c r="N5" s="43"/>
      <c r="O5" s="43"/>
      <c r="P5" s="43"/>
    </row>
    <row r="6" spans="2:16">
      <c r="B6" s="155" t="s">
        <v>21</v>
      </c>
      <c r="C6" s="107">
        <v>0.10363514720654</v>
      </c>
      <c r="D6" s="107">
        <v>0.17453947297514699</v>
      </c>
      <c r="E6" s="107">
        <v>0.16063244948996799</v>
      </c>
      <c r="F6" s="107">
        <v>1.82614224433311E-2</v>
      </c>
      <c r="G6" s="107">
        <v>0.45706849211498607</v>
      </c>
      <c r="H6" s="84"/>
      <c r="I6" s="154" t="s">
        <v>35</v>
      </c>
      <c r="J6" s="170">
        <v>5332947</v>
      </c>
      <c r="K6" s="92">
        <v>34158</v>
      </c>
      <c r="L6" s="97">
        <v>47982</v>
      </c>
      <c r="M6" s="107">
        <v>0.433</v>
      </c>
      <c r="N6" s="43"/>
      <c r="O6" s="43"/>
      <c r="P6" s="43"/>
    </row>
    <row r="7" spans="2:16">
      <c r="B7" s="155" t="s">
        <v>22</v>
      </c>
      <c r="C7" s="107">
        <v>0.114473948978531</v>
      </c>
      <c r="D7" s="107">
        <v>0.17761434175112201</v>
      </c>
      <c r="E7" s="107">
        <v>0.15186467319316499</v>
      </c>
      <c r="F7" s="107">
        <v>1.75003769937177E-2</v>
      </c>
      <c r="G7" s="107">
        <v>0.46145334091653567</v>
      </c>
      <c r="H7" s="84"/>
      <c r="I7" s="154" t="s">
        <v>36</v>
      </c>
      <c r="J7" s="170">
        <v>1333237</v>
      </c>
      <c r="K7" s="92">
        <v>72164</v>
      </c>
      <c r="L7" s="97">
        <v>156533</v>
      </c>
      <c r="M7" s="107">
        <v>0.35299999999999998</v>
      </c>
      <c r="N7" s="43"/>
      <c r="O7" s="43"/>
      <c r="P7" s="43"/>
    </row>
    <row r="8" spans="2:16">
      <c r="B8" s="155" t="s">
        <v>23</v>
      </c>
      <c r="C8" s="107">
        <v>0.12764930854622</v>
      </c>
      <c r="D8" s="107">
        <v>0.17859024846143901</v>
      </c>
      <c r="E8" s="107">
        <v>0.14354702680476</v>
      </c>
      <c r="F8" s="107">
        <v>1.6906828122627001E-2</v>
      </c>
      <c r="G8" s="107">
        <v>0.46669341193504599</v>
      </c>
      <c r="H8" s="84"/>
      <c r="I8" s="154" t="s">
        <v>37</v>
      </c>
      <c r="J8" s="170">
        <v>133324</v>
      </c>
      <c r="K8" s="92">
        <v>226162</v>
      </c>
      <c r="L8" s="97">
        <v>625482</v>
      </c>
      <c r="M8" s="107">
        <v>0.14099999999999999</v>
      </c>
      <c r="N8" s="43"/>
      <c r="O8" s="43"/>
      <c r="P8" s="43"/>
    </row>
    <row r="9" spans="2:16">
      <c r="B9" s="155" t="s">
        <v>24</v>
      </c>
      <c r="C9" s="107">
        <v>0.14333419972636299</v>
      </c>
      <c r="D9" s="107">
        <v>0.17669005767072099</v>
      </c>
      <c r="E9" s="107">
        <v>0.137230244568084</v>
      </c>
      <c r="F9" s="107">
        <v>1.6946955642056099E-2</v>
      </c>
      <c r="G9" s="107">
        <v>0.4742014576072241</v>
      </c>
      <c r="H9" s="84"/>
      <c r="I9" s="154" t="s">
        <v>38</v>
      </c>
      <c r="J9" s="170">
        <v>13333</v>
      </c>
      <c r="K9" s="92">
        <v>1023879</v>
      </c>
      <c r="L9" s="97">
        <v>2694670</v>
      </c>
      <c r="M9" s="107">
        <v>6.0999999999999999E-2</v>
      </c>
      <c r="N9" s="43"/>
      <c r="O9" s="43"/>
      <c r="P9" s="43"/>
    </row>
    <row r="10" spans="2:16">
      <c r="B10" s="155" t="s">
        <v>25</v>
      </c>
      <c r="C10" s="107">
        <v>0.16273693237568801</v>
      </c>
      <c r="D10" s="107">
        <v>0.17128099276085801</v>
      </c>
      <c r="E10" s="107">
        <v>0.13140199006998499</v>
      </c>
      <c r="F10" s="107">
        <v>1.7638340874946899E-2</v>
      </c>
      <c r="G10" s="107">
        <v>0.4830582560814779</v>
      </c>
      <c r="H10" s="84"/>
      <c r="I10" s="154" t="s">
        <v>39</v>
      </c>
      <c r="J10" s="170">
        <v>1334</v>
      </c>
      <c r="K10" s="92">
        <v>4372218</v>
      </c>
      <c r="L10" s="97">
        <v>10921054</v>
      </c>
      <c r="M10" s="107">
        <v>2.5000000000000001E-2</v>
      </c>
      <c r="N10" s="43"/>
      <c r="O10" s="43"/>
      <c r="P10" s="43"/>
    </row>
    <row r="11" spans="2:16">
      <c r="B11" s="155" t="s">
        <v>26</v>
      </c>
      <c r="C11" s="107">
        <v>0.188093669894526</v>
      </c>
      <c r="D11" s="107">
        <v>0.15776473727476201</v>
      </c>
      <c r="E11" s="107">
        <v>0.120820998343993</v>
      </c>
      <c r="F11" s="107">
        <v>1.95914970960251E-2</v>
      </c>
      <c r="G11" s="107">
        <v>0.48627090260930617</v>
      </c>
      <c r="H11" s="84"/>
      <c r="I11" s="154" t="s">
        <v>40</v>
      </c>
      <c r="J11" s="84">
        <v>134</v>
      </c>
      <c r="K11" s="92">
        <v>18828918</v>
      </c>
      <c r="L11" s="97">
        <v>40602767</v>
      </c>
      <c r="M11" s="107">
        <v>9.0000000000000011E-3</v>
      </c>
      <c r="N11" s="43"/>
      <c r="O11" s="43"/>
      <c r="P11" s="43"/>
    </row>
    <row r="12" spans="2:16">
      <c r="B12" s="155" t="s">
        <v>27</v>
      </c>
      <c r="C12" s="107">
        <v>0.20728806806276501</v>
      </c>
      <c r="D12" s="107">
        <v>0.10120689198879999</v>
      </c>
      <c r="E12" s="107">
        <v>9.5152074741190806E-2</v>
      </c>
      <c r="F12" s="107">
        <v>3.3828154451692502E-2</v>
      </c>
      <c r="G12" s="107">
        <v>0.43747518924444834</v>
      </c>
      <c r="H12" s="43"/>
      <c r="I12" s="154" t="s">
        <v>41</v>
      </c>
      <c r="J12" s="84">
        <v>14</v>
      </c>
      <c r="K12" s="92">
        <v>89761129</v>
      </c>
      <c r="L12" s="97">
        <v>111562388</v>
      </c>
      <c r="M12" s="107">
        <v>3.0000000000000001E-3</v>
      </c>
      <c r="N12" s="43"/>
      <c r="O12" s="43"/>
      <c r="P12" s="43"/>
    </row>
    <row r="13" spans="2:16">
      <c r="B13" s="155" t="s">
        <v>28</v>
      </c>
      <c r="C13" s="107">
        <v>0.112275580459926</v>
      </c>
      <c r="D13" s="107">
        <v>2.3027494650312098E-2</v>
      </c>
      <c r="E13" s="107">
        <v>4.7575856317013103E-2</v>
      </c>
      <c r="F13" s="107">
        <v>8.89365737986232E-2</v>
      </c>
      <c r="G13" s="107">
        <v>0.27181550522587439</v>
      </c>
      <c r="H13" s="43"/>
      <c r="I13" s="155" t="s">
        <v>294</v>
      </c>
      <c r="J13" s="43"/>
      <c r="K13" s="43"/>
      <c r="L13" s="43"/>
      <c r="M13" s="43"/>
      <c r="N13" s="43"/>
      <c r="O13" s="43"/>
      <c r="P13" s="43"/>
    </row>
    <row r="14" spans="2:16">
      <c r="B14" s="155" t="s">
        <v>29</v>
      </c>
      <c r="C14" s="107">
        <v>6.18723823742399E-2</v>
      </c>
      <c r="D14" s="107">
        <v>5.2210869275538304E-3</v>
      </c>
      <c r="E14" s="107">
        <v>3.5201891721885502E-2</v>
      </c>
      <c r="F14" s="107">
        <v>0.11183797296190701</v>
      </c>
      <c r="G14" s="107">
        <v>0.21413333398558623</v>
      </c>
      <c r="H14" s="43"/>
      <c r="I14" s="2"/>
      <c r="J14" s="43"/>
      <c r="K14" s="43"/>
      <c r="L14" s="43"/>
      <c r="M14" s="43"/>
      <c r="N14" s="43"/>
      <c r="O14" s="43"/>
      <c r="P14" s="43"/>
    </row>
    <row r="15" spans="2:16">
      <c r="B15" s="155" t="s">
        <v>8</v>
      </c>
      <c r="C15" s="107">
        <v>4.4620931902958703E-2</v>
      </c>
      <c r="D15" s="107">
        <v>1.3255245466198E-3</v>
      </c>
      <c r="E15" s="107">
        <v>2.9789039319120199E-2</v>
      </c>
      <c r="F15" s="107">
        <v>0.11487752281729</v>
      </c>
      <c r="G15" s="107">
        <v>0.1906130185859887</v>
      </c>
      <c r="H15" s="43"/>
      <c r="I15" s="43"/>
      <c r="J15" s="43"/>
      <c r="K15" s="43"/>
      <c r="L15" s="43"/>
      <c r="M15" s="43"/>
      <c r="N15" s="43"/>
      <c r="O15" s="43"/>
      <c r="P15" s="43"/>
    </row>
    <row r="16" spans="2:16">
      <c r="B16" s="155" t="s">
        <v>9</v>
      </c>
      <c r="C16" s="107">
        <v>2.2128670383768902E-2</v>
      </c>
      <c r="D16" s="107">
        <v>3.1994709023309298E-4</v>
      </c>
      <c r="E16" s="107">
        <v>2.6581062674075E-2</v>
      </c>
      <c r="F16" s="107">
        <v>0.13276331399685801</v>
      </c>
      <c r="G16" s="107">
        <v>0.18179299414493499</v>
      </c>
      <c r="H16" s="43"/>
      <c r="I16" s="43"/>
      <c r="J16" s="43"/>
      <c r="K16" s="43"/>
      <c r="L16" s="43"/>
      <c r="M16" s="43"/>
      <c r="N16" s="43"/>
      <c r="O16" s="43"/>
      <c r="P16" s="43"/>
    </row>
    <row r="17" spans="2:16">
      <c r="B17" s="155" t="s">
        <v>30</v>
      </c>
      <c r="C17" s="107">
        <v>2.30090312504326E-3</v>
      </c>
      <c r="D17" s="107">
        <v>6.9734195242105706E-5</v>
      </c>
      <c r="E17" s="107">
        <v>1.7716005357975999E-2</v>
      </c>
      <c r="F17" s="107">
        <v>0.14434712971200001</v>
      </c>
      <c r="G17" s="107">
        <v>0.16443377239026136</v>
      </c>
      <c r="H17" s="43"/>
      <c r="I17" s="43"/>
      <c r="J17" s="43"/>
      <c r="K17" s="43"/>
      <c r="L17" s="43"/>
      <c r="M17" s="43"/>
      <c r="N17" s="43"/>
      <c r="O17" s="43"/>
      <c r="P17" s="43"/>
    </row>
    <row r="18" spans="2:16">
      <c r="B18" s="43"/>
      <c r="C18" s="43"/>
      <c r="D18" s="43"/>
      <c r="E18" s="43"/>
      <c r="F18" s="43"/>
      <c r="G18" s="43"/>
      <c r="H18" s="43"/>
      <c r="I18" s="43"/>
      <c r="J18" s="43"/>
      <c r="K18" s="43"/>
      <c r="L18" s="43"/>
      <c r="M18" s="43"/>
      <c r="N18" s="43"/>
      <c r="O18" s="43"/>
      <c r="P18" s="43"/>
    </row>
    <row r="19" spans="2:16">
      <c r="B19" s="43"/>
      <c r="C19" s="43" t="s">
        <v>293</v>
      </c>
      <c r="D19" s="43"/>
      <c r="E19" s="43"/>
      <c r="F19" s="43"/>
      <c r="G19" s="43"/>
      <c r="H19" s="43"/>
      <c r="I19" s="43"/>
      <c r="J19" s="43"/>
      <c r="K19" s="43"/>
      <c r="L19" s="43"/>
      <c r="M19" s="43"/>
      <c r="N19" s="43"/>
      <c r="O19" s="43"/>
      <c r="P19" s="43"/>
    </row>
    <row r="20" spans="2:16">
      <c r="B20" s="43"/>
      <c r="C20" s="2"/>
      <c r="D20" s="43"/>
      <c r="E20" s="43"/>
      <c r="F20" s="43"/>
      <c r="G20" s="43"/>
      <c r="H20" s="43"/>
      <c r="I20" s="43"/>
      <c r="J20" s="43"/>
      <c r="K20" s="43"/>
      <c r="L20" s="43"/>
      <c r="M20" s="43"/>
      <c r="N20" s="43"/>
      <c r="O20" s="43"/>
      <c r="P20" s="43"/>
    </row>
    <row r="21" spans="2:16">
      <c r="B21" s="43"/>
      <c r="C21" s="43"/>
      <c r="D21" s="43"/>
      <c r="E21" s="43"/>
      <c r="F21" s="43"/>
      <c r="G21" s="43"/>
      <c r="H21" s="43"/>
      <c r="I21" s="43"/>
      <c r="J21" s="43"/>
      <c r="K21" s="43"/>
      <c r="L21" s="43"/>
      <c r="M21" s="43"/>
      <c r="N21" s="43"/>
      <c r="O21" s="43"/>
      <c r="P21" s="43"/>
    </row>
    <row r="22" spans="2:16">
      <c r="B22" s="43"/>
      <c r="C22" s="191"/>
      <c r="D22" s="191"/>
      <c r="E22" s="191"/>
      <c r="F22" s="191"/>
      <c r="G22" s="43"/>
      <c r="H22" s="190"/>
      <c r="I22" s="43"/>
      <c r="J22" s="43"/>
      <c r="K22" s="43"/>
      <c r="L22" s="43"/>
      <c r="M22" s="43"/>
      <c r="N22" s="43"/>
      <c r="O22" s="43"/>
      <c r="P22" s="43"/>
    </row>
    <row r="23" spans="2:16">
      <c r="B23" s="43"/>
      <c r="C23" s="191"/>
      <c r="D23" s="191"/>
      <c r="E23" s="191"/>
      <c r="F23" s="191"/>
      <c r="G23" s="43"/>
      <c r="H23" s="190"/>
      <c r="I23" s="43"/>
      <c r="J23" s="43"/>
      <c r="K23" s="43"/>
      <c r="L23" s="43"/>
      <c r="M23" s="43"/>
      <c r="N23" s="43"/>
      <c r="O23" s="43"/>
      <c r="P23" s="43"/>
    </row>
    <row r="24" spans="2:16">
      <c r="C24" s="191"/>
      <c r="D24" s="191"/>
      <c r="E24" s="191"/>
      <c r="F24" s="191"/>
      <c r="H24" s="190"/>
    </row>
    <row r="25" spans="2:16">
      <c r="C25" s="191"/>
      <c r="D25" s="191"/>
      <c r="E25" s="191"/>
      <c r="F25" s="191"/>
      <c r="H25" s="190"/>
    </row>
    <row r="26" spans="2:16">
      <c r="C26" s="191"/>
      <c r="D26" s="191"/>
      <c r="E26" s="191"/>
      <c r="F26" s="191"/>
      <c r="H26" s="190"/>
    </row>
    <row r="27" spans="2:16">
      <c r="C27" s="191"/>
      <c r="D27" s="191"/>
      <c r="E27" s="191"/>
      <c r="F27" s="191"/>
      <c r="H27" s="190"/>
    </row>
    <row r="28" spans="2:16">
      <c r="C28" s="191"/>
      <c r="D28" s="191"/>
      <c r="E28" s="191"/>
      <c r="F28" s="191"/>
      <c r="H28" s="190"/>
    </row>
    <row r="29" spans="2:16">
      <c r="C29" s="191"/>
      <c r="D29" s="191"/>
      <c r="E29" s="191"/>
      <c r="F29" s="191"/>
      <c r="H29" s="190"/>
    </row>
    <row r="30" spans="2:16">
      <c r="C30" s="191"/>
      <c r="D30" s="191"/>
      <c r="E30" s="191"/>
      <c r="F30" s="191"/>
      <c r="H30" s="190"/>
    </row>
    <row r="31" spans="2:16">
      <c r="C31" s="191"/>
      <c r="D31" s="191"/>
      <c r="E31" s="191"/>
      <c r="F31" s="191"/>
      <c r="H31" s="190"/>
    </row>
    <row r="32" spans="2:16">
      <c r="C32" s="191"/>
      <c r="D32" s="191"/>
      <c r="E32" s="191"/>
      <c r="F32" s="191"/>
      <c r="H32" s="190"/>
    </row>
    <row r="33" spans="3:8">
      <c r="C33" s="191"/>
      <c r="D33" s="191"/>
      <c r="E33" s="191"/>
      <c r="F33" s="191"/>
      <c r="H33" s="190"/>
    </row>
    <row r="34" spans="3:8">
      <c r="C34" s="191"/>
      <c r="D34" s="191"/>
      <c r="E34" s="191"/>
      <c r="F34" s="191"/>
      <c r="H34" s="190"/>
    </row>
    <row r="35" spans="3:8">
      <c r="C35" s="191"/>
      <c r="D35" s="191"/>
      <c r="E35" s="191"/>
      <c r="F35" s="191"/>
      <c r="H35" s="190"/>
    </row>
  </sheetData>
  <mergeCells count="2">
    <mergeCell ref="C2:G2"/>
    <mergeCell ref="I2:M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D0CC9-61B3-4D1E-94F5-791761C62400}">
  <dimension ref="B2:R26"/>
  <sheetViews>
    <sheetView zoomScale="115" zoomScaleNormal="115" workbookViewId="0">
      <selection activeCell="P24" sqref="P24"/>
    </sheetView>
  </sheetViews>
  <sheetFormatPr baseColWidth="10" defaultRowHeight="14.4"/>
  <cols>
    <col min="1" max="1" width="3.33203125" customWidth="1"/>
    <col min="2" max="2" width="15.6640625" customWidth="1"/>
    <col min="12" max="12" width="14.5546875" bestFit="1" customWidth="1"/>
    <col min="13" max="15" width="15.6640625" bestFit="1" customWidth="1"/>
    <col min="16" max="16" width="13" bestFit="1" customWidth="1"/>
    <col min="17" max="17" width="12.6640625" bestFit="1" customWidth="1"/>
  </cols>
  <sheetData>
    <row r="2" spans="2:18">
      <c r="C2" s="274" t="s">
        <v>6</v>
      </c>
      <c r="D2" s="274"/>
      <c r="E2" s="274"/>
      <c r="F2" s="274"/>
      <c r="G2" s="274"/>
      <c r="H2" s="274"/>
      <c r="I2" s="274"/>
      <c r="J2" s="274"/>
      <c r="K2" s="274" t="s">
        <v>94</v>
      </c>
      <c r="L2" s="274"/>
      <c r="M2" s="274"/>
      <c r="N2" s="274"/>
      <c r="O2" s="274"/>
      <c r="P2" s="274"/>
      <c r="Q2" s="274"/>
    </row>
    <row r="3" spans="2:18" ht="43.2">
      <c r="B3" s="39" t="s">
        <v>7</v>
      </c>
      <c r="C3" s="39" t="s">
        <v>50</v>
      </c>
      <c r="D3" s="39" t="s">
        <v>51</v>
      </c>
      <c r="E3" s="39" t="s">
        <v>71</v>
      </c>
      <c r="F3" s="39" t="s">
        <v>52</v>
      </c>
      <c r="G3" s="39" t="s">
        <v>72</v>
      </c>
      <c r="H3" s="39" t="s">
        <v>73</v>
      </c>
      <c r="I3" s="39" t="s">
        <v>74</v>
      </c>
      <c r="J3" s="43"/>
      <c r="K3" s="39" t="s">
        <v>95</v>
      </c>
      <c r="L3" s="39" t="s">
        <v>56</v>
      </c>
      <c r="M3" s="39" t="s">
        <v>148</v>
      </c>
      <c r="N3" s="39" t="s">
        <v>149</v>
      </c>
      <c r="O3" s="39" t="s">
        <v>148</v>
      </c>
      <c r="P3" s="39" t="s">
        <v>149</v>
      </c>
      <c r="Q3" s="39" t="s">
        <v>93</v>
      </c>
      <c r="R3" s="43"/>
    </row>
    <row r="4" spans="2:18" s="85" customFormat="1">
      <c r="B4" s="39"/>
      <c r="C4" s="39"/>
      <c r="D4" s="39"/>
      <c r="E4" s="39"/>
      <c r="F4" s="39"/>
      <c r="G4" s="39"/>
      <c r="H4" s="39"/>
      <c r="I4" s="39"/>
      <c r="J4" s="43"/>
      <c r="K4" s="116" t="s">
        <v>76</v>
      </c>
      <c r="L4" s="39"/>
      <c r="M4" s="39"/>
      <c r="N4" s="39"/>
      <c r="O4" s="39"/>
      <c r="P4" s="39"/>
      <c r="Q4" s="176">
        <v>1</v>
      </c>
      <c r="R4" s="43"/>
    </row>
    <row r="5" spans="2:18">
      <c r="B5" s="155" t="s">
        <v>68</v>
      </c>
      <c r="C5" s="107">
        <v>0.48921796000000001</v>
      </c>
      <c r="D5" s="107">
        <v>0.35078787</v>
      </c>
      <c r="E5" s="107">
        <v>7.3076589999999997E-2</v>
      </c>
      <c r="F5" s="107">
        <v>1.1969000000000563E-4</v>
      </c>
      <c r="G5" s="107">
        <v>3.028099999999867E-4</v>
      </c>
      <c r="H5" s="107">
        <v>3.7247660000000016E-2</v>
      </c>
      <c r="I5" s="107">
        <v>2.7683340000000001E-2</v>
      </c>
      <c r="J5" s="177"/>
      <c r="K5" s="116" t="s">
        <v>77</v>
      </c>
      <c r="L5" s="113">
        <f>L8*(9/5)</f>
        <v>136575286.20000002</v>
      </c>
      <c r="M5" s="43"/>
      <c r="N5" s="114">
        <f>(N6*L6+(L5-L6)*6681)/L5</f>
        <v>42778.888888888883</v>
      </c>
      <c r="O5" s="115"/>
      <c r="P5" s="113">
        <f t="shared" ref="P5:P7" si="0">N5/4.03</f>
        <v>10615.108905431483</v>
      </c>
      <c r="Q5" s="107">
        <f>'Bach et al. (2025)'!F5/100</f>
        <v>0.99849999999999994</v>
      </c>
      <c r="R5" s="43"/>
    </row>
    <row r="6" spans="2:18">
      <c r="B6" s="155" t="s">
        <v>21</v>
      </c>
      <c r="C6" s="107">
        <v>0.48097889999999999</v>
      </c>
      <c r="D6" s="107">
        <v>0.30598335999999998</v>
      </c>
      <c r="E6" s="107">
        <v>0.12977363000000003</v>
      </c>
      <c r="F6" s="107">
        <v>2.9069999999964402E-5</v>
      </c>
      <c r="G6" s="107">
        <v>4.4550000000032064E-5</v>
      </c>
      <c r="H6" s="107">
        <v>1.8400489999999992E-2</v>
      </c>
      <c r="I6" s="107">
        <v>2.6747799999999988E-2</v>
      </c>
      <c r="J6" s="177"/>
      <c r="K6" s="116" t="s">
        <v>79</v>
      </c>
      <c r="L6" s="113">
        <f>L8*(7/5)</f>
        <v>106225222.59999999</v>
      </c>
      <c r="M6" s="43"/>
      <c r="N6" s="114">
        <f>(N7*L7+(L6-L7)*13151)/L6</f>
        <v>53092.571428571428</v>
      </c>
      <c r="O6" s="115"/>
      <c r="P6" s="113">
        <f t="shared" si="0"/>
        <v>13174.335342077276</v>
      </c>
      <c r="Q6" s="107">
        <f>(L6*N6)/(L5*N5)*Q5</f>
        <v>0.96384646632554982</v>
      </c>
      <c r="R6" s="43"/>
    </row>
    <row r="7" spans="2:18">
      <c r="B7" s="155" t="s">
        <v>22</v>
      </c>
      <c r="C7" s="107">
        <v>0.44749116</v>
      </c>
      <c r="D7" s="107">
        <v>0.28814492000000003</v>
      </c>
      <c r="E7" s="107">
        <v>0.11425879</v>
      </c>
      <c r="F7" s="107">
        <v>3.2159999999947786E-5</v>
      </c>
      <c r="G7" s="107">
        <v>7.4400000000029998E-5</v>
      </c>
      <c r="H7" s="107">
        <v>1.9991690000000006E-2</v>
      </c>
      <c r="I7" s="107">
        <v>2.4989199999999989E-2</v>
      </c>
      <c r="J7" s="177"/>
      <c r="K7" s="116" t="s">
        <v>80</v>
      </c>
      <c r="L7" s="113">
        <f>L8*(6/5)</f>
        <v>91050190.799999997</v>
      </c>
      <c r="M7" s="43"/>
      <c r="N7" s="114">
        <f>(N8*L8+(L7-L8)*15882)/L7</f>
        <v>59749.5</v>
      </c>
      <c r="O7" s="115"/>
      <c r="P7" s="113">
        <f t="shared" si="0"/>
        <v>14826.178660049627</v>
      </c>
      <c r="Q7" s="107">
        <f>(L7*N7)/(L6*N6)*Q6</f>
        <v>0.92974014830783602</v>
      </c>
      <c r="R7" s="43"/>
    </row>
    <row r="8" spans="2:18">
      <c r="B8" s="155" t="s">
        <v>23</v>
      </c>
      <c r="C8" s="107">
        <v>0.46344125000000003</v>
      </c>
      <c r="D8" s="107">
        <v>0.27923704999999999</v>
      </c>
      <c r="E8" s="107">
        <v>0.13652030000000004</v>
      </c>
      <c r="F8" s="107">
        <v>3.9299999999964363E-5</v>
      </c>
      <c r="G8" s="107">
        <v>5.9399999999987241E-5</v>
      </c>
      <c r="H8" s="107">
        <v>2.199091000000003E-2</v>
      </c>
      <c r="I8" s="107">
        <v>2.559429000000002E-2</v>
      </c>
      <c r="J8" s="177"/>
      <c r="K8" s="43" t="s">
        <v>81</v>
      </c>
      <c r="L8" s="92">
        <v>75875159</v>
      </c>
      <c r="M8" s="92">
        <v>14305</v>
      </c>
      <c r="N8" s="92">
        <v>68523</v>
      </c>
      <c r="O8" s="178">
        <f>M8/4.03</f>
        <v>3549.6277915632754</v>
      </c>
      <c r="P8" s="178">
        <f>N8/4.03</f>
        <v>17003.225806451614</v>
      </c>
      <c r="Q8" s="107">
        <f t="shared" ref="Q8:Q18" si="1">(L8*N8)/(L7*N7)*Q7</f>
        <v>0.8885511480221292</v>
      </c>
      <c r="R8" s="43"/>
    </row>
    <row r="9" spans="2:18">
      <c r="B9" s="155" t="s">
        <v>24</v>
      </c>
      <c r="C9" s="107">
        <v>0.46875623</v>
      </c>
      <c r="D9" s="107">
        <v>0.27187730999999998</v>
      </c>
      <c r="E9" s="107">
        <v>0.14923669000000001</v>
      </c>
      <c r="F9" s="107">
        <v>6.3599999999996992E-5</v>
      </c>
      <c r="G9" s="107">
        <v>5.3579999999997519E-5</v>
      </c>
      <c r="H9" s="107">
        <v>2.1793000000000007E-2</v>
      </c>
      <c r="I9" s="107">
        <v>2.5732050000000006E-2</v>
      </c>
      <c r="J9" s="177"/>
      <c r="K9" s="115" t="s">
        <v>82</v>
      </c>
      <c r="L9" s="113">
        <f>L8*(4/5)</f>
        <v>60700127.200000003</v>
      </c>
      <c r="M9" s="43"/>
      <c r="N9" s="113">
        <f>(N8*L8-(L8-L9)*19241)/L9</f>
        <v>80843.5</v>
      </c>
      <c r="O9" s="43"/>
      <c r="P9" s="113">
        <f t="shared" ref="P9:P10" si="2">N9/4.03</f>
        <v>20060.421836228288</v>
      </c>
      <c r="Q9" s="107">
        <f t="shared" si="1"/>
        <v>0.83865078569387808</v>
      </c>
      <c r="R9" s="43"/>
    </row>
    <row r="10" spans="2:18">
      <c r="B10" s="155" t="s">
        <v>25</v>
      </c>
      <c r="C10" s="107">
        <v>0.4378783</v>
      </c>
      <c r="D10" s="107">
        <v>0.24387754</v>
      </c>
      <c r="E10" s="107">
        <v>0.14179302999999999</v>
      </c>
      <c r="F10" s="107">
        <v>4.4270299999999985E-3</v>
      </c>
      <c r="G10" s="107">
        <v>5.1422000000000967E-4</v>
      </c>
      <c r="H10" s="107">
        <v>2.343706000000001E-2</v>
      </c>
      <c r="I10" s="107">
        <v>2.382941999999999E-2</v>
      </c>
      <c r="J10" s="177"/>
      <c r="K10" s="115" t="s">
        <v>83</v>
      </c>
      <c r="L10" s="113">
        <f>L8*(3/5)</f>
        <v>45525095.399999999</v>
      </c>
      <c r="M10" s="178"/>
      <c r="N10" s="113">
        <f>(N9*L9-(L9-L10)*24114)/L10</f>
        <v>99753.333333333343</v>
      </c>
      <c r="O10" s="43"/>
      <c r="P10" s="113">
        <f t="shared" si="2"/>
        <v>24752.68817204301</v>
      </c>
      <c r="Q10" s="107">
        <f t="shared" si="1"/>
        <v>0.77611259447806547</v>
      </c>
      <c r="R10" s="43"/>
    </row>
    <row r="11" spans="2:18">
      <c r="B11" s="155" t="s">
        <v>26</v>
      </c>
      <c r="C11" s="107">
        <v>0.49957816999999999</v>
      </c>
      <c r="D11" s="107">
        <v>0.20272693</v>
      </c>
      <c r="E11" s="107">
        <v>0.22207020000000002</v>
      </c>
      <c r="F11" s="107">
        <v>2.8896959999999972E-2</v>
      </c>
      <c r="G11" s="107">
        <v>1.6467800000000143E-3</v>
      </c>
      <c r="H11" s="107">
        <v>1.9115920000000008E-2</v>
      </c>
      <c r="I11" s="107">
        <v>2.5121379999999971E-2</v>
      </c>
      <c r="J11" s="177"/>
      <c r="K11" s="43" t="s">
        <v>84</v>
      </c>
      <c r="L11" s="92">
        <v>29837281</v>
      </c>
      <c r="M11" s="92">
        <v>36178</v>
      </c>
      <c r="N11" s="92">
        <v>141121</v>
      </c>
      <c r="O11" s="178">
        <f t="shared" ref="O11:O18" si="3">M11/4.03</f>
        <v>8977.1712158808932</v>
      </c>
      <c r="P11" s="178">
        <f t="shared" ref="P11:P18" si="4">N11/4.03</f>
        <v>35017.617866004963</v>
      </c>
      <c r="Q11" s="107">
        <f t="shared" si="1"/>
        <v>0.71961024760150227</v>
      </c>
      <c r="R11" s="43"/>
    </row>
    <row r="12" spans="2:18">
      <c r="B12" s="155" t="s">
        <v>69</v>
      </c>
      <c r="C12" s="107">
        <v>0.51614698999999997</v>
      </c>
      <c r="D12" s="107">
        <v>0.18110766</v>
      </c>
      <c r="E12" s="107">
        <v>0.22354725999999997</v>
      </c>
      <c r="F12" s="107">
        <v>6.8337360000000014E-2</v>
      </c>
      <c r="G12" s="107">
        <v>3.1153600000000115E-3</v>
      </c>
      <c r="H12" s="107">
        <v>1.5995470000000012E-2</v>
      </c>
      <c r="I12" s="107">
        <v>2.4043879999999962E-2</v>
      </c>
      <c r="J12" s="177"/>
      <c r="K12" s="43" t="s">
        <v>85</v>
      </c>
      <c r="L12" s="92">
        <v>14918640</v>
      </c>
      <c r="M12" s="92">
        <v>73213</v>
      </c>
      <c r="N12" s="92">
        <v>230814</v>
      </c>
      <c r="O12" s="178">
        <f t="shared" si="3"/>
        <v>18166.99751861042</v>
      </c>
      <c r="P12" s="178">
        <f t="shared" si="4"/>
        <v>57273.945409429274</v>
      </c>
      <c r="Q12" s="107">
        <f>(L12*N12)/(L11*N11)*Q11</f>
        <v>0.58848829771317546</v>
      </c>
      <c r="R12" s="43"/>
    </row>
    <row r="13" spans="2:18">
      <c r="B13" s="155" t="s">
        <v>70</v>
      </c>
      <c r="C13" s="107">
        <v>0.41765648999999999</v>
      </c>
      <c r="D13" s="107">
        <v>0.10663188999999999</v>
      </c>
      <c r="E13" s="107">
        <v>0.17045790999999999</v>
      </c>
      <c r="F13" s="107">
        <v>0.10205763000000001</v>
      </c>
      <c r="G13" s="107">
        <v>8.3621600000000074E-3</v>
      </c>
      <c r="H13" s="107">
        <v>1.1407039999999979E-2</v>
      </c>
      <c r="I13" s="107">
        <v>1.8739859999999997E-2</v>
      </c>
      <c r="J13" s="177"/>
      <c r="K13" s="43" t="s">
        <v>86</v>
      </c>
      <c r="L13" s="92">
        <v>7459319</v>
      </c>
      <c r="M13" s="92">
        <v>129125</v>
      </c>
      <c r="N13" s="92">
        <v>365465</v>
      </c>
      <c r="O13" s="178">
        <f t="shared" si="3"/>
        <v>32040.942928039702</v>
      </c>
      <c r="P13" s="178">
        <f t="shared" si="4"/>
        <v>90686.104218362278</v>
      </c>
      <c r="Q13" s="107">
        <f t="shared" si="1"/>
        <v>0.46589861726564968</v>
      </c>
      <c r="R13" s="43"/>
    </row>
    <row r="14" spans="2:18">
      <c r="B14" s="155" t="s">
        <v>28</v>
      </c>
      <c r="C14" s="107">
        <v>0.30034454999999999</v>
      </c>
      <c r="D14" s="107">
        <v>6.541951E-2</v>
      </c>
      <c r="E14" s="107">
        <v>9.6153059999999999E-2</v>
      </c>
      <c r="F14" s="107">
        <v>8.8037680000000007E-2</v>
      </c>
      <c r="G14" s="107">
        <v>2.8660810000000009E-2</v>
      </c>
      <c r="H14" s="107">
        <v>7.3779199999999823E-3</v>
      </c>
      <c r="I14" s="107">
        <v>1.4695569999999991E-2</v>
      </c>
      <c r="J14" s="177"/>
      <c r="K14" s="43" t="s">
        <v>53</v>
      </c>
      <c r="L14" s="92">
        <v>1491870</v>
      </c>
      <c r="M14" s="92">
        <v>374526</v>
      </c>
      <c r="N14" s="92">
        <v>1004838</v>
      </c>
      <c r="O14" s="178">
        <f t="shared" si="3"/>
        <v>92934.491315136474</v>
      </c>
      <c r="P14" s="178">
        <f t="shared" si="4"/>
        <v>249339.4540942928</v>
      </c>
      <c r="Q14" s="107">
        <f t="shared" si="1"/>
        <v>0.25619667019275622</v>
      </c>
      <c r="R14" s="43"/>
    </row>
    <row r="15" spans="2:18">
      <c r="B15" s="155" t="s">
        <v>29</v>
      </c>
      <c r="C15" s="107">
        <v>0.22436049</v>
      </c>
      <c r="D15" s="107">
        <v>5.3847699999999998E-2</v>
      </c>
      <c r="E15" s="107">
        <v>2.5956469999999995E-2</v>
      </c>
      <c r="F15" s="107">
        <v>4.4077640000000001E-2</v>
      </c>
      <c r="G15" s="107">
        <v>8.1830119999999992E-2</v>
      </c>
      <c r="H15" s="107">
        <v>4.4707800000000075E-3</v>
      </c>
      <c r="I15" s="107">
        <v>1.4177780000000001E-2</v>
      </c>
      <c r="J15" s="177"/>
      <c r="K15" s="43" t="s">
        <v>87</v>
      </c>
      <c r="L15" s="92">
        <v>149187</v>
      </c>
      <c r="M15" s="92">
        <v>1422293</v>
      </c>
      <c r="N15" s="92">
        <v>4586560</v>
      </c>
      <c r="O15" s="178">
        <f t="shared" si="3"/>
        <v>352926.30272952851</v>
      </c>
      <c r="P15" s="178">
        <f t="shared" si="4"/>
        <v>1138104.2183622827</v>
      </c>
      <c r="Q15" s="107">
        <f t="shared" si="1"/>
        <v>0.11694038239390708</v>
      </c>
      <c r="R15" s="43"/>
    </row>
    <row r="16" spans="2:18">
      <c r="B16" s="155" t="s">
        <v>8</v>
      </c>
      <c r="C16" s="107">
        <v>0.21458076000000001</v>
      </c>
      <c r="D16" s="107">
        <v>4.9400050000000001E-2</v>
      </c>
      <c r="E16" s="107">
        <v>9.7962600000000011E-3</v>
      </c>
      <c r="F16" s="107">
        <v>3.0993380000000001E-2</v>
      </c>
      <c r="G16" s="107">
        <v>0.10685298</v>
      </c>
      <c r="H16" s="107">
        <v>2.698779999999984E-3</v>
      </c>
      <c r="I16" s="107">
        <v>1.4839310000000022E-2</v>
      </c>
      <c r="J16" s="177"/>
      <c r="K16" s="43" t="s">
        <v>88</v>
      </c>
      <c r="L16" s="92">
        <v>14922</v>
      </c>
      <c r="M16" s="92">
        <v>7003875</v>
      </c>
      <c r="N16" s="92">
        <v>22950356</v>
      </c>
      <c r="O16" s="178">
        <f t="shared" si="3"/>
        <v>1737934.2431761785</v>
      </c>
      <c r="P16" s="178">
        <f t="shared" si="4"/>
        <v>5694877.4193548383</v>
      </c>
      <c r="Q16" s="107">
        <f t="shared" si="1"/>
        <v>5.8527895972065452E-2</v>
      </c>
      <c r="R16" s="43"/>
    </row>
    <row r="17" spans="2:18">
      <c r="B17" s="155" t="s">
        <v>40</v>
      </c>
      <c r="C17" s="107">
        <v>0.19708729</v>
      </c>
      <c r="D17" s="107">
        <v>4.0906579999999998E-2</v>
      </c>
      <c r="E17" s="107">
        <v>1.884540000000004E-3</v>
      </c>
      <c r="F17" s="107">
        <v>1.9791820000000002E-2</v>
      </c>
      <c r="G17" s="107">
        <v>0.11906232</v>
      </c>
      <c r="H17" s="107">
        <v>6.687800000000077E-4</v>
      </c>
      <c r="I17" s="107">
        <v>1.4773249999999988E-2</v>
      </c>
      <c r="J17" s="177"/>
      <c r="K17" s="43" t="s">
        <v>89</v>
      </c>
      <c r="L17" s="92">
        <v>1492</v>
      </c>
      <c r="M17" s="92">
        <v>36343312</v>
      </c>
      <c r="N17" s="92">
        <v>111879448</v>
      </c>
      <c r="O17" s="178">
        <f t="shared" si="3"/>
        <v>9018191.5632754341</v>
      </c>
      <c r="P17" s="178">
        <f t="shared" si="4"/>
        <v>27761649.627791561</v>
      </c>
      <c r="Q17" s="107">
        <f t="shared" si="1"/>
        <v>2.8527623076542157E-2</v>
      </c>
      <c r="R17" s="43"/>
    </row>
    <row r="18" spans="2:18" s="85" customFormat="1">
      <c r="B18" s="155"/>
      <c r="C18" s="107"/>
      <c r="D18" s="107"/>
      <c r="E18" s="107"/>
      <c r="F18" s="107"/>
      <c r="G18" s="107"/>
      <c r="H18" s="107"/>
      <c r="I18" s="107"/>
      <c r="J18" s="177"/>
      <c r="K18" s="43" t="s">
        <v>96</v>
      </c>
      <c r="L18" s="92">
        <v>152</v>
      </c>
      <c r="M18" s="92">
        <v>199694816</v>
      </c>
      <c r="N18" s="92">
        <v>491618912</v>
      </c>
      <c r="O18" s="178">
        <f t="shared" si="3"/>
        <v>49552063.523573197</v>
      </c>
      <c r="P18" s="178">
        <f t="shared" si="4"/>
        <v>121989804.46650124</v>
      </c>
      <c r="Q18" s="107">
        <f t="shared" si="1"/>
        <v>1.277081515371974E-2</v>
      </c>
      <c r="R18" s="43"/>
    </row>
    <row r="19" spans="2:18">
      <c r="B19" s="155"/>
      <c r="C19" s="107"/>
      <c r="D19" s="107"/>
      <c r="E19" s="107"/>
      <c r="F19" s="107"/>
      <c r="G19" s="107"/>
      <c r="H19" s="43"/>
      <c r="I19" s="43"/>
      <c r="J19" s="43"/>
      <c r="K19" s="43"/>
      <c r="L19" s="43"/>
      <c r="M19" s="43"/>
      <c r="N19" s="43"/>
      <c r="O19" s="43"/>
      <c r="P19" s="43"/>
      <c r="Q19" s="178"/>
      <c r="R19" s="43"/>
    </row>
    <row r="20" spans="2:18">
      <c r="B20" s="43" t="s">
        <v>97</v>
      </c>
      <c r="C20" s="43"/>
      <c r="D20" s="43"/>
      <c r="E20" s="43"/>
      <c r="F20" s="43"/>
      <c r="G20" s="43"/>
      <c r="H20" s="43"/>
      <c r="I20" s="43"/>
      <c r="J20" s="43"/>
      <c r="K20" s="43" t="s">
        <v>129</v>
      </c>
      <c r="L20" s="43"/>
      <c r="M20" s="43"/>
      <c r="N20" s="43"/>
      <c r="O20" s="43"/>
      <c r="P20" s="43"/>
      <c r="Q20" s="43"/>
      <c r="R20" s="43"/>
    </row>
    <row r="21" spans="2:18">
      <c r="B21" s="2"/>
      <c r="C21" s="43"/>
      <c r="D21" s="43"/>
      <c r="E21" s="43"/>
      <c r="F21" s="43"/>
      <c r="G21" s="43"/>
      <c r="H21" s="43"/>
      <c r="I21" s="43"/>
      <c r="J21" s="43"/>
      <c r="K21" s="43" t="s">
        <v>203</v>
      </c>
      <c r="L21" s="43"/>
      <c r="M21" s="43"/>
      <c r="N21" s="43"/>
      <c r="O21" s="43"/>
      <c r="P21" s="43"/>
      <c r="Q21" s="43"/>
      <c r="R21" s="43"/>
    </row>
    <row r="22" spans="2:18">
      <c r="B22" s="43"/>
      <c r="C22" s="43"/>
      <c r="D22" s="43"/>
      <c r="E22" s="43"/>
      <c r="F22" s="43"/>
      <c r="G22" s="43"/>
      <c r="H22" s="43"/>
      <c r="I22" s="43"/>
      <c r="J22" s="43"/>
      <c r="K22" s="43" t="s">
        <v>202</v>
      </c>
      <c r="L22" s="43"/>
      <c r="M22" s="43"/>
      <c r="N22" s="43"/>
      <c r="O22" s="43"/>
      <c r="P22" s="43"/>
      <c r="Q22" s="43"/>
      <c r="R22" s="43"/>
    </row>
    <row r="23" spans="2:18">
      <c r="B23" s="43"/>
      <c r="C23" s="43"/>
      <c r="D23" s="43"/>
      <c r="E23" s="43"/>
      <c r="F23" s="43"/>
      <c r="G23" s="43"/>
      <c r="H23" s="43"/>
      <c r="I23" s="43"/>
      <c r="J23" s="43"/>
      <c r="K23" s="2"/>
      <c r="L23" s="43"/>
      <c r="M23" s="43"/>
      <c r="N23" s="43"/>
      <c r="O23" s="43"/>
      <c r="P23" s="43"/>
      <c r="Q23" s="43"/>
      <c r="R23" s="43"/>
    </row>
    <row r="24" spans="2:18">
      <c r="B24" s="43"/>
      <c r="C24" s="43"/>
      <c r="D24" s="43"/>
      <c r="E24" s="43"/>
      <c r="F24" s="43"/>
      <c r="G24" s="43"/>
      <c r="H24" s="43"/>
      <c r="I24" s="43"/>
      <c r="J24" s="43"/>
      <c r="K24" s="43"/>
      <c r="L24" s="43"/>
      <c r="M24" s="43"/>
      <c r="N24" s="43"/>
      <c r="O24" s="43"/>
      <c r="P24" s="43"/>
      <c r="Q24" s="43"/>
      <c r="R24" s="43"/>
    </row>
    <row r="25" spans="2:18">
      <c r="B25" s="43"/>
      <c r="C25" s="43"/>
      <c r="D25" s="43"/>
      <c r="E25" s="43"/>
      <c r="F25" s="43"/>
      <c r="G25" s="43"/>
      <c r="H25" s="43"/>
      <c r="I25" s="43"/>
      <c r="J25" s="43"/>
      <c r="K25" s="43"/>
      <c r="L25" s="43"/>
      <c r="M25" s="43"/>
      <c r="N25" s="43"/>
      <c r="O25" s="43"/>
      <c r="P25" s="43"/>
      <c r="Q25" s="43"/>
      <c r="R25" s="43"/>
    </row>
    <row r="26" spans="2:18">
      <c r="B26" s="43"/>
      <c r="C26" s="43"/>
      <c r="D26" s="43"/>
      <c r="E26" s="43"/>
      <c r="F26" s="43"/>
      <c r="G26" s="43"/>
      <c r="H26" s="43"/>
      <c r="I26" s="43"/>
      <c r="J26" s="43"/>
      <c r="K26" s="43"/>
      <c r="L26" s="43"/>
      <c r="M26" s="43"/>
      <c r="N26" s="43"/>
      <c r="O26" s="43"/>
      <c r="P26" s="43"/>
      <c r="Q26" s="43"/>
      <c r="R26" s="43"/>
    </row>
  </sheetData>
  <mergeCells count="2">
    <mergeCell ref="C2:J2"/>
    <mergeCell ref="K2:Q2"/>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BD9FE-447D-43A9-B308-0AB122408051}">
  <dimension ref="B2:M166"/>
  <sheetViews>
    <sheetView zoomScaleNormal="100" workbookViewId="0">
      <selection activeCell="B4" sqref="B4"/>
    </sheetView>
  </sheetViews>
  <sheetFormatPr baseColWidth="10" defaultRowHeight="14.4"/>
  <cols>
    <col min="1" max="1" width="3.44140625" customWidth="1"/>
    <col min="2" max="11" width="11.6640625" customWidth="1"/>
    <col min="12" max="12" width="9.33203125" customWidth="1"/>
  </cols>
  <sheetData>
    <row r="2" spans="2:12" ht="36" customHeight="1">
      <c r="B2" s="299" t="s">
        <v>6</v>
      </c>
      <c r="C2" s="299"/>
      <c r="D2" s="299"/>
      <c r="E2" s="25"/>
      <c r="F2" s="68"/>
      <c r="L2" s="68"/>
    </row>
    <row r="3" spans="2:12" ht="28.8">
      <c r="B3" s="39" t="s">
        <v>7</v>
      </c>
      <c r="C3" s="171" t="s">
        <v>122</v>
      </c>
      <c r="D3" s="171" t="s">
        <v>121</v>
      </c>
      <c r="E3" s="172"/>
      <c r="F3" s="172"/>
      <c r="G3" s="43"/>
      <c r="L3" s="27"/>
    </row>
    <row r="4" spans="2:12">
      <c r="B4" s="124" t="s">
        <v>119</v>
      </c>
      <c r="C4" s="173">
        <v>0.42</v>
      </c>
      <c r="D4" s="173">
        <v>0.1</v>
      </c>
      <c r="E4" s="172"/>
      <c r="F4" s="172"/>
      <c r="G4" s="43"/>
      <c r="L4" s="27"/>
    </row>
    <row r="5" spans="2:12">
      <c r="B5" s="124" t="s">
        <v>0</v>
      </c>
      <c r="C5" s="173">
        <v>0.43</v>
      </c>
      <c r="D5" s="173">
        <v>0.13</v>
      </c>
      <c r="E5" s="172"/>
      <c r="F5" s="172"/>
      <c r="G5" s="43"/>
      <c r="L5" s="27"/>
    </row>
    <row r="6" spans="2:12">
      <c r="B6" s="124" t="s">
        <v>1</v>
      </c>
      <c r="C6" s="173">
        <v>0.45</v>
      </c>
      <c r="D6" s="173">
        <v>0.14000000000000001</v>
      </c>
      <c r="E6" s="172"/>
      <c r="F6" s="172"/>
      <c r="G6" s="43"/>
      <c r="L6" s="27"/>
    </row>
    <row r="7" spans="2:12">
      <c r="B7" s="124" t="s">
        <v>2</v>
      </c>
      <c r="C7" s="173">
        <v>0.47</v>
      </c>
      <c r="D7" s="173">
        <v>0.14000000000000001</v>
      </c>
      <c r="E7" s="172"/>
      <c r="F7" s="172"/>
      <c r="G7" s="43"/>
      <c r="L7" s="27"/>
    </row>
    <row r="8" spans="2:12">
      <c r="B8" s="124" t="s">
        <v>3</v>
      </c>
      <c r="C8" s="173">
        <v>0.49</v>
      </c>
      <c r="D8" s="173">
        <v>0.15</v>
      </c>
      <c r="E8" s="172"/>
      <c r="F8" s="172"/>
      <c r="G8" s="43"/>
      <c r="L8" s="27"/>
    </row>
    <row r="9" spans="2:12">
      <c r="B9" s="124" t="s">
        <v>120</v>
      </c>
      <c r="C9" s="173">
        <v>0.5</v>
      </c>
      <c r="D9" s="173">
        <v>0.2</v>
      </c>
      <c r="E9" s="172"/>
      <c r="F9" s="172"/>
      <c r="G9" s="43"/>
      <c r="L9" s="27"/>
    </row>
    <row r="10" spans="2:12">
      <c r="B10" s="124" t="s">
        <v>4</v>
      </c>
      <c r="C10" s="173">
        <v>0.43</v>
      </c>
      <c r="D10" s="173">
        <v>0.25</v>
      </c>
      <c r="E10" s="172"/>
      <c r="F10" s="172"/>
      <c r="G10" s="43"/>
      <c r="L10" s="27"/>
    </row>
    <row r="11" spans="2:12">
      <c r="B11" s="124" t="s">
        <v>105</v>
      </c>
      <c r="C11" s="173">
        <v>0.36</v>
      </c>
      <c r="D11" s="173">
        <v>0.15</v>
      </c>
      <c r="E11" s="172"/>
      <c r="F11" s="172"/>
      <c r="G11" s="43"/>
      <c r="L11" s="27"/>
    </row>
    <row r="12" spans="2:12">
      <c r="B12" s="124" t="s">
        <v>124</v>
      </c>
      <c r="C12" s="173">
        <v>0.18</v>
      </c>
      <c r="D12" s="173"/>
      <c r="E12" s="172"/>
      <c r="F12" s="172"/>
      <c r="G12" s="43"/>
      <c r="L12" s="27"/>
    </row>
    <row r="13" spans="2:12">
      <c r="B13" s="43"/>
      <c r="C13" s="174"/>
      <c r="D13" s="172"/>
      <c r="E13" s="172"/>
      <c r="F13" s="172"/>
      <c r="G13" s="43"/>
      <c r="L13" s="27"/>
    </row>
    <row r="14" spans="2:12">
      <c r="B14" s="43" t="s">
        <v>123</v>
      </c>
      <c r="C14" s="174"/>
      <c r="D14" s="172"/>
      <c r="E14" s="172"/>
      <c r="F14" s="172"/>
      <c r="G14" s="43"/>
      <c r="L14" s="27"/>
    </row>
    <row r="15" spans="2:12">
      <c r="B15" s="30" t="s">
        <v>125</v>
      </c>
      <c r="C15" s="69"/>
      <c r="D15" s="27"/>
      <c r="E15" s="27"/>
      <c r="F15" s="27"/>
      <c r="L15" s="27"/>
    </row>
    <row r="16" spans="2:12">
      <c r="B16" s="1"/>
      <c r="D16" s="27"/>
      <c r="E16" s="27"/>
      <c r="F16" s="27"/>
      <c r="L16" s="27"/>
    </row>
    <row r="18" spans="2:13">
      <c r="B18" s="274" t="s">
        <v>42</v>
      </c>
      <c r="C18" s="274"/>
      <c r="D18" s="274"/>
      <c r="E18" s="274"/>
      <c r="F18" s="274"/>
    </row>
    <row r="19" spans="2:13" ht="28.8">
      <c r="B19" s="45" t="s">
        <v>109</v>
      </c>
      <c r="C19" s="45" t="s">
        <v>110</v>
      </c>
      <c r="D19" s="45" t="s">
        <v>16</v>
      </c>
      <c r="E19" s="45" t="s">
        <v>17</v>
      </c>
      <c r="F19" s="45" t="s">
        <v>93</v>
      </c>
    </row>
    <row r="20" spans="2:13">
      <c r="B20" t="s">
        <v>33</v>
      </c>
      <c r="C20" s="66">
        <v>50699447</v>
      </c>
      <c r="D20" s="66"/>
      <c r="E20" s="66">
        <v>26357</v>
      </c>
      <c r="F20" s="109">
        <v>1</v>
      </c>
    </row>
    <row r="21" spans="2:13">
      <c r="B21" t="s">
        <v>111</v>
      </c>
      <c r="C21" s="66">
        <v>12674862</v>
      </c>
      <c r="D21" s="66"/>
      <c r="E21" s="66">
        <v>1814</v>
      </c>
      <c r="F21" s="109">
        <v>1.7000000000000001E-2</v>
      </c>
    </row>
    <row r="22" spans="2:13">
      <c r="B22" t="s">
        <v>112</v>
      </c>
      <c r="C22" s="66">
        <v>12674862</v>
      </c>
      <c r="D22" s="66">
        <v>6817</v>
      </c>
      <c r="E22" s="66">
        <v>13582</v>
      </c>
      <c r="F22" s="109">
        <v>0.14599999999999999</v>
      </c>
    </row>
    <row r="23" spans="2:13">
      <c r="B23" t="s">
        <v>113</v>
      </c>
      <c r="C23" s="66">
        <v>5069945</v>
      </c>
      <c r="D23" s="66">
        <v>20006</v>
      </c>
      <c r="E23" s="66">
        <v>22592</v>
      </c>
      <c r="F23" s="109">
        <v>8.5999999999999993E-2</v>
      </c>
    </row>
    <row r="24" spans="2:13">
      <c r="B24" t="s">
        <v>114</v>
      </c>
      <c r="C24" s="66">
        <v>5069945</v>
      </c>
      <c r="D24" s="66">
        <v>25057</v>
      </c>
      <c r="E24" s="66">
        <v>27618</v>
      </c>
      <c r="F24" s="109">
        <v>0.105</v>
      </c>
      <c r="M24" s="67"/>
    </row>
    <row r="25" spans="2:13">
      <c r="B25" t="s">
        <v>115</v>
      </c>
      <c r="C25" s="66">
        <v>5069945</v>
      </c>
      <c r="D25" s="66">
        <v>30433</v>
      </c>
      <c r="E25" s="66">
        <v>33938</v>
      </c>
      <c r="F25" s="109">
        <v>0.129</v>
      </c>
    </row>
    <row r="26" spans="2:13">
      <c r="B26" s="43" t="s">
        <v>116</v>
      </c>
      <c r="C26" s="175">
        <v>5069945</v>
      </c>
      <c r="D26" s="175">
        <v>37957</v>
      </c>
      <c r="E26" s="175">
        <v>43279</v>
      </c>
      <c r="F26" s="40">
        <v>0.16400000000000001</v>
      </c>
    </row>
    <row r="27" spans="2:13">
      <c r="B27" s="43" t="s">
        <v>36</v>
      </c>
      <c r="C27" s="175">
        <v>5069945</v>
      </c>
      <c r="D27" s="175">
        <v>50313</v>
      </c>
      <c r="E27" s="175">
        <v>97649</v>
      </c>
      <c r="F27" s="40">
        <v>0.37</v>
      </c>
    </row>
    <row r="28" spans="2:13">
      <c r="B28" s="43" t="s">
        <v>117</v>
      </c>
      <c r="C28" s="175">
        <v>2534972</v>
      </c>
      <c r="D28" s="175">
        <v>68534</v>
      </c>
      <c r="E28" s="175">
        <v>137611</v>
      </c>
      <c r="F28" s="40">
        <v>0.26100000000000001</v>
      </c>
    </row>
    <row r="29" spans="2:13">
      <c r="B29" s="43" t="s">
        <v>37</v>
      </c>
      <c r="C29" s="175">
        <v>506994</v>
      </c>
      <c r="D29" s="175">
        <v>147733</v>
      </c>
      <c r="E29" s="175">
        <v>310672</v>
      </c>
      <c r="F29" s="40">
        <v>0.11799999999999999</v>
      </c>
    </row>
    <row r="30" spans="2:13">
      <c r="B30" s="43" t="s">
        <v>38</v>
      </c>
      <c r="C30" s="175">
        <v>50699</v>
      </c>
      <c r="D30" s="175">
        <v>507543</v>
      </c>
      <c r="E30" s="175">
        <v>1195681</v>
      </c>
      <c r="F30" s="40">
        <v>4.4999999999999998E-2</v>
      </c>
      <c r="G30" s="103">
        <f>E30/D30</f>
        <v>2.3558220682779587</v>
      </c>
      <c r="H30" s="140" t="s">
        <v>233</v>
      </c>
    </row>
    <row r="32" spans="2:13">
      <c r="B32" t="s">
        <v>118</v>
      </c>
    </row>
    <row r="33" spans="2:6">
      <c r="B33" s="1"/>
    </row>
    <row r="36" spans="2:6">
      <c r="B36" s="274"/>
      <c r="C36" s="274"/>
      <c r="D36" s="274"/>
      <c r="E36" s="274"/>
      <c r="F36" s="274"/>
    </row>
    <row r="37" spans="2:6">
      <c r="B37" s="85"/>
      <c r="C37" s="85"/>
      <c r="D37" s="85"/>
      <c r="E37" s="85"/>
      <c r="F37" s="85"/>
    </row>
    <row r="38" spans="2:6">
      <c r="B38" s="85"/>
      <c r="C38" s="93"/>
      <c r="D38" s="89"/>
      <c r="E38" s="89"/>
      <c r="F38" s="125"/>
    </row>
    <row r="39" spans="2:6">
      <c r="B39" s="85"/>
      <c r="C39" s="93"/>
      <c r="D39" s="89"/>
      <c r="E39" s="89"/>
      <c r="F39" s="125"/>
    </row>
    <row r="40" spans="2:6">
      <c r="B40" s="85"/>
      <c r="C40" s="93"/>
      <c r="D40" s="89"/>
      <c r="E40" s="89"/>
      <c r="F40" s="125"/>
    </row>
    <row r="41" spans="2:6">
      <c r="B41" s="85"/>
      <c r="C41" s="93"/>
      <c r="D41" s="89"/>
      <c r="E41" s="89"/>
      <c r="F41" s="125"/>
    </row>
    <row r="42" spans="2:6">
      <c r="B42" s="85"/>
      <c r="C42" s="93"/>
      <c r="D42" s="89"/>
      <c r="E42" s="89"/>
      <c r="F42" s="125"/>
    </row>
    <row r="43" spans="2:6">
      <c r="B43" s="85"/>
      <c r="C43" s="93"/>
      <c r="D43" s="89"/>
      <c r="E43" s="89"/>
      <c r="F43" s="125"/>
    </row>
    <row r="44" spans="2:6">
      <c r="B44" s="85"/>
      <c r="C44" s="93"/>
      <c r="D44" s="89"/>
      <c r="E44" s="89"/>
      <c r="F44" s="125"/>
    </row>
    <row r="45" spans="2:6">
      <c r="B45" s="85"/>
      <c r="C45" s="93"/>
      <c r="D45" s="89"/>
      <c r="E45" s="89"/>
      <c r="F45" s="125"/>
    </row>
    <row r="46" spans="2:6">
      <c r="B46" s="85"/>
      <c r="C46" s="93"/>
      <c r="D46" s="89"/>
      <c r="E46" s="89"/>
      <c r="F46" s="125"/>
    </row>
    <row r="47" spans="2:6">
      <c r="B47" s="85"/>
      <c r="C47" s="93"/>
      <c r="D47" s="89"/>
      <c r="E47" s="89"/>
      <c r="F47" s="125"/>
    </row>
    <row r="48" spans="2:6">
      <c r="B48" s="85"/>
      <c r="C48" s="93"/>
      <c r="D48" s="89"/>
      <c r="E48" s="89"/>
      <c r="F48" s="125"/>
    </row>
    <row r="49" spans="2:6">
      <c r="B49" s="85"/>
      <c r="C49" s="93"/>
      <c r="D49" s="89"/>
      <c r="E49" s="89"/>
      <c r="F49" s="125"/>
    </row>
    <row r="50" spans="2:6">
      <c r="B50" s="85"/>
      <c r="C50" s="93"/>
      <c r="D50" s="89"/>
      <c r="E50" s="89"/>
      <c r="F50" s="125"/>
    </row>
    <row r="51" spans="2:6">
      <c r="B51" s="85"/>
      <c r="C51" s="93"/>
      <c r="D51" s="89"/>
      <c r="E51" s="89"/>
      <c r="F51" s="125"/>
    </row>
    <row r="52" spans="2:6">
      <c r="B52" s="85"/>
      <c r="C52" s="93"/>
      <c r="D52" s="89"/>
      <c r="E52" s="89"/>
      <c r="F52" s="125"/>
    </row>
    <row r="53" spans="2:6">
      <c r="B53" s="85"/>
      <c r="C53" s="93"/>
      <c r="D53" s="89"/>
      <c r="E53" s="89"/>
      <c r="F53" s="125"/>
    </row>
    <row r="54" spans="2:6">
      <c r="B54" s="85"/>
      <c r="C54" s="93"/>
      <c r="D54" s="89"/>
      <c r="E54" s="89"/>
      <c r="F54" s="125"/>
    </row>
    <row r="55" spans="2:6">
      <c r="B55" s="85"/>
      <c r="C55" s="93"/>
      <c r="D55" s="89"/>
      <c r="E55" s="89"/>
      <c r="F55" s="125"/>
    </row>
    <row r="56" spans="2:6">
      <c r="B56" s="85"/>
      <c r="C56" s="93"/>
      <c r="D56" s="89"/>
      <c r="E56" s="89"/>
      <c r="F56" s="125"/>
    </row>
    <row r="57" spans="2:6">
      <c r="B57" s="85"/>
      <c r="C57" s="93"/>
      <c r="D57" s="89"/>
      <c r="E57" s="89"/>
      <c r="F57" s="125"/>
    </row>
    <row r="58" spans="2:6">
      <c r="B58" s="85"/>
      <c r="C58" s="93"/>
      <c r="D58" s="89"/>
      <c r="E58" s="89"/>
      <c r="F58" s="125"/>
    </row>
    <row r="59" spans="2:6">
      <c r="B59" s="85"/>
      <c r="C59" s="93"/>
      <c r="D59" s="89"/>
      <c r="E59" s="89"/>
      <c r="F59" s="125"/>
    </row>
    <row r="60" spans="2:6">
      <c r="B60" s="85"/>
      <c r="C60" s="93"/>
      <c r="D60" s="89"/>
      <c r="E60" s="89"/>
      <c r="F60" s="125"/>
    </row>
    <row r="61" spans="2:6">
      <c r="B61" s="85"/>
      <c r="C61" s="93"/>
      <c r="D61" s="89"/>
      <c r="E61" s="89"/>
      <c r="F61" s="125"/>
    </row>
    <row r="62" spans="2:6">
      <c r="B62" s="85"/>
      <c r="C62" s="93"/>
      <c r="D62" s="89"/>
      <c r="E62" s="89"/>
      <c r="F62" s="125"/>
    </row>
    <row r="63" spans="2:6">
      <c r="B63" s="85"/>
      <c r="C63" s="93"/>
      <c r="D63" s="89"/>
      <c r="E63" s="89"/>
      <c r="F63" s="125"/>
    </row>
    <row r="64" spans="2:6">
      <c r="B64" s="85"/>
      <c r="C64" s="93"/>
      <c r="D64" s="89"/>
      <c r="E64" s="89"/>
      <c r="F64" s="125"/>
    </row>
    <row r="65" spans="2:6">
      <c r="B65" s="85"/>
      <c r="C65" s="93"/>
      <c r="D65" s="89"/>
      <c r="E65" s="89"/>
      <c r="F65" s="125"/>
    </row>
    <row r="66" spans="2:6">
      <c r="B66" s="85"/>
      <c r="C66" s="93"/>
      <c r="D66" s="89"/>
      <c r="E66" s="89"/>
      <c r="F66" s="125"/>
    </row>
    <row r="67" spans="2:6">
      <c r="B67" s="85"/>
      <c r="C67" s="93"/>
      <c r="D67" s="89"/>
      <c r="E67" s="89"/>
      <c r="F67" s="125"/>
    </row>
    <row r="68" spans="2:6">
      <c r="B68" s="85"/>
      <c r="C68" s="93"/>
      <c r="D68" s="89"/>
      <c r="E68" s="89"/>
      <c r="F68" s="125"/>
    </row>
    <row r="69" spans="2:6">
      <c r="B69" s="85"/>
      <c r="C69" s="93"/>
      <c r="D69" s="89"/>
      <c r="E69" s="89"/>
      <c r="F69" s="125"/>
    </row>
    <row r="70" spans="2:6">
      <c r="B70" s="85"/>
      <c r="C70" s="93"/>
      <c r="D70" s="89"/>
      <c r="E70" s="89"/>
      <c r="F70" s="125"/>
    </row>
    <row r="71" spans="2:6">
      <c r="B71" s="85"/>
      <c r="C71" s="93"/>
      <c r="D71" s="89"/>
      <c r="E71" s="89"/>
      <c r="F71" s="125"/>
    </row>
    <row r="72" spans="2:6">
      <c r="B72" s="85"/>
      <c r="C72" s="93"/>
      <c r="D72" s="89"/>
      <c r="E72" s="89"/>
      <c r="F72" s="125"/>
    </row>
    <row r="73" spans="2:6">
      <c r="B73" s="85"/>
      <c r="C73" s="93"/>
      <c r="D73" s="89"/>
      <c r="E73" s="89"/>
      <c r="F73" s="125"/>
    </row>
    <row r="74" spans="2:6">
      <c r="B74" s="85"/>
      <c r="C74" s="93"/>
      <c r="D74" s="89"/>
      <c r="E74" s="89"/>
      <c r="F74" s="125"/>
    </row>
    <row r="75" spans="2:6">
      <c r="B75" s="85"/>
      <c r="C75" s="93"/>
      <c r="D75" s="89"/>
      <c r="E75" s="89"/>
      <c r="F75" s="125"/>
    </row>
    <row r="76" spans="2:6">
      <c r="B76" s="85"/>
      <c r="C76" s="93"/>
      <c r="D76" s="89"/>
      <c r="E76" s="89"/>
      <c r="F76" s="125"/>
    </row>
    <row r="77" spans="2:6">
      <c r="B77" s="85"/>
      <c r="C77" s="93"/>
      <c r="D77" s="89"/>
      <c r="E77" s="89"/>
      <c r="F77" s="125"/>
    </row>
    <row r="78" spans="2:6">
      <c r="B78" s="85"/>
      <c r="C78" s="93"/>
      <c r="D78" s="89"/>
      <c r="E78" s="89"/>
      <c r="F78" s="125"/>
    </row>
    <row r="79" spans="2:6">
      <c r="B79" s="85"/>
      <c r="C79" s="93"/>
      <c r="D79" s="89"/>
      <c r="E79" s="89"/>
      <c r="F79" s="125"/>
    </row>
    <row r="80" spans="2:6">
      <c r="B80" s="85"/>
      <c r="C80" s="93"/>
      <c r="D80" s="89"/>
      <c r="E80" s="89"/>
      <c r="F80" s="125"/>
    </row>
    <row r="81" spans="2:6">
      <c r="B81" s="85"/>
      <c r="C81" s="93"/>
      <c r="D81" s="89"/>
      <c r="E81" s="89"/>
      <c r="F81" s="125"/>
    </row>
    <row r="82" spans="2:6">
      <c r="B82" s="85"/>
      <c r="C82" s="93"/>
      <c r="D82" s="89"/>
      <c r="E82" s="89"/>
      <c r="F82" s="125"/>
    </row>
    <row r="83" spans="2:6">
      <c r="B83" s="85"/>
      <c r="C83" s="93"/>
      <c r="D83" s="89"/>
      <c r="E83" s="89"/>
      <c r="F83" s="125"/>
    </row>
    <row r="84" spans="2:6">
      <c r="B84" s="85"/>
      <c r="C84" s="93"/>
      <c r="D84" s="89"/>
      <c r="E84" s="89"/>
      <c r="F84" s="125"/>
    </row>
    <row r="85" spans="2:6">
      <c r="B85" s="85"/>
      <c r="C85" s="93"/>
      <c r="D85" s="89"/>
      <c r="E85" s="89"/>
      <c r="F85" s="125"/>
    </row>
    <row r="86" spans="2:6">
      <c r="B86" s="85"/>
      <c r="C86" s="93"/>
      <c r="D86" s="89"/>
      <c r="E86" s="89"/>
      <c r="F86" s="125"/>
    </row>
    <row r="87" spans="2:6">
      <c r="B87" s="85"/>
      <c r="C87" s="93"/>
      <c r="D87" s="89"/>
      <c r="E87" s="89"/>
      <c r="F87" s="125"/>
    </row>
    <row r="88" spans="2:6">
      <c r="B88" s="85"/>
      <c r="C88" s="93"/>
      <c r="D88" s="89"/>
      <c r="E88" s="89"/>
      <c r="F88" s="125"/>
    </row>
    <row r="89" spans="2:6">
      <c r="B89" s="85"/>
      <c r="C89" s="93"/>
      <c r="D89" s="89"/>
      <c r="E89" s="89"/>
      <c r="F89" s="125"/>
    </row>
    <row r="90" spans="2:6">
      <c r="B90" s="85"/>
      <c r="C90" s="93"/>
      <c r="D90" s="89"/>
      <c r="E90" s="89"/>
      <c r="F90" s="125"/>
    </row>
    <row r="91" spans="2:6">
      <c r="B91" s="85"/>
      <c r="C91" s="93"/>
      <c r="D91" s="89"/>
      <c r="E91" s="89"/>
      <c r="F91" s="125"/>
    </row>
    <row r="92" spans="2:6">
      <c r="B92" s="85"/>
      <c r="C92" s="93"/>
      <c r="D92" s="89"/>
      <c r="E92" s="89"/>
      <c r="F92" s="125"/>
    </row>
    <row r="93" spans="2:6">
      <c r="B93" s="85"/>
      <c r="C93" s="93"/>
      <c r="D93" s="89"/>
      <c r="E93" s="89"/>
      <c r="F93" s="125"/>
    </row>
    <row r="94" spans="2:6">
      <c r="B94" s="85"/>
      <c r="C94" s="93"/>
      <c r="D94" s="89"/>
      <c r="E94" s="89"/>
      <c r="F94" s="125"/>
    </row>
    <row r="95" spans="2:6">
      <c r="B95" s="85"/>
      <c r="C95" s="93"/>
      <c r="D95" s="89"/>
      <c r="E95" s="89"/>
      <c r="F95" s="125"/>
    </row>
    <row r="96" spans="2:6">
      <c r="B96" s="85"/>
      <c r="C96" s="93"/>
      <c r="D96" s="89"/>
      <c r="E96" s="89"/>
      <c r="F96" s="125"/>
    </row>
    <row r="97" spans="2:6">
      <c r="B97" s="85"/>
      <c r="C97" s="93"/>
      <c r="D97" s="89"/>
      <c r="E97" s="89"/>
      <c r="F97" s="125"/>
    </row>
    <row r="98" spans="2:6">
      <c r="B98" s="85"/>
      <c r="C98" s="93"/>
      <c r="D98" s="89"/>
      <c r="E98" s="89"/>
      <c r="F98" s="125"/>
    </row>
    <row r="99" spans="2:6">
      <c r="B99" s="85"/>
      <c r="C99" s="93"/>
      <c r="D99" s="89"/>
      <c r="E99" s="89"/>
      <c r="F99" s="125"/>
    </row>
    <row r="100" spans="2:6">
      <c r="B100" s="85"/>
      <c r="C100" s="93"/>
      <c r="D100" s="89"/>
      <c r="E100" s="89"/>
      <c r="F100" s="125"/>
    </row>
    <row r="101" spans="2:6">
      <c r="B101" s="85"/>
      <c r="C101" s="93"/>
      <c r="D101" s="89"/>
      <c r="E101" s="89"/>
      <c r="F101" s="125"/>
    </row>
    <row r="102" spans="2:6">
      <c r="B102" s="85"/>
      <c r="C102" s="93"/>
      <c r="D102" s="89"/>
      <c r="E102" s="89"/>
      <c r="F102" s="125"/>
    </row>
    <row r="103" spans="2:6">
      <c r="B103" s="85"/>
      <c r="C103" s="93"/>
      <c r="D103" s="89"/>
      <c r="E103" s="89"/>
      <c r="F103" s="125"/>
    </row>
    <row r="104" spans="2:6">
      <c r="B104" s="85"/>
      <c r="C104" s="93"/>
      <c r="D104" s="89"/>
      <c r="E104" s="89"/>
      <c r="F104" s="125"/>
    </row>
    <row r="105" spans="2:6">
      <c r="B105" s="85"/>
      <c r="C105" s="93"/>
      <c r="D105" s="89"/>
      <c r="E105" s="89"/>
      <c r="F105" s="125"/>
    </row>
    <row r="106" spans="2:6">
      <c r="B106" s="85"/>
      <c r="C106" s="93"/>
      <c r="D106" s="89"/>
      <c r="E106" s="89"/>
      <c r="F106" s="125"/>
    </row>
    <row r="107" spans="2:6">
      <c r="B107" s="85"/>
      <c r="C107" s="93"/>
      <c r="D107" s="89"/>
      <c r="E107" s="89"/>
      <c r="F107" s="125"/>
    </row>
    <row r="108" spans="2:6">
      <c r="B108" s="85"/>
      <c r="C108" s="93"/>
      <c r="D108" s="89"/>
      <c r="E108" s="89"/>
      <c r="F108" s="125"/>
    </row>
    <row r="109" spans="2:6">
      <c r="B109" s="85"/>
      <c r="C109" s="93"/>
      <c r="D109" s="89"/>
      <c r="E109" s="89"/>
      <c r="F109" s="125"/>
    </row>
    <row r="110" spans="2:6">
      <c r="B110" s="85"/>
      <c r="C110" s="93"/>
      <c r="D110" s="89"/>
      <c r="E110" s="89"/>
      <c r="F110" s="125"/>
    </row>
    <row r="111" spans="2:6">
      <c r="B111" s="85"/>
      <c r="C111" s="93"/>
      <c r="D111" s="89"/>
      <c r="E111" s="89"/>
      <c r="F111" s="125"/>
    </row>
    <row r="112" spans="2:6">
      <c r="B112" s="85"/>
      <c r="C112" s="93"/>
      <c r="D112" s="89"/>
      <c r="E112" s="89"/>
      <c r="F112" s="125"/>
    </row>
    <row r="113" spans="2:6">
      <c r="B113" s="85"/>
      <c r="C113" s="93"/>
      <c r="D113" s="89"/>
      <c r="E113" s="89"/>
      <c r="F113" s="125"/>
    </row>
    <row r="114" spans="2:6">
      <c r="B114" s="85"/>
      <c r="C114" s="93"/>
      <c r="D114" s="89"/>
      <c r="E114" s="89"/>
      <c r="F114" s="125"/>
    </row>
    <row r="115" spans="2:6">
      <c r="B115" s="85"/>
      <c r="C115" s="93"/>
      <c r="D115" s="89"/>
      <c r="E115" s="89"/>
      <c r="F115" s="125"/>
    </row>
    <row r="116" spans="2:6">
      <c r="B116" s="85"/>
      <c r="C116" s="93"/>
      <c r="D116" s="89"/>
      <c r="E116" s="89"/>
      <c r="F116" s="125"/>
    </row>
    <row r="117" spans="2:6">
      <c r="B117" s="85"/>
      <c r="C117" s="93"/>
      <c r="D117" s="89"/>
      <c r="E117" s="89"/>
      <c r="F117" s="125"/>
    </row>
    <row r="118" spans="2:6">
      <c r="B118" s="85"/>
      <c r="C118" s="93"/>
      <c r="D118" s="89"/>
      <c r="E118" s="89"/>
      <c r="F118" s="125"/>
    </row>
    <row r="119" spans="2:6">
      <c r="B119" s="85"/>
      <c r="C119" s="93"/>
      <c r="D119" s="89"/>
      <c r="E119" s="89"/>
      <c r="F119" s="125"/>
    </row>
    <row r="120" spans="2:6">
      <c r="B120" s="85"/>
      <c r="C120" s="93"/>
      <c r="D120" s="89"/>
      <c r="E120" s="89"/>
      <c r="F120" s="125"/>
    </row>
    <row r="121" spans="2:6">
      <c r="B121" s="85"/>
      <c r="C121" s="93"/>
      <c r="D121" s="89"/>
      <c r="E121" s="89"/>
      <c r="F121" s="125"/>
    </row>
    <row r="122" spans="2:6">
      <c r="B122" s="85"/>
      <c r="C122" s="93"/>
      <c r="D122" s="89"/>
      <c r="E122" s="89"/>
      <c r="F122" s="125"/>
    </row>
    <row r="123" spans="2:6">
      <c r="B123" s="85"/>
      <c r="C123" s="93"/>
      <c r="D123" s="89"/>
      <c r="E123" s="89"/>
      <c r="F123" s="125"/>
    </row>
    <row r="124" spans="2:6">
      <c r="B124" s="85"/>
      <c r="C124" s="93"/>
      <c r="D124" s="89"/>
      <c r="E124" s="89"/>
      <c r="F124" s="125"/>
    </row>
    <row r="125" spans="2:6">
      <c r="B125" s="85"/>
      <c r="C125" s="93"/>
      <c r="D125" s="89"/>
      <c r="E125" s="89"/>
      <c r="F125" s="125"/>
    </row>
    <row r="126" spans="2:6">
      <c r="B126" s="85"/>
      <c r="C126" s="93"/>
      <c r="D126" s="89"/>
      <c r="E126" s="89"/>
      <c r="F126" s="125"/>
    </row>
    <row r="127" spans="2:6">
      <c r="B127" s="85"/>
      <c r="C127" s="93"/>
      <c r="D127" s="89"/>
      <c r="E127" s="89"/>
      <c r="F127" s="125"/>
    </row>
    <row r="128" spans="2:6">
      <c r="B128" s="85"/>
      <c r="C128" s="93"/>
      <c r="D128" s="89"/>
      <c r="E128" s="89"/>
      <c r="F128" s="125"/>
    </row>
    <row r="129" spans="2:6">
      <c r="B129" s="85"/>
      <c r="C129" s="93"/>
      <c r="D129" s="89"/>
      <c r="E129" s="89"/>
      <c r="F129" s="125"/>
    </row>
    <row r="130" spans="2:6">
      <c r="B130" s="85"/>
      <c r="C130" s="93"/>
      <c r="D130" s="89"/>
      <c r="E130" s="89"/>
      <c r="F130" s="125"/>
    </row>
    <row r="131" spans="2:6">
      <c r="B131" s="85"/>
      <c r="C131" s="93"/>
      <c r="D131" s="89"/>
      <c r="E131" s="89"/>
      <c r="F131" s="125"/>
    </row>
    <row r="132" spans="2:6">
      <c r="B132" s="85"/>
      <c r="C132" s="93"/>
      <c r="D132" s="89"/>
      <c r="E132" s="89"/>
      <c r="F132" s="125"/>
    </row>
    <row r="133" spans="2:6">
      <c r="B133" s="85"/>
      <c r="C133" s="93"/>
      <c r="D133" s="89"/>
      <c r="E133" s="89"/>
      <c r="F133" s="125"/>
    </row>
    <row r="134" spans="2:6">
      <c r="B134" s="85"/>
      <c r="C134" s="93"/>
      <c r="D134" s="89"/>
      <c r="E134" s="89"/>
      <c r="F134" s="125"/>
    </row>
    <row r="135" spans="2:6">
      <c r="B135" s="85"/>
      <c r="C135" s="93"/>
      <c r="D135" s="89"/>
      <c r="E135" s="89"/>
      <c r="F135" s="125"/>
    </row>
    <row r="136" spans="2:6">
      <c r="B136" s="85"/>
      <c r="C136" s="93"/>
      <c r="D136" s="89"/>
      <c r="E136" s="89"/>
      <c r="F136" s="125"/>
    </row>
    <row r="137" spans="2:6">
      <c r="B137" s="85"/>
      <c r="C137" s="93"/>
      <c r="D137" s="89"/>
      <c r="E137" s="89"/>
      <c r="F137" s="125"/>
    </row>
    <row r="138" spans="2:6">
      <c r="B138" s="85"/>
      <c r="C138" s="93"/>
      <c r="D138" s="89"/>
      <c r="E138" s="89"/>
      <c r="F138" s="125"/>
    </row>
    <row r="139" spans="2:6">
      <c r="B139" s="85"/>
      <c r="C139" s="93"/>
      <c r="D139" s="89"/>
      <c r="E139" s="89"/>
      <c r="F139" s="125"/>
    </row>
    <row r="140" spans="2:6">
      <c r="B140" s="85"/>
      <c r="C140" s="93"/>
      <c r="D140" s="89"/>
      <c r="E140" s="89"/>
      <c r="F140" s="125"/>
    </row>
    <row r="141" spans="2:6">
      <c r="B141" s="85"/>
      <c r="C141" s="93"/>
      <c r="D141" s="89"/>
      <c r="E141" s="89"/>
      <c r="F141" s="125"/>
    </row>
    <row r="142" spans="2:6">
      <c r="B142" s="85"/>
      <c r="C142" s="93"/>
      <c r="D142" s="89"/>
      <c r="E142" s="89"/>
      <c r="F142" s="125"/>
    </row>
    <row r="143" spans="2:6">
      <c r="B143" s="85"/>
      <c r="C143" s="93"/>
      <c r="D143" s="89"/>
      <c r="E143" s="89"/>
      <c r="F143" s="125"/>
    </row>
    <row r="144" spans="2:6">
      <c r="B144" s="85"/>
      <c r="C144" s="93"/>
      <c r="D144" s="89"/>
      <c r="E144" s="89"/>
      <c r="F144" s="125"/>
    </row>
    <row r="145" spans="2:7">
      <c r="B145" s="85"/>
      <c r="C145" s="93"/>
      <c r="D145" s="89"/>
      <c r="E145" s="89"/>
      <c r="F145" s="125"/>
    </row>
    <row r="146" spans="2:7">
      <c r="B146" s="85"/>
      <c r="C146" s="93"/>
      <c r="D146" s="89"/>
      <c r="E146" s="89"/>
      <c r="F146" s="125"/>
    </row>
    <row r="147" spans="2:7">
      <c r="B147" s="85"/>
      <c r="C147" s="93"/>
      <c r="D147" s="89"/>
      <c r="E147" s="89"/>
      <c r="F147" s="125"/>
    </row>
    <row r="148" spans="2:7">
      <c r="B148" s="85"/>
      <c r="C148" s="93"/>
      <c r="D148" s="89"/>
      <c r="E148" s="89"/>
      <c r="F148" s="125"/>
    </row>
    <row r="149" spans="2:7">
      <c r="B149" s="85"/>
      <c r="C149" s="93"/>
      <c r="D149" s="89"/>
      <c r="E149" s="89"/>
      <c r="F149" s="125"/>
      <c r="G149" s="85"/>
    </row>
    <row r="150" spans="2:7">
      <c r="B150" s="85"/>
      <c r="C150" s="93"/>
      <c r="D150" s="89"/>
      <c r="E150" s="89"/>
      <c r="F150" s="125"/>
      <c r="G150" s="85"/>
    </row>
    <row r="151" spans="2:7">
      <c r="B151" s="85"/>
      <c r="C151" s="93"/>
      <c r="D151" s="89"/>
      <c r="E151" s="89"/>
      <c r="F151" s="125"/>
      <c r="G151" s="85"/>
    </row>
    <row r="152" spans="2:7">
      <c r="B152" s="85"/>
      <c r="C152" s="93"/>
      <c r="D152" s="89"/>
      <c r="E152" s="89"/>
      <c r="F152" s="125"/>
      <c r="G152" s="85"/>
    </row>
    <row r="153" spans="2:7">
      <c r="B153" s="85"/>
      <c r="C153" s="93"/>
      <c r="D153" s="89"/>
      <c r="E153" s="89"/>
      <c r="F153" s="125"/>
      <c r="G153" s="85"/>
    </row>
    <row r="154" spans="2:7">
      <c r="B154" s="85"/>
      <c r="C154" s="93"/>
      <c r="D154" s="89"/>
      <c r="E154" s="89"/>
      <c r="F154" s="125"/>
      <c r="G154" s="85"/>
    </row>
    <row r="155" spans="2:7">
      <c r="B155" s="85"/>
      <c r="C155" s="93"/>
      <c r="D155" s="89"/>
      <c r="E155" s="89"/>
      <c r="F155" s="125"/>
      <c r="G155" s="85"/>
    </row>
    <row r="156" spans="2:7">
      <c r="B156" s="85"/>
      <c r="C156" s="93"/>
      <c r="D156" s="89"/>
      <c r="E156" s="89"/>
      <c r="F156" s="125"/>
      <c r="G156" s="85"/>
    </row>
    <row r="157" spans="2:7">
      <c r="B157" s="85"/>
      <c r="C157" s="93"/>
      <c r="D157" s="89"/>
      <c r="E157" s="89"/>
      <c r="F157" s="125"/>
      <c r="G157" s="85"/>
    </row>
    <row r="158" spans="2:7">
      <c r="B158" s="85"/>
      <c r="C158" s="93"/>
      <c r="D158" s="89"/>
      <c r="E158" s="89"/>
      <c r="F158" s="125"/>
      <c r="G158" s="85"/>
    </row>
    <row r="159" spans="2:7">
      <c r="B159" s="85"/>
      <c r="C159" s="93"/>
      <c r="D159" s="89"/>
      <c r="E159" s="89"/>
      <c r="F159" s="125"/>
      <c r="G159" s="85"/>
    </row>
    <row r="160" spans="2:7">
      <c r="B160" s="85"/>
      <c r="C160" s="93"/>
      <c r="D160" s="89"/>
      <c r="E160" s="89"/>
      <c r="F160" s="125"/>
      <c r="G160" s="85"/>
    </row>
    <row r="161" spans="2:7">
      <c r="B161" s="85"/>
      <c r="C161" s="93"/>
      <c r="D161" s="89"/>
      <c r="E161" s="89"/>
      <c r="F161" s="125"/>
      <c r="G161" s="85"/>
    </row>
    <row r="162" spans="2:7">
      <c r="B162" s="85"/>
      <c r="C162" s="93"/>
      <c r="D162" s="89"/>
      <c r="E162" s="89"/>
      <c r="F162" s="125"/>
      <c r="G162" s="85"/>
    </row>
    <row r="163" spans="2:7">
      <c r="B163" s="85"/>
      <c r="C163" s="93"/>
      <c r="D163" s="62"/>
      <c r="E163" s="62"/>
      <c r="F163" s="125"/>
    </row>
    <row r="164" spans="2:7">
      <c r="B164" s="85"/>
      <c r="C164" s="93"/>
      <c r="D164" s="62"/>
      <c r="E164" s="62"/>
      <c r="F164" s="125"/>
    </row>
    <row r="165" spans="2:7">
      <c r="C165" s="22"/>
      <c r="D165" s="22"/>
      <c r="E165" s="22"/>
      <c r="F165" s="22"/>
    </row>
    <row r="166" spans="2:7">
      <c r="D166" s="16"/>
      <c r="E166" s="91"/>
      <c r="F166" s="91"/>
    </row>
  </sheetData>
  <mergeCells count="3">
    <mergeCell ref="B18:F18"/>
    <mergeCell ref="B2:D2"/>
    <mergeCell ref="B36:F36"/>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562F-2B27-4E8C-AAFC-DDC8915E49AC}">
  <dimension ref="A2:P73"/>
  <sheetViews>
    <sheetView topLeftCell="A31" zoomScale="115" zoomScaleNormal="115" workbookViewId="0">
      <selection activeCell="P47" sqref="P47"/>
    </sheetView>
  </sheetViews>
  <sheetFormatPr baseColWidth="10" defaultRowHeight="14.4"/>
  <cols>
    <col min="2" max="3" width="11.5546875" style="155"/>
    <col min="4" max="12" width="13.6640625" style="43" customWidth="1"/>
    <col min="13" max="13" width="15.44140625" style="43" bestFit="1" customWidth="1"/>
    <col min="14" max="14" width="12.5546875" style="43" customWidth="1"/>
    <col min="15" max="15" width="11.6640625" style="43" bestFit="1" customWidth="1"/>
  </cols>
  <sheetData>
    <row r="2" spans="1:15" s="85" customFormat="1">
      <c r="B2" s="155"/>
      <c r="C2" s="155"/>
      <c r="D2" s="296" t="s">
        <v>169</v>
      </c>
      <c r="E2" s="296"/>
      <c r="F2" s="296"/>
      <c r="G2" s="296"/>
      <c r="H2" s="296"/>
      <c r="I2" s="296"/>
      <c r="J2" s="296"/>
      <c r="K2" s="296"/>
      <c r="L2" s="296"/>
      <c r="M2" s="296"/>
      <c r="N2" s="43"/>
      <c r="O2" s="300" t="s">
        <v>263</v>
      </c>
    </row>
    <row r="3" spans="1:15">
      <c r="A3" s="43"/>
      <c r="B3" s="158" t="s">
        <v>261</v>
      </c>
      <c r="C3" s="158" t="s">
        <v>260</v>
      </c>
      <c r="D3" s="84">
        <v>2015</v>
      </c>
      <c r="E3" s="153">
        <v>2016</v>
      </c>
      <c r="F3" s="153">
        <v>2017</v>
      </c>
      <c r="G3" s="153">
        <v>2018</v>
      </c>
      <c r="H3" s="153">
        <v>2019</v>
      </c>
      <c r="I3" s="153">
        <v>2020</v>
      </c>
      <c r="J3" s="153">
        <v>2021</v>
      </c>
      <c r="K3" s="153">
        <v>2022</v>
      </c>
      <c r="L3" s="153">
        <v>2023</v>
      </c>
      <c r="M3" s="153">
        <v>2024</v>
      </c>
      <c r="O3" s="300"/>
    </row>
    <row r="4" spans="1:15">
      <c r="A4" s="43"/>
    </row>
    <row r="5" spans="1:15">
      <c r="A5" s="43"/>
      <c r="B5" s="2" t="s">
        <v>168</v>
      </c>
      <c r="C5" s="2" t="s">
        <v>167</v>
      </c>
      <c r="D5" s="156">
        <v>281665.81329999998</v>
      </c>
      <c r="E5" s="156">
        <v>283728.63640000002</v>
      </c>
      <c r="F5" s="156">
        <v>293012.29070000001</v>
      </c>
      <c r="G5" s="156">
        <v>306547.67540000001</v>
      </c>
      <c r="H5" s="156">
        <v>311439.79790000001</v>
      </c>
      <c r="I5" s="156">
        <v>287122.08590000001</v>
      </c>
      <c r="J5" s="156">
        <v>323189.61989999999</v>
      </c>
      <c r="K5" s="156">
        <v>338549.96260000003</v>
      </c>
      <c r="L5" s="156">
        <v>353306.30200000003</v>
      </c>
      <c r="M5" s="156">
        <v>365008.61330000003</v>
      </c>
      <c r="O5" s="20">
        <f>(M5/E5)^(1/8) - 1</f>
        <v>3.1988820813529939E-2</v>
      </c>
    </row>
    <row r="6" spans="1:15">
      <c r="A6" s="43"/>
      <c r="B6" s="2" t="s">
        <v>168</v>
      </c>
      <c r="C6" s="2" t="s">
        <v>166</v>
      </c>
      <c r="D6" s="156">
        <v>926532.2807</v>
      </c>
      <c r="E6" s="156">
        <v>944375.37320000003</v>
      </c>
      <c r="F6" s="156">
        <v>1010828.4266</v>
      </c>
      <c r="G6" s="156">
        <v>1168007.4314999999</v>
      </c>
      <c r="H6" s="156">
        <v>1159051.5205000001</v>
      </c>
      <c r="I6" s="156">
        <v>1042575.8739</v>
      </c>
      <c r="J6" s="156">
        <v>1340604.9879000001</v>
      </c>
      <c r="K6" s="156">
        <v>1341070.4889</v>
      </c>
      <c r="L6" s="156">
        <v>1367315.3495</v>
      </c>
      <c r="M6" s="156">
        <v>1412603.9556</v>
      </c>
      <c r="O6" s="20">
        <f t="shared" ref="O6:O8" si="0">(M6/E6)^(1/8) - 1</f>
        <v>5.1621534096552013E-2</v>
      </c>
    </row>
    <row r="7" spans="1:15">
      <c r="A7" s="43"/>
      <c r="B7" s="2" t="s">
        <v>168</v>
      </c>
      <c r="C7" s="2" t="s">
        <v>165</v>
      </c>
      <c r="D7" s="156">
        <v>3253157.7855000002</v>
      </c>
      <c r="E7" s="156">
        <v>3369797.5874999999</v>
      </c>
      <c r="F7" s="156">
        <v>3710635.9966000002</v>
      </c>
      <c r="G7" s="156">
        <v>4906499.6194000002</v>
      </c>
      <c r="H7" s="156">
        <v>4777769.6265000002</v>
      </c>
      <c r="I7" s="156">
        <v>4178577.9073000001</v>
      </c>
      <c r="J7" s="156">
        <v>6183935.466</v>
      </c>
      <c r="K7" s="156">
        <v>5767540.9134999998</v>
      </c>
      <c r="L7" s="156">
        <v>5489222.2060000002</v>
      </c>
      <c r="M7" s="156">
        <v>5671037.7778000003</v>
      </c>
      <c r="O7" s="20">
        <f t="shared" si="0"/>
        <v>6.7228318747607929E-2</v>
      </c>
    </row>
    <row r="8" spans="1:15">
      <c r="A8" s="43"/>
      <c r="B8" s="2" t="s">
        <v>168</v>
      </c>
      <c r="C8" s="2" t="s">
        <v>164</v>
      </c>
      <c r="D8" s="156">
        <v>16944652.197299998</v>
      </c>
      <c r="E8" s="156">
        <v>17968757.545899998</v>
      </c>
      <c r="F8" s="156">
        <v>25213361.057300001</v>
      </c>
      <c r="G8" s="156">
        <v>33431961.457400002</v>
      </c>
      <c r="H8" s="156">
        <v>25645138.578000002</v>
      </c>
      <c r="I8" s="156">
        <v>25081435.605900001</v>
      </c>
      <c r="J8" s="156">
        <v>49235845.562299997</v>
      </c>
      <c r="K8" s="156">
        <v>32558968.0163</v>
      </c>
      <c r="L8" s="156">
        <v>39605408.366599999</v>
      </c>
      <c r="M8" s="156">
        <v>40917220.200000003</v>
      </c>
      <c r="O8" s="20">
        <f t="shared" si="0"/>
        <v>0.10834128077179117</v>
      </c>
    </row>
    <row r="9" spans="1:15">
      <c r="A9" s="43"/>
      <c r="D9" s="62"/>
      <c r="E9" s="62"/>
      <c r="F9" s="62"/>
      <c r="G9" s="62"/>
      <c r="H9" s="62"/>
      <c r="I9" s="62"/>
      <c r="J9" s="62"/>
      <c r="K9" s="62"/>
      <c r="L9" s="62"/>
      <c r="M9" s="62"/>
    </row>
    <row r="10" spans="1:15">
      <c r="A10" s="43"/>
      <c r="B10" s="2" t="s">
        <v>256</v>
      </c>
      <c r="C10" s="2" t="s">
        <v>167</v>
      </c>
      <c r="D10" s="156">
        <v>726678.1814</v>
      </c>
      <c r="E10" s="156">
        <v>729965.76089999999</v>
      </c>
      <c r="F10" s="156">
        <v>774960.41440000001</v>
      </c>
      <c r="G10" s="156">
        <v>819467.13950000005</v>
      </c>
      <c r="H10" s="156">
        <v>847204.36840000004</v>
      </c>
      <c r="I10" s="156">
        <v>780923.97790000006</v>
      </c>
      <c r="J10" s="156">
        <v>905777.64399999997</v>
      </c>
      <c r="K10" s="156">
        <v>1003521.7274</v>
      </c>
      <c r="L10" s="156">
        <v>1057582.7080000001</v>
      </c>
      <c r="M10" s="156">
        <v>1098008.3999999999</v>
      </c>
      <c r="O10" s="20">
        <f>(M10/H10)^(1/5) - 1</f>
        <v>5.3230665114281539E-2</v>
      </c>
    </row>
    <row r="11" spans="1:15">
      <c r="A11" s="43"/>
      <c r="B11" s="2" t="s">
        <v>256</v>
      </c>
      <c r="C11" s="2" t="s">
        <v>166</v>
      </c>
      <c r="D11" s="156">
        <v>3357210.1570000001</v>
      </c>
      <c r="E11" s="156">
        <v>3345071.7272999999</v>
      </c>
      <c r="F11" s="156">
        <v>3491827.4487000001</v>
      </c>
      <c r="G11" s="156">
        <v>3729826.5792</v>
      </c>
      <c r="H11" s="156">
        <v>3782305.7582999999</v>
      </c>
      <c r="I11" s="156">
        <v>3503646.9597</v>
      </c>
      <c r="J11" s="156">
        <v>4284199.4724000003</v>
      </c>
      <c r="K11" s="156">
        <v>4841063.1478000004</v>
      </c>
      <c r="L11" s="156">
        <v>5101857.3229999999</v>
      </c>
      <c r="M11" s="156">
        <v>5296873.8556000004</v>
      </c>
      <c r="O11" s="20">
        <f t="shared" ref="O11:O13" si="1">(M11/H11)^(1/5) - 1</f>
        <v>6.9676855940272286E-2</v>
      </c>
    </row>
    <row r="12" spans="1:15">
      <c r="A12" s="43"/>
      <c r="B12" s="2" t="s">
        <v>256</v>
      </c>
      <c r="C12" s="2" t="s">
        <v>165</v>
      </c>
      <c r="D12" s="156">
        <v>15710021.888499999</v>
      </c>
      <c r="E12" s="156">
        <v>15528098.6908</v>
      </c>
      <c r="F12" s="156">
        <v>16145008.6337</v>
      </c>
      <c r="G12" s="156">
        <v>17046167.594700001</v>
      </c>
      <c r="H12" s="156">
        <v>16863783.6358</v>
      </c>
      <c r="I12" s="156">
        <v>15805340.7294</v>
      </c>
      <c r="J12" s="156">
        <v>20176089.699900001</v>
      </c>
      <c r="K12" s="156">
        <v>23136750.936500002</v>
      </c>
      <c r="L12" s="156">
        <v>24383156.879700001</v>
      </c>
      <c r="M12" s="156">
        <v>25315193.666700002</v>
      </c>
      <c r="O12" s="20">
        <f t="shared" si="1"/>
        <v>8.4639075850964085E-2</v>
      </c>
    </row>
    <row r="13" spans="1:15">
      <c r="A13" s="43"/>
      <c r="B13" s="2" t="s">
        <v>256</v>
      </c>
      <c r="C13" s="2" t="s">
        <v>164</v>
      </c>
      <c r="D13" s="156">
        <v>122084184.4068</v>
      </c>
      <c r="E13" s="156">
        <v>121054418.5354</v>
      </c>
      <c r="F13" s="156">
        <v>130476563.9303</v>
      </c>
      <c r="G13" s="156">
        <v>127273354.33580001</v>
      </c>
      <c r="H13" s="156">
        <v>121143372.91410001</v>
      </c>
      <c r="I13" s="156">
        <v>112967274.09980001</v>
      </c>
      <c r="J13" s="156">
        <v>153929835.19310001</v>
      </c>
      <c r="K13" s="156">
        <v>186321929.3001</v>
      </c>
      <c r="L13" s="156">
        <v>196310985.4341</v>
      </c>
      <c r="M13" s="156">
        <v>203814922.09999999</v>
      </c>
      <c r="O13" s="20">
        <f t="shared" si="1"/>
        <v>0.10965318286575365</v>
      </c>
    </row>
    <row r="14" spans="1:15">
      <c r="A14" s="43"/>
      <c r="D14" s="62"/>
      <c r="E14" s="62"/>
      <c r="F14" s="62"/>
      <c r="G14" s="62"/>
      <c r="H14" s="62"/>
      <c r="I14" s="62"/>
      <c r="J14" s="62"/>
      <c r="K14" s="62"/>
      <c r="L14" s="62"/>
      <c r="M14" s="62"/>
    </row>
    <row r="15" spans="1:15">
      <c r="A15" s="43"/>
      <c r="B15" s="2" t="s">
        <v>257</v>
      </c>
      <c r="C15" s="2" t="s">
        <v>167</v>
      </c>
      <c r="D15" s="156">
        <v>253281.89749999999</v>
      </c>
      <c r="E15" s="156">
        <v>258692.55059999999</v>
      </c>
      <c r="F15" s="156">
        <v>273789.22879999998</v>
      </c>
      <c r="G15" s="156">
        <v>283919.48009999999</v>
      </c>
      <c r="H15" s="156">
        <v>283557.8187</v>
      </c>
      <c r="I15" s="156">
        <v>271239.24359999999</v>
      </c>
      <c r="J15" s="156">
        <v>320360.65990000003</v>
      </c>
      <c r="K15" s="156">
        <v>342506.8566</v>
      </c>
      <c r="L15" s="156">
        <v>371708.23670000001</v>
      </c>
      <c r="M15" s="156">
        <v>389175.4167</v>
      </c>
      <c r="O15" s="20">
        <f>(M15/E15)^(1/8) - 1</f>
        <v>5.2374180986976215E-2</v>
      </c>
    </row>
    <row r="16" spans="1:15">
      <c r="A16" s="43"/>
      <c r="B16" s="2" t="s">
        <v>257</v>
      </c>
      <c r="C16" s="2" t="s">
        <v>166</v>
      </c>
      <c r="D16" s="156">
        <v>587109.37930000003</v>
      </c>
      <c r="E16" s="156">
        <v>610732.89309999999</v>
      </c>
      <c r="F16" s="156">
        <v>639694.45979999995</v>
      </c>
      <c r="G16" s="156">
        <v>662658.36910000001</v>
      </c>
      <c r="H16" s="156">
        <v>662721.33860000002</v>
      </c>
      <c r="I16" s="156">
        <v>633930.79929999996</v>
      </c>
      <c r="J16" s="156">
        <v>745304.34939999995</v>
      </c>
      <c r="K16" s="156">
        <v>759000.29669999995</v>
      </c>
      <c r="L16" s="156">
        <v>825260.48869999999</v>
      </c>
      <c r="M16" s="156">
        <v>864040.83330000006</v>
      </c>
      <c r="O16" s="20">
        <f t="shared" ref="O16:O18" si="2">(M16/E16)^(1/8) - 1</f>
        <v>4.4324266203125129E-2</v>
      </c>
    </row>
    <row r="17" spans="1:15">
      <c r="A17" s="43"/>
      <c r="B17" s="2" t="s">
        <v>257</v>
      </c>
      <c r="C17" s="2" t="s">
        <v>165</v>
      </c>
      <c r="D17" s="156">
        <v>1358600.2165000001</v>
      </c>
      <c r="E17" s="156">
        <v>1439939.3413</v>
      </c>
      <c r="F17" s="156">
        <v>1432915.59</v>
      </c>
      <c r="G17" s="156">
        <v>1508490.5962</v>
      </c>
      <c r="H17" s="156">
        <v>1575321.2146999999</v>
      </c>
      <c r="I17" s="156">
        <v>1506884.6869000001</v>
      </c>
      <c r="J17" s="156">
        <v>1743050.4946000001</v>
      </c>
      <c r="K17" s="156">
        <v>1785883.0508999999</v>
      </c>
      <c r="L17" s="156">
        <v>1977897.0390999999</v>
      </c>
      <c r="M17" s="156">
        <v>2070841.6666999999</v>
      </c>
      <c r="O17" s="20">
        <f t="shared" si="2"/>
        <v>4.6466517123606277E-2</v>
      </c>
    </row>
    <row r="18" spans="1:15">
      <c r="A18" s="43"/>
      <c r="B18" s="2" t="s">
        <v>257</v>
      </c>
      <c r="C18" s="2" t="s">
        <v>164</v>
      </c>
      <c r="D18" s="156">
        <v>3626819.1348999999</v>
      </c>
      <c r="E18" s="156">
        <v>3977355.3816999998</v>
      </c>
      <c r="F18" s="156">
        <v>3925792.3591999998</v>
      </c>
      <c r="G18" s="156">
        <v>4133622.1814999999</v>
      </c>
      <c r="H18" s="156">
        <v>4151640.8415999999</v>
      </c>
      <c r="I18" s="156">
        <v>3971246.0748999999</v>
      </c>
      <c r="J18" s="156">
        <v>4781816.0911999997</v>
      </c>
      <c r="K18" s="156">
        <v>4898927.6392000001</v>
      </c>
      <c r="L18" s="156">
        <v>5051333.8450999996</v>
      </c>
      <c r="M18" s="156">
        <v>5288700.5</v>
      </c>
      <c r="O18" s="20">
        <f t="shared" si="2"/>
        <v>3.6261401702052831E-2</v>
      </c>
    </row>
    <row r="19" spans="1:15">
      <c r="A19" s="43"/>
      <c r="D19" s="62"/>
      <c r="E19" s="62"/>
      <c r="F19" s="62"/>
      <c r="G19" s="62"/>
      <c r="H19" s="62"/>
      <c r="I19" s="62"/>
      <c r="J19" s="62"/>
      <c r="K19" s="62"/>
      <c r="L19" s="62"/>
      <c r="M19" s="62"/>
    </row>
    <row r="20" spans="1:15">
      <c r="A20" s="43"/>
      <c r="B20" s="2" t="s">
        <v>259</v>
      </c>
      <c r="C20" s="2" t="s">
        <v>167</v>
      </c>
      <c r="D20" s="156">
        <v>602409.7672</v>
      </c>
      <c r="E20" s="156">
        <v>604569.48670000001</v>
      </c>
      <c r="F20" s="156">
        <v>571812.95600000001</v>
      </c>
      <c r="G20" s="156">
        <v>646331.36880000005</v>
      </c>
      <c r="H20" s="156">
        <v>603628.42330000002</v>
      </c>
      <c r="I20" s="156">
        <v>666459.53469999996</v>
      </c>
      <c r="J20" s="156">
        <v>757766.60820000002</v>
      </c>
      <c r="K20" s="156">
        <v>880343.71970000002</v>
      </c>
      <c r="L20" s="156">
        <v>971757.30119999999</v>
      </c>
      <c r="M20" s="156">
        <v>1031864.7733</v>
      </c>
      <c r="O20" s="20">
        <f>(M20/H20)^(1/5) - 1</f>
        <v>0.11319339541956008</v>
      </c>
    </row>
    <row r="21" spans="1:15">
      <c r="A21" s="43"/>
      <c r="B21" s="2" t="s">
        <v>259</v>
      </c>
      <c r="C21" s="2" t="s">
        <v>166</v>
      </c>
      <c r="D21" s="156">
        <v>2047459.0597000001</v>
      </c>
      <c r="E21" s="156">
        <v>2168428.2209999999</v>
      </c>
      <c r="F21" s="156">
        <v>1497915.4885</v>
      </c>
      <c r="G21" s="156">
        <v>2259899.8909</v>
      </c>
      <c r="H21" s="156">
        <v>2938097.7859</v>
      </c>
      <c r="I21" s="156">
        <v>2876598.8465</v>
      </c>
      <c r="J21" s="156">
        <v>3390869.2828000002</v>
      </c>
      <c r="K21" s="156">
        <v>3440354.2343000001</v>
      </c>
      <c r="L21" s="156">
        <v>3917009.6447000001</v>
      </c>
      <c r="M21" s="156">
        <v>4159293.9556</v>
      </c>
      <c r="O21" s="20">
        <f t="shared" ref="O21:O23" si="3">(M21/H21)^(1/5) - 1</f>
        <v>7.1989851223473345E-2</v>
      </c>
    </row>
    <row r="22" spans="1:15">
      <c r="A22" s="43"/>
      <c r="B22" s="2" t="s">
        <v>259</v>
      </c>
      <c r="C22" s="2" t="s">
        <v>165</v>
      </c>
      <c r="D22" s="156">
        <v>6036333.4829000002</v>
      </c>
      <c r="E22" s="156">
        <v>3509594.8086999999</v>
      </c>
      <c r="F22" s="156">
        <v>4168112.6638000002</v>
      </c>
      <c r="G22" s="156">
        <v>2983067.8561</v>
      </c>
      <c r="H22" s="156">
        <v>4190556.1368999998</v>
      </c>
      <c r="I22" s="156">
        <v>6550670.6405999996</v>
      </c>
      <c r="J22" s="156">
        <v>7414119.3321000002</v>
      </c>
      <c r="K22" s="156">
        <v>3688253.2212</v>
      </c>
      <c r="L22" s="156">
        <v>5148814.6743999999</v>
      </c>
      <c r="M22" s="156">
        <v>5467291.5555999996</v>
      </c>
      <c r="O22" s="20">
        <f t="shared" si="3"/>
        <v>5.4629983402930016E-2</v>
      </c>
    </row>
    <row r="23" spans="1:15">
      <c r="A23" s="43"/>
      <c r="B23" s="2" t="s">
        <v>259</v>
      </c>
      <c r="C23" s="2" t="s">
        <v>164</v>
      </c>
      <c r="D23" s="156">
        <v>231734934.65259999</v>
      </c>
      <c r="E23" s="156">
        <v>178921007.82870001</v>
      </c>
      <c r="F23" s="156">
        <v>325885942.79170001</v>
      </c>
      <c r="G23" s="156">
        <v>192811345.0327</v>
      </c>
      <c r="H23" s="156">
        <v>227897476.8321</v>
      </c>
      <c r="I23" s="156">
        <v>237970584.9219</v>
      </c>
      <c r="J23" s="156">
        <v>321648093.79900002</v>
      </c>
      <c r="K23" s="156">
        <v>266315683.06110001</v>
      </c>
      <c r="L23" s="156">
        <v>281052926.22970003</v>
      </c>
      <c r="M23" s="156">
        <v>298437145.30000001</v>
      </c>
      <c r="O23" s="20">
        <f t="shared" si="3"/>
        <v>5.5413565648924967E-2</v>
      </c>
    </row>
    <row r="24" spans="1:15">
      <c r="A24" s="43"/>
      <c r="D24" s="62"/>
      <c r="E24" s="62"/>
      <c r="F24" s="62"/>
      <c r="G24" s="62"/>
      <c r="H24" s="62"/>
      <c r="I24" s="62"/>
      <c r="J24" s="62"/>
      <c r="K24" s="62"/>
      <c r="L24" s="62"/>
      <c r="M24" s="62"/>
    </row>
    <row r="25" spans="1:15">
      <c r="A25" s="43"/>
      <c r="B25" s="2" t="s">
        <v>258</v>
      </c>
      <c r="C25" s="2" t="s">
        <v>167</v>
      </c>
      <c r="D25" s="156">
        <v>175054.99170000001</v>
      </c>
      <c r="E25" s="156">
        <v>199024.74950000001</v>
      </c>
      <c r="F25" s="156">
        <v>212661.45499999999</v>
      </c>
      <c r="G25" s="156">
        <v>216139.15760000001</v>
      </c>
      <c r="H25" s="156">
        <v>215809.25829999999</v>
      </c>
      <c r="I25" s="156">
        <v>197155.43040000001</v>
      </c>
      <c r="J25" s="156">
        <v>215348.0344</v>
      </c>
      <c r="K25" s="156">
        <v>231710.1594</v>
      </c>
      <c r="L25" s="156">
        <v>242256.98639999999</v>
      </c>
      <c r="M25" s="156">
        <v>248145.29329999999</v>
      </c>
      <c r="O25" s="20">
        <f>(M25/D25)^(1/9) - 1</f>
        <v>3.9529547284178124E-2</v>
      </c>
    </row>
    <row r="26" spans="1:15">
      <c r="A26" s="43"/>
      <c r="B26" s="2" t="s">
        <v>258</v>
      </c>
      <c r="C26" s="2" t="s">
        <v>166</v>
      </c>
      <c r="D26" s="156">
        <v>449014.5367</v>
      </c>
      <c r="E26" s="156">
        <v>565947.15500000003</v>
      </c>
      <c r="F26" s="156">
        <v>601140.2831</v>
      </c>
      <c r="G26" s="156">
        <v>607169.54209999996</v>
      </c>
      <c r="H26" s="156">
        <v>603732.23750000005</v>
      </c>
      <c r="I26" s="156">
        <v>551547.64919999999</v>
      </c>
      <c r="J26" s="156">
        <v>649086.6973</v>
      </c>
      <c r="K26" s="156">
        <v>736275.27289999998</v>
      </c>
      <c r="L26" s="156">
        <v>746578.13419999997</v>
      </c>
      <c r="M26" s="156">
        <v>764724.4889</v>
      </c>
      <c r="O26" s="20">
        <f t="shared" ref="O26:O28" si="4">(M26/D26)^(1/9) - 1</f>
        <v>6.0947378546226894E-2</v>
      </c>
    </row>
    <row r="27" spans="1:15">
      <c r="A27" s="43"/>
      <c r="B27" s="2" t="s">
        <v>258</v>
      </c>
      <c r="C27" s="2" t="s">
        <v>165</v>
      </c>
      <c r="D27" s="156">
        <v>1183213.9818</v>
      </c>
      <c r="E27" s="156">
        <v>1603516.9391999999</v>
      </c>
      <c r="F27" s="156">
        <v>1712926.6131</v>
      </c>
      <c r="G27" s="156">
        <v>1715913.9232999999</v>
      </c>
      <c r="H27" s="156">
        <v>1667768.6118000001</v>
      </c>
      <c r="I27" s="156">
        <v>1523612.2907</v>
      </c>
      <c r="J27" s="156">
        <v>1825556.3359999999</v>
      </c>
      <c r="K27" s="156">
        <v>2057239.7331999999</v>
      </c>
      <c r="L27" s="156">
        <v>2094989.6624</v>
      </c>
      <c r="M27" s="156">
        <v>2145910.5556000001</v>
      </c>
      <c r="O27" s="20">
        <f t="shared" si="4"/>
        <v>6.8384531363919754E-2</v>
      </c>
    </row>
    <row r="28" spans="1:15">
      <c r="A28" s="43"/>
      <c r="B28" s="2" t="s">
        <v>258</v>
      </c>
      <c r="C28" s="2" t="s">
        <v>164</v>
      </c>
      <c r="D28" s="156">
        <v>3677032.7940000002</v>
      </c>
      <c r="E28" s="156">
        <v>5905331.142</v>
      </c>
      <c r="F28" s="156">
        <v>6119727.5400999999</v>
      </c>
      <c r="G28" s="156">
        <v>6073085.1756999996</v>
      </c>
      <c r="H28" s="156">
        <v>5928398.4550000001</v>
      </c>
      <c r="I28" s="156">
        <v>5415985.5739000002</v>
      </c>
      <c r="J28" s="156">
        <v>6403003.8276000004</v>
      </c>
      <c r="K28" s="156">
        <v>7235545.2131000003</v>
      </c>
      <c r="L28" s="156">
        <v>7248733.5467999997</v>
      </c>
      <c r="M28" s="156">
        <v>7424933.9000000004</v>
      </c>
      <c r="O28" s="20">
        <f t="shared" si="4"/>
        <v>8.1211273676845996E-2</v>
      </c>
    </row>
    <row r="30" spans="1:15">
      <c r="B30" s="155" t="s">
        <v>262</v>
      </c>
    </row>
    <row r="31" spans="1:15">
      <c r="B31" s="155" t="s">
        <v>268</v>
      </c>
    </row>
    <row r="33" spans="2:15" s="85" customFormat="1">
      <c r="B33" s="155"/>
      <c r="C33" s="155"/>
      <c r="D33" s="296" t="s">
        <v>265</v>
      </c>
      <c r="E33" s="296"/>
      <c r="F33" s="296"/>
      <c r="G33" s="296"/>
      <c r="H33" s="296"/>
      <c r="I33" s="296"/>
      <c r="J33" s="296"/>
      <c r="K33" s="296"/>
      <c r="L33" s="296"/>
      <c r="M33" s="296"/>
      <c r="N33" s="43"/>
      <c r="O33" s="300" t="s">
        <v>263</v>
      </c>
    </row>
    <row r="34" spans="2:15">
      <c r="B34" s="155" t="s">
        <v>261</v>
      </c>
      <c r="C34" s="155" t="s">
        <v>260</v>
      </c>
      <c r="D34" s="154">
        <v>2015</v>
      </c>
      <c r="E34" s="157">
        <v>2016</v>
      </c>
      <c r="F34" s="157">
        <v>2017</v>
      </c>
      <c r="G34" s="157">
        <v>2018</v>
      </c>
      <c r="H34" s="157">
        <v>2019</v>
      </c>
      <c r="I34" s="157">
        <v>2020</v>
      </c>
      <c r="J34" s="157">
        <v>2021</v>
      </c>
      <c r="K34" s="157">
        <v>2022</v>
      </c>
      <c r="L34" s="157">
        <v>2023</v>
      </c>
      <c r="M34" s="157">
        <v>2024</v>
      </c>
      <c r="O34" s="300"/>
    </row>
    <row r="36" spans="2:15">
      <c r="B36" s="2" t="s">
        <v>168</v>
      </c>
      <c r="C36" s="2" t="s">
        <v>227</v>
      </c>
      <c r="D36" s="156">
        <v>172900.10949999999</v>
      </c>
      <c r="E36" s="156">
        <v>188158.63070000001</v>
      </c>
      <c r="F36" s="156">
        <v>191212.3174</v>
      </c>
      <c r="G36" s="156">
        <v>193427.10769999999</v>
      </c>
      <c r="H36" s="156">
        <v>182729.63759999999</v>
      </c>
      <c r="I36" s="156">
        <v>169850.43229999999</v>
      </c>
      <c r="J36" s="156">
        <v>180506.37349999999</v>
      </c>
      <c r="K36" s="156">
        <v>191569.67120000001</v>
      </c>
      <c r="L36" s="156">
        <v>204146.1826</v>
      </c>
      <c r="M36" s="156">
        <v>226912.8</v>
      </c>
      <c r="O36" s="20">
        <f>(M36/E36)^(1/8) - 1</f>
        <v>2.3686217993555081E-2</v>
      </c>
    </row>
    <row r="37" spans="2:15">
      <c r="B37" s="2" t="s">
        <v>168</v>
      </c>
      <c r="C37" s="2" t="s">
        <v>228</v>
      </c>
      <c r="D37" s="156">
        <v>545763.32250000001</v>
      </c>
      <c r="E37" s="156">
        <v>550818.19530000002</v>
      </c>
      <c r="F37" s="156">
        <v>635770.64419999998</v>
      </c>
      <c r="G37" s="156">
        <v>635359.72019999998</v>
      </c>
      <c r="H37" s="156">
        <v>640347.49190000002</v>
      </c>
      <c r="I37" s="156">
        <v>581432.42819999997</v>
      </c>
      <c r="J37" s="156">
        <v>759492.09900000005</v>
      </c>
      <c r="K37" s="156">
        <v>711840.20979999995</v>
      </c>
      <c r="L37" s="156">
        <v>732402.28240000003</v>
      </c>
      <c r="M37" s="156">
        <v>833460.9</v>
      </c>
      <c r="O37" s="20">
        <f t="shared" ref="O37:O39" si="5">(M37/E37)^(1/8) - 1</f>
        <v>5.3136388737166973E-2</v>
      </c>
    </row>
    <row r="38" spans="2:15">
      <c r="B38" s="2" t="s">
        <v>168</v>
      </c>
      <c r="C38" s="2" t="s">
        <v>229</v>
      </c>
      <c r="D38" s="156">
        <v>1881298.7086</v>
      </c>
      <c r="E38" s="156">
        <v>1924270.9071</v>
      </c>
      <c r="F38" s="156">
        <v>2078009.8322999999</v>
      </c>
      <c r="G38" s="156">
        <v>2656934.4413999999</v>
      </c>
      <c r="H38" s="156">
        <v>2572756.5943</v>
      </c>
      <c r="I38" s="156">
        <v>2298621.0317000002</v>
      </c>
      <c r="J38" s="156">
        <v>3216909.5356999999</v>
      </c>
      <c r="K38" s="156">
        <v>3362173.9589999998</v>
      </c>
      <c r="L38" s="156">
        <v>3060872.6397000002</v>
      </c>
      <c r="M38" s="156">
        <v>3162255</v>
      </c>
      <c r="O38" s="20">
        <f t="shared" si="5"/>
        <v>6.406053093993247E-2</v>
      </c>
    </row>
    <row r="39" spans="2:15">
      <c r="B39" s="2" t="s">
        <v>168</v>
      </c>
      <c r="C39" s="2" t="s">
        <v>164</v>
      </c>
      <c r="D39" s="156">
        <v>11444660.8928</v>
      </c>
      <c r="E39" s="156">
        <v>12069486.0844</v>
      </c>
      <c r="F39" s="156">
        <v>8369288.0806999998</v>
      </c>
      <c r="G39" s="156">
        <v>21370185.559999999</v>
      </c>
      <c r="H39" s="156">
        <v>11448523.572799999</v>
      </c>
      <c r="I39" s="156">
        <v>16316331.1316</v>
      </c>
      <c r="J39" s="156">
        <v>30559349.963399999</v>
      </c>
      <c r="K39" s="156">
        <v>21850044.306600001</v>
      </c>
      <c r="L39" s="156">
        <v>24890666.5759</v>
      </c>
      <c r="M39" s="156">
        <v>25715096</v>
      </c>
      <c r="O39" s="20">
        <f t="shared" si="5"/>
        <v>9.9163811673651514E-2</v>
      </c>
    </row>
    <row r="40" spans="2:15">
      <c r="D40" s="62"/>
      <c r="E40" s="62"/>
      <c r="F40" s="62"/>
      <c r="G40" s="62"/>
      <c r="H40" s="62"/>
      <c r="I40" s="62"/>
      <c r="J40" s="62"/>
      <c r="K40" s="62"/>
      <c r="L40" s="62"/>
      <c r="M40" s="62"/>
    </row>
    <row r="41" spans="2:15">
      <c r="B41" s="2" t="s">
        <v>256</v>
      </c>
      <c r="C41" s="2" t="s">
        <v>227</v>
      </c>
      <c r="D41" s="156">
        <v>391226.1041</v>
      </c>
      <c r="E41" s="156">
        <v>393832.65350000001</v>
      </c>
      <c r="F41" s="156">
        <v>413672.93550000002</v>
      </c>
      <c r="G41" s="156">
        <v>435602.17969999998</v>
      </c>
      <c r="H41" s="156">
        <v>449540.94589999999</v>
      </c>
      <c r="I41" s="156">
        <v>418398.24349999998</v>
      </c>
      <c r="J41" s="156">
        <v>468632.50520000001</v>
      </c>
      <c r="K41" s="156">
        <v>513112.31900000002</v>
      </c>
      <c r="L41" s="156">
        <v>539951.55379999999</v>
      </c>
      <c r="M41" s="156">
        <v>560591.1</v>
      </c>
      <c r="O41" s="20">
        <f>(M41/K41)^(1/2) - 1</f>
        <v>4.5242063250094278E-2</v>
      </c>
    </row>
    <row r="42" spans="2:15">
      <c r="B42" s="2" t="s">
        <v>256</v>
      </c>
      <c r="C42" s="2" t="s">
        <v>228</v>
      </c>
      <c r="D42" s="156">
        <v>1686992.1657</v>
      </c>
      <c r="E42" s="156">
        <v>1688494.277</v>
      </c>
      <c r="F42" s="156">
        <v>1784689.9972000001</v>
      </c>
      <c r="G42" s="156">
        <v>1898766.4217000001</v>
      </c>
      <c r="H42" s="156">
        <v>1951092.7660000001</v>
      </c>
      <c r="I42" s="156">
        <v>1799492.9134</v>
      </c>
      <c r="J42" s="156">
        <v>2152815.5811000001</v>
      </c>
      <c r="K42" s="156">
        <v>2410702.4748999998</v>
      </c>
      <c r="L42" s="156">
        <v>2540557.9588000001</v>
      </c>
      <c r="M42" s="156">
        <v>2637670.2999999998</v>
      </c>
      <c r="O42" s="206">
        <f t="shared" ref="O42:O44" si="6">(M42/K42)^(1/2) - 1</f>
        <v>4.60162893604108E-2</v>
      </c>
    </row>
    <row r="43" spans="2:15">
      <c r="B43" s="2" t="s">
        <v>256</v>
      </c>
      <c r="C43" s="2" t="s">
        <v>229</v>
      </c>
      <c r="D43" s="156">
        <v>7950330.3327000001</v>
      </c>
      <c r="E43" s="156">
        <v>7879606.4204000002</v>
      </c>
      <c r="F43" s="156">
        <v>8186686.5807999996</v>
      </c>
      <c r="G43" s="156">
        <v>8738745.5146999992</v>
      </c>
      <c r="H43" s="156">
        <v>8754857.4811000004</v>
      </c>
      <c r="I43" s="156">
        <v>8145419.1146999998</v>
      </c>
      <c r="J43" s="156">
        <v>10202796.013900001</v>
      </c>
      <c r="K43" s="156">
        <v>11608408.2245</v>
      </c>
      <c r="L43" s="156">
        <v>12251469.070800001</v>
      </c>
      <c r="M43" s="156">
        <v>12719778</v>
      </c>
      <c r="O43" s="206">
        <f t="shared" si="6"/>
        <v>4.6775211600780686E-2</v>
      </c>
    </row>
    <row r="44" spans="2:15">
      <c r="B44" s="2" t="s">
        <v>256</v>
      </c>
      <c r="C44" s="2" t="s">
        <v>164</v>
      </c>
      <c r="D44" s="156">
        <v>76965371.158800006</v>
      </c>
      <c r="E44" s="156">
        <v>76268204.255400002</v>
      </c>
      <c r="F44" s="156">
        <v>81670255.813500002</v>
      </c>
      <c r="G44" s="156">
        <v>80781355.050600007</v>
      </c>
      <c r="H44" s="156">
        <v>77393669.609599993</v>
      </c>
      <c r="I44" s="156">
        <v>72181338.826399997</v>
      </c>
      <c r="J44" s="156">
        <v>97333115.514599994</v>
      </c>
      <c r="K44" s="156">
        <v>116821077.6609</v>
      </c>
      <c r="L44" s="156">
        <v>123125166.3272</v>
      </c>
      <c r="M44" s="156">
        <v>127831592</v>
      </c>
      <c r="O44" s="206">
        <f t="shared" si="6"/>
        <v>4.6064574354802934E-2</v>
      </c>
    </row>
    <row r="45" spans="2:15">
      <c r="D45" s="62"/>
      <c r="E45" s="62"/>
      <c r="F45" s="62"/>
      <c r="G45" s="62"/>
      <c r="H45" s="62"/>
      <c r="I45" s="62"/>
      <c r="J45" s="62"/>
      <c r="K45" s="62"/>
      <c r="L45" s="62"/>
      <c r="M45" s="62"/>
    </row>
    <row r="46" spans="2:15">
      <c r="B46" s="2" t="s">
        <v>257</v>
      </c>
      <c r="C46" s="2" t="s">
        <v>227</v>
      </c>
      <c r="D46" s="156">
        <v>177219.61919999999</v>
      </c>
      <c r="E46" s="156">
        <v>180472.8216</v>
      </c>
      <c r="F46" s="156">
        <v>191380.9595</v>
      </c>
      <c r="G46" s="156">
        <v>198325.03140000001</v>
      </c>
      <c r="H46" s="156">
        <v>198444.18210000001</v>
      </c>
      <c r="I46" s="156">
        <v>189821.51139999999</v>
      </c>
      <c r="J46" s="156">
        <v>221804.95629999999</v>
      </c>
      <c r="K46" s="156">
        <v>239174.83259999999</v>
      </c>
      <c r="L46" s="156">
        <v>259428.50469999999</v>
      </c>
      <c r="M46" s="156">
        <v>271619.3</v>
      </c>
      <c r="O46" s="20">
        <f>(M46/E46)^(1/8) - 1</f>
        <v>5.2430927660569226E-2</v>
      </c>
    </row>
    <row r="47" spans="2:15">
      <c r="B47" s="2" t="s">
        <v>257</v>
      </c>
      <c r="C47" s="2" t="s">
        <v>228</v>
      </c>
      <c r="D47" s="156">
        <v>413449.56709999999</v>
      </c>
      <c r="E47" s="156">
        <v>425896.34720000002</v>
      </c>
      <c r="F47" s="156">
        <v>447743.8567</v>
      </c>
      <c r="G47" s="156">
        <v>464548.3174</v>
      </c>
      <c r="H47" s="156">
        <v>464623.47389999998</v>
      </c>
      <c r="I47" s="156">
        <v>444434.59279999998</v>
      </c>
      <c r="J47" s="156">
        <v>520654.73220000003</v>
      </c>
      <c r="K47" s="156">
        <v>533419.37730000005</v>
      </c>
      <c r="L47" s="156">
        <v>578590.4878</v>
      </c>
      <c r="M47" s="156">
        <v>605778.9</v>
      </c>
      <c r="O47" s="20">
        <f t="shared" ref="O47:O49" si="7">(M47/E47)^(1/8) - 1</f>
        <v>4.5024033244391193E-2</v>
      </c>
    </row>
    <row r="48" spans="2:15">
      <c r="B48" s="2" t="s">
        <v>257</v>
      </c>
      <c r="C48" s="2" t="s">
        <v>229</v>
      </c>
      <c r="D48" s="156">
        <v>954417.89709999994</v>
      </c>
      <c r="E48" s="156">
        <v>1003016.5201</v>
      </c>
      <c r="F48" s="156">
        <v>1034151.3431000001</v>
      </c>
      <c r="G48" s="156">
        <v>1077643.969</v>
      </c>
      <c r="H48" s="156">
        <v>1078945.1804</v>
      </c>
      <c r="I48" s="156">
        <v>1032063.4142999999</v>
      </c>
      <c r="J48" s="156">
        <v>1220870.6564</v>
      </c>
      <c r="K48" s="156">
        <v>1250515.8036</v>
      </c>
      <c r="L48" s="156">
        <v>1356411.1706999999</v>
      </c>
      <c r="M48" s="156">
        <v>1420150.5</v>
      </c>
      <c r="O48" s="20">
        <f t="shared" si="7"/>
        <v>4.4427469339446857E-2</v>
      </c>
    </row>
    <row r="49" spans="2:16">
      <c r="B49" s="2" t="s">
        <v>257</v>
      </c>
      <c r="C49" s="2" t="s">
        <v>164</v>
      </c>
      <c r="D49" s="156">
        <v>2824905.9808999998</v>
      </c>
      <c r="E49" s="156">
        <v>3074477.8824</v>
      </c>
      <c r="F49" s="156">
        <v>3058521.3297000001</v>
      </c>
      <c r="G49" s="156">
        <v>3214350.1575000002</v>
      </c>
      <c r="H49" s="156">
        <v>3226466.2272999999</v>
      </c>
      <c r="I49" s="156">
        <v>3086271.6883</v>
      </c>
      <c r="J49" s="156">
        <v>3707852.4855</v>
      </c>
      <c r="K49" s="156">
        <v>3798387.0622</v>
      </c>
      <c r="L49" s="156">
        <v>3988817.7991999998</v>
      </c>
      <c r="M49" s="156">
        <v>4176256.3</v>
      </c>
      <c r="O49" s="20">
        <f t="shared" si="7"/>
        <v>3.9027330446761654E-2</v>
      </c>
    </row>
    <row r="50" spans="2:16">
      <c r="B50" s="2"/>
      <c r="C50" s="2"/>
      <c r="D50" s="156"/>
      <c r="E50" s="156"/>
      <c r="F50" s="156"/>
      <c r="G50" s="156"/>
      <c r="H50" s="156"/>
      <c r="I50" s="156"/>
      <c r="J50" s="156"/>
      <c r="K50" s="156"/>
      <c r="L50" s="156"/>
      <c r="M50" s="156"/>
    </row>
    <row r="51" spans="2:16">
      <c r="B51" s="2" t="s">
        <v>259</v>
      </c>
      <c r="C51" s="2" t="s">
        <v>227</v>
      </c>
      <c r="D51" s="156">
        <v>367066.61800000002</v>
      </c>
      <c r="E51" s="156">
        <v>385522.8322</v>
      </c>
      <c r="F51" s="156">
        <v>383611.04200000002</v>
      </c>
      <c r="G51" s="156">
        <v>423057.95529999997</v>
      </c>
      <c r="H51" s="156">
        <v>403987.24699999997</v>
      </c>
      <c r="I51" s="156">
        <v>417735.59730000002</v>
      </c>
      <c r="J51" s="156">
        <v>476231.69179999997</v>
      </c>
      <c r="K51" s="156">
        <v>661331.51670000004</v>
      </c>
      <c r="L51" s="156">
        <v>615148.25899999996</v>
      </c>
      <c r="M51" s="156">
        <v>653197.6</v>
      </c>
      <c r="O51" s="20">
        <f>(M51/H51)^(1/5) - 1</f>
        <v>0.10086834754733487</v>
      </c>
    </row>
    <row r="52" spans="2:16">
      <c r="B52" s="2" t="s">
        <v>259</v>
      </c>
      <c r="C52" s="2" t="s">
        <v>228</v>
      </c>
      <c r="D52" s="156">
        <v>1249137.1018999999</v>
      </c>
      <c r="E52" s="156">
        <v>1109605.1499000001</v>
      </c>
      <c r="F52" s="156">
        <v>1126844.8751000001</v>
      </c>
      <c r="G52" s="156">
        <v>1229558.0119</v>
      </c>
      <c r="H52" s="156">
        <v>1710441.2047999999</v>
      </c>
      <c r="I52" s="156">
        <v>1352214.0386000001</v>
      </c>
      <c r="J52" s="156">
        <v>1620819.0824</v>
      </c>
      <c r="K52" s="156">
        <v>2526783.9865999999</v>
      </c>
      <c r="L52" s="156">
        <v>2601812.0932</v>
      </c>
      <c r="M52" s="156">
        <v>2762744.3</v>
      </c>
      <c r="O52" s="20">
        <f t="shared" ref="O52:O54" si="8">(M52/H52)^(1/5) - 1</f>
        <v>0.1006430821501958</v>
      </c>
    </row>
    <row r="53" spans="2:16">
      <c r="B53" s="2" t="s">
        <v>259</v>
      </c>
      <c r="C53" s="2" t="s">
        <v>229</v>
      </c>
      <c r="D53" s="156">
        <v>2639875.6828000001</v>
      </c>
      <c r="E53" s="156">
        <v>2576466.3593000001</v>
      </c>
      <c r="F53" s="156">
        <v>3326709.2365000001</v>
      </c>
      <c r="G53" s="156">
        <v>2444676.5627000001</v>
      </c>
      <c r="H53" s="156">
        <v>3105491.0062000002</v>
      </c>
      <c r="I53" s="156">
        <v>3894848.0460999999</v>
      </c>
      <c r="J53" s="156">
        <v>4501120.3982999995</v>
      </c>
      <c r="K53" s="156">
        <v>3450633.1061</v>
      </c>
      <c r="L53" s="156">
        <v>3941852.4936000002</v>
      </c>
      <c r="M53" s="156">
        <v>4185671.5</v>
      </c>
      <c r="O53" s="20">
        <f t="shared" si="8"/>
        <v>6.1517047262411362E-2</v>
      </c>
    </row>
    <row r="54" spans="2:16">
      <c r="B54" s="2" t="s">
        <v>259</v>
      </c>
      <c r="C54" s="2" t="s">
        <v>164</v>
      </c>
      <c r="D54" s="156">
        <v>21126575.933699999</v>
      </c>
      <c r="E54" s="156">
        <v>92512569.421299994</v>
      </c>
      <c r="F54" s="156">
        <v>166179725.8046</v>
      </c>
      <c r="G54" s="156">
        <v>5458519.6801000005</v>
      </c>
      <c r="H54" s="156">
        <v>117557070.95370001</v>
      </c>
      <c r="I54" s="156">
        <v>125824061.8096</v>
      </c>
      <c r="J54" s="156">
        <v>168558231.95559999</v>
      </c>
      <c r="K54" s="156">
        <v>135366956.31600001</v>
      </c>
      <c r="L54" s="156">
        <v>144749706.39660001</v>
      </c>
      <c r="M54" s="156">
        <v>153703040</v>
      </c>
      <c r="O54" s="20">
        <f t="shared" si="8"/>
        <v>5.5083278359018273E-2</v>
      </c>
    </row>
    <row r="55" spans="2:16">
      <c r="D55" s="62"/>
      <c r="E55" s="62"/>
      <c r="F55" s="62"/>
      <c r="G55" s="62"/>
      <c r="H55" s="62"/>
      <c r="I55" s="62"/>
      <c r="J55" s="62"/>
      <c r="K55" s="62"/>
      <c r="L55" s="62"/>
      <c r="M55" s="62"/>
    </row>
    <row r="56" spans="2:16">
      <c r="B56" s="2" t="s">
        <v>258</v>
      </c>
      <c r="C56" s="2" t="s">
        <v>227</v>
      </c>
      <c r="D56" s="156">
        <v>117972.4568</v>
      </c>
      <c r="E56" s="156">
        <v>128968.4966</v>
      </c>
      <c r="F56" s="156">
        <v>137074.8333</v>
      </c>
      <c r="G56" s="156">
        <v>139689.0882</v>
      </c>
      <c r="H56" s="156">
        <v>140164.5477</v>
      </c>
      <c r="I56" s="156">
        <v>128048.774</v>
      </c>
      <c r="J56" s="156">
        <v>139365.45499999999</v>
      </c>
      <c r="K56" s="156">
        <v>147911.92430000001</v>
      </c>
      <c r="L56" s="156">
        <v>157335.71979999999</v>
      </c>
      <c r="M56" s="156">
        <v>161160.1</v>
      </c>
      <c r="O56" s="20">
        <f>(M56/D56)^(1/9) - 1</f>
        <v>3.5268474725843157E-2</v>
      </c>
    </row>
    <row r="57" spans="2:16">
      <c r="B57" s="2" t="s">
        <v>258</v>
      </c>
      <c r="C57" s="2" t="s">
        <v>228</v>
      </c>
      <c r="D57" s="156">
        <v>301400.21799999999</v>
      </c>
      <c r="E57" s="156">
        <v>361115.5821</v>
      </c>
      <c r="F57" s="156">
        <v>386113.95510000002</v>
      </c>
      <c r="G57" s="156">
        <v>390467.73759999999</v>
      </c>
      <c r="H57" s="156">
        <v>388726.26569999999</v>
      </c>
      <c r="I57" s="156">
        <v>355127.3677</v>
      </c>
      <c r="J57" s="156">
        <v>419846.4657</v>
      </c>
      <c r="K57" s="156">
        <v>474436.30589999998</v>
      </c>
      <c r="L57" s="156">
        <v>482035.92090000003</v>
      </c>
      <c r="M57" s="156">
        <v>493752.9</v>
      </c>
      <c r="O57" s="20">
        <f t="shared" ref="O57:O59" si="9">(M57/D57)^(1/9) - 1</f>
        <v>5.6375828337975165E-2</v>
      </c>
    </row>
    <row r="58" spans="2:16">
      <c r="B58" s="2" t="s">
        <v>258</v>
      </c>
      <c r="C58" s="2" t="s">
        <v>229</v>
      </c>
      <c r="D58" s="156">
        <v>778485.32949999999</v>
      </c>
      <c r="E58" s="156">
        <v>1032045.1871</v>
      </c>
      <c r="F58" s="156">
        <v>1095442.5338000001</v>
      </c>
      <c r="G58" s="156">
        <v>1100228.43</v>
      </c>
      <c r="H58" s="156">
        <v>1087554.7582</v>
      </c>
      <c r="I58" s="156">
        <v>993553.14950000006</v>
      </c>
      <c r="J58" s="156">
        <v>1174620.4679</v>
      </c>
      <c r="K58" s="156">
        <v>1327348.8940000001</v>
      </c>
      <c r="L58" s="156">
        <v>1347401.8685000001</v>
      </c>
      <c r="M58" s="156">
        <v>1380154.3</v>
      </c>
      <c r="O58" s="20">
        <f t="shared" si="9"/>
        <v>6.5689780550636678E-2</v>
      </c>
    </row>
    <row r="59" spans="2:16">
      <c r="B59" s="2" t="s">
        <v>258</v>
      </c>
      <c r="C59" s="2" t="s">
        <v>164</v>
      </c>
      <c r="D59" s="156">
        <v>2758448.6257000002</v>
      </c>
      <c r="E59" s="156">
        <v>4292058.5208999999</v>
      </c>
      <c r="F59" s="156">
        <v>4466335.8470000001</v>
      </c>
      <c r="G59" s="156">
        <v>4440865.2810000004</v>
      </c>
      <c r="H59" s="156">
        <v>4343835.2262000004</v>
      </c>
      <c r="I59" s="156">
        <v>3968381.1028999998</v>
      </c>
      <c r="J59" s="156">
        <v>4691585.8121999996</v>
      </c>
      <c r="K59" s="156">
        <v>5301602.3743000003</v>
      </c>
      <c r="L59" s="156">
        <v>5321581.8296999997</v>
      </c>
      <c r="M59" s="156">
        <v>5450937</v>
      </c>
      <c r="O59" s="20">
        <f t="shared" si="9"/>
        <v>7.8617252423557993E-2</v>
      </c>
    </row>
    <row r="61" spans="2:16">
      <c r="B61" s="155" t="s">
        <v>264</v>
      </c>
    </row>
    <row r="62" spans="2:16">
      <c r="B62" s="155" t="s">
        <v>267</v>
      </c>
    </row>
    <row r="64" spans="2:16">
      <c r="D64" s="296" t="s">
        <v>270</v>
      </c>
      <c r="E64" s="296"/>
      <c r="F64" s="296"/>
      <c r="G64" s="296"/>
      <c r="H64" s="296"/>
      <c r="I64" s="296"/>
      <c r="J64" s="296"/>
      <c r="K64" s="296"/>
      <c r="L64" s="296"/>
      <c r="M64" s="296"/>
      <c r="O64" s="300" t="s">
        <v>271</v>
      </c>
      <c r="P64" s="43"/>
    </row>
    <row r="65" spans="2:16">
      <c r="B65" s="155" t="s">
        <v>261</v>
      </c>
      <c r="D65" s="154">
        <v>2015</v>
      </c>
      <c r="E65" s="157">
        <v>2016</v>
      </c>
      <c r="F65" s="157">
        <v>2017</v>
      </c>
      <c r="G65" s="157">
        <v>2018</v>
      </c>
      <c r="H65" s="157">
        <v>2019</v>
      </c>
      <c r="I65" s="157">
        <v>2020</v>
      </c>
      <c r="J65" s="157">
        <v>2021</v>
      </c>
      <c r="K65" s="157">
        <v>2022</v>
      </c>
      <c r="L65" s="157">
        <v>2023</v>
      </c>
      <c r="M65" s="157">
        <v>2024</v>
      </c>
      <c r="O65" s="300"/>
      <c r="P65" s="43"/>
    </row>
    <row r="66" spans="2:16">
      <c r="B66" s="47" t="s">
        <v>168</v>
      </c>
      <c r="C66" s="47"/>
      <c r="D66" s="47">
        <v>50504620</v>
      </c>
      <c r="E66" s="47">
        <v>50702744</v>
      </c>
      <c r="F66" s="47">
        <v>50953892</v>
      </c>
      <c r="G66" s="47">
        <v>51285688</v>
      </c>
      <c r="H66" s="47">
        <v>51601820</v>
      </c>
      <c r="I66" s="47">
        <v>51873496</v>
      </c>
      <c r="J66" s="47">
        <v>52136424</v>
      </c>
      <c r="K66" s="47">
        <v>52410868</v>
      </c>
      <c r="L66" s="47">
        <v>52695128</v>
      </c>
      <c r="M66" s="47">
        <v>52956956</v>
      </c>
      <c r="O66" s="20">
        <f>(M66/E66)^(1/8) - 1</f>
        <v>5.452234777918008E-3</v>
      </c>
      <c r="P66" s="43"/>
    </row>
    <row r="67" spans="2:16">
      <c r="B67" s="47" t="s">
        <v>256</v>
      </c>
      <c r="C67" s="47"/>
      <c r="D67" s="47">
        <v>242288453</v>
      </c>
      <c r="E67" s="47">
        <v>244961813</v>
      </c>
      <c r="F67" s="47">
        <v>247625094</v>
      </c>
      <c r="G67" s="47">
        <v>250238203</v>
      </c>
      <c r="H67" s="47">
        <v>252854125</v>
      </c>
      <c r="I67" s="47">
        <v>254844656</v>
      </c>
      <c r="J67" s="47">
        <v>256216438</v>
      </c>
      <c r="K67" s="47">
        <v>258043797</v>
      </c>
      <c r="L67" s="47">
        <v>260434000</v>
      </c>
      <c r="M67" s="47">
        <v>262814969</v>
      </c>
      <c r="O67" s="20">
        <f>(M67/K67)^(1/2) - 1</f>
        <v>9.2025445775048009E-3</v>
      </c>
      <c r="P67" s="43"/>
    </row>
    <row r="68" spans="2:16">
      <c r="B68" s="47" t="s">
        <v>257</v>
      </c>
      <c r="C68" s="47"/>
      <c r="D68" s="47">
        <v>13234287</v>
      </c>
      <c r="E68" s="47">
        <v>13336380</v>
      </c>
      <c r="F68" s="47">
        <v>13449388</v>
      </c>
      <c r="G68" s="47">
        <v>13568205</v>
      </c>
      <c r="H68" s="47">
        <v>13703108</v>
      </c>
      <c r="I68" s="47">
        <v>13832343</v>
      </c>
      <c r="J68" s="47">
        <v>13954525</v>
      </c>
      <c r="K68" s="47">
        <v>14132256</v>
      </c>
      <c r="L68" s="47">
        <v>14327401</v>
      </c>
      <c r="M68" s="47">
        <v>14475086</v>
      </c>
      <c r="O68" s="20">
        <f>(M68/E68)^(1/8) - 1</f>
        <v>1.0294291033525527E-2</v>
      </c>
      <c r="P68" s="43"/>
    </row>
    <row r="69" spans="2:16">
      <c r="B69" s="47" t="s">
        <v>259</v>
      </c>
      <c r="C69" s="47"/>
      <c r="D69" s="47">
        <v>139571188</v>
      </c>
      <c r="E69" s="47">
        <v>141673438</v>
      </c>
      <c r="F69" s="47">
        <v>143759375</v>
      </c>
      <c r="G69" s="47">
        <v>145780906</v>
      </c>
      <c r="H69" s="47">
        <v>147756922</v>
      </c>
      <c r="I69" s="47">
        <v>149602453</v>
      </c>
      <c r="J69" s="47">
        <v>151145594</v>
      </c>
      <c r="K69" s="47">
        <v>152542422</v>
      </c>
      <c r="L69" s="47">
        <v>153980281</v>
      </c>
      <c r="M69" s="47">
        <v>155432016</v>
      </c>
      <c r="O69" s="20">
        <f t="shared" ref="O69" si="10">(M69/H69)^(1/5) - 1</f>
        <v>1.0179448705106342E-2</v>
      </c>
      <c r="P69" s="43"/>
    </row>
    <row r="70" spans="2:16">
      <c r="B70" s="47" t="s">
        <v>258</v>
      </c>
      <c r="C70" s="47"/>
      <c r="D70" s="47">
        <v>49418188</v>
      </c>
      <c r="E70" s="47">
        <v>49409332</v>
      </c>
      <c r="F70" s="47">
        <v>49414824</v>
      </c>
      <c r="G70" s="47">
        <v>49419367</v>
      </c>
      <c r="H70" s="47">
        <v>49415379</v>
      </c>
      <c r="I70" s="47">
        <v>49356125</v>
      </c>
      <c r="J70" s="47">
        <v>49326875</v>
      </c>
      <c r="K70" s="47">
        <v>49349629</v>
      </c>
      <c r="L70" s="47">
        <v>49376355</v>
      </c>
      <c r="M70" s="47">
        <v>49380695</v>
      </c>
      <c r="O70" s="20">
        <f>(M70/D70)^(1/9) - 1</f>
        <v>-8.4327136323003593E-5</v>
      </c>
      <c r="P70" s="43"/>
    </row>
    <row r="71" spans="2:16">
      <c r="P71" s="43"/>
    </row>
    <row r="72" spans="2:16">
      <c r="B72" s="155" t="s">
        <v>266</v>
      </c>
      <c r="P72" s="43"/>
    </row>
    <row r="73" spans="2:16">
      <c r="B73" s="155" t="s">
        <v>269</v>
      </c>
      <c r="P73" s="43"/>
    </row>
  </sheetData>
  <mergeCells count="6">
    <mergeCell ref="D2:M2"/>
    <mergeCell ref="O2:O3"/>
    <mergeCell ref="O33:O34"/>
    <mergeCell ref="D33:M33"/>
    <mergeCell ref="D64:M64"/>
    <mergeCell ref="O64:O65"/>
  </mergeCells>
  <pageMargins left="0.7" right="0.7" top="0.75" bottom="0.75" header="0.3" footer="0.3"/>
  <pageSetup paperSize="9" orientation="portrait" r:id="rId1"/>
  <ignoredErrors>
    <ignoredError sqref="O67"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18</vt:i4>
      </vt:variant>
    </vt:vector>
  </HeadingPairs>
  <TitlesOfParts>
    <vt:vector size="18" baseType="lpstr">
      <vt:lpstr>README</vt:lpstr>
      <vt:lpstr>FRA</vt:lpstr>
      <vt:lpstr>NDL</vt:lpstr>
      <vt:lpstr>USA</vt:lpstr>
      <vt:lpstr>BRA</vt:lpstr>
      <vt:lpstr>ITA</vt:lpstr>
      <vt:lpstr>Summary</vt:lpstr>
      <vt:lpstr>Data Sources</vt:lpstr>
      <vt:lpstr>Income to wealth ratios</vt:lpstr>
      <vt:lpstr>Insee (2026)</vt:lpstr>
      <vt:lpstr>Bach et al. (2025)</vt:lpstr>
      <vt:lpstr>Bozio et al. (2020)</vt:lpstr>
      <vt:lpstr>Piketty, Saez, Zucman (2018)</vt:lpstr>
      <vt:lpstr>Balkir et al. (2025)</vt:lpstr>
      <vt:lpstr>Bruil et al. (2025)</vt:lpstr>
      <vt:lpstr>Palomo et al. (2025)</vt:lpstr>
      <vt:lpstr>Guzzardi et al. (2024)</vt:lpstr>
      <vt:lpstr>WID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Léonard Mouillet</dc:creator>
  <cp:lastModifiedBy>Léonard Mouillet</cp:lastModifiedBy>
  <dcterms:created xsi:type="dcterms:W3CDTF">2026-01-08T13:27:51Z</dcterms:created>
  <dcterms:modified xsi:type="dcterms:W3CDTF">2026-05-04T19:49:13Z</dcterms:modified>
</cp:coreProperties>
</file>
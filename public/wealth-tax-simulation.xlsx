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codeName="ThisWorkbook" defaultThemeVersion="166925"/>
  <mc:AlternateContent xmlns:mc="http://schemas.openxmlformats.org/markup-compatibility/2006">
    <mc:Choice Requires="x15">
      <x15ac:absPath xmlns:x15ac="http://schemas.microsoft.com/office/spreadsheetml/2010/11/ac" url="C:\Users\l.mouillet\Desktop\"/>
    </mc:Choice>
  </mc:AlternateContent>
  <xr:revisionPtr revIDLastSave="0" documentId="13_ncr:1_{798CE9E7-5C52-461C-973C-B267797E6C1A}" xr6:coauthVersionLast="47" xr6:coauthVersionMax="47" xr10:uidLastSave="{00000000-0000-0000-0000-000000000000}"/>
  <bookViews>
    <workbookView xWindow="-108" yWindow="-108" windowWidth="23256" windowHeight="12456" activeTab="1" xr2:uid="{A69BB1AE-355D-4D40-8FE7-BE3B860A349E}"/>
  </bookViews>
  <sheets>
    <sheet name="README" sheetId="14" r:id="rId1"/>
    <sheet name="FRA" sheetId="7" r:id="rId2"/>
    <sheet name="USA" sheetId="11" r:id="rId3"/>
    <sheet name="NDL" sheetId="13" r:id="rId4"/>
    <sheet name="BRA" sheetId="3" r:id="rId5"/>
    <sheet name="ITA" sheetId="17" r:id="rId6"/>
    <sheet name="Summary" sheetId="24" r:id="rId7"/>
    <sheet name="Data Sources" sheetId="26" r:id="rId8"/>
    <sheet name="Income to wealth ratios" sheetId="20" r:id="rId9"/>
    <sheet name="Bach et al. (2025)" sheetId="6" r:id="rId10"/>
    <sheet name="Bozio et al. (2020)" sheetId="9" r:id="rId11"/>
    <sheet name="Piketty, Saez, Zucman (2018)" sheetId="22" r:id="rId12"/>
    <sheet name="Balkir et al. (2025)" sheetId="10" r:id="rId13"/>
    <sheet name="Bruil et al. (2025)" sheetId="4" r:id="rId14"/>
    <sheet name="Palomo et al. (2025)" sheetId="12" r:id="rId15"/>
    <sheet name="Guzzardi et al. (2024)" sheetId="16" r:id="rId16"/>
    <sheet name="WID" sheetId="21"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7" l="1"/>
  <c r="G17" i="7"/>
  <c r="L17" i="7" s="1"/>
  <c r="G16" i="7"/>
  <c r="L16" i="7" s="1"/>
  <c r="G15" i="7"/>
  <c r="L15" i="7" s="1"/>
  <c r="G14" i="7"/>
  <c r="L14" i="7" s="1"/>
  <c r="D14" i="7"/>
  <c r="F5" i="17"/>
  <c r="T5" i="17" s="1"/>
  <c r="U5" i="17" s="1"/>
  <c r="T15" i="7"/>
  <c r="P18" i="7"/>
  <c r="H9" i="20"/>
  <c r="H10" i="20"/>
  <c r="H8" i="20"/>
  <c r="H6" i="20"/>
  <c r="H7" i="20"/>
  <c r="I10" i="20"/>
  <c r="I8" i="20"/>
  <c r="I9" i="20"/>
  <c r="I6" i="20"/>
  <c r="G18" i="13"/>
  <c r="O14" i="17"/>
  <c r="N15" i="17"/>
  <c r="N16" i="17"/>
  <c r="N17" i="17"/>
  <c r="N18" i="17"/>
  <c r="N14" i="17"/>
  <c r="M15" i="17"/>
  <c r="M16" i="17"/>
  <c r="M17" i="17"/>
  <c r="M18" i="17"/>
  <c r="M14" i="17"/>
  <c r="O18" i="17"/>
  <c r="P18" i="17"/>
  <c r="L18" i="17"/>
  <c r="T17" i="17"/>
  <c r="O17" i="17"/>
  <c r="L17" i="17"/>
  <c r="T16" i="17"/>
  <c r="O16" i="17"/>
  <c r="P16" i="17"/>
  <c r="L16" i="17"/>
  <c r="T15" i="17"/>
  <c r="O15" i="17"/>
  <c r="P15" i="17"/>
  <c r="Q15" i="17" s="1"/>
  <c r="L15" i="17"/>
  <c r="T14" i="17"/>
  <c r="L14" i="17"/>
  <c r="U13" i="17"/>
  <c r="T13" i="17"/>
  <c r="T12" i="17"/>
  <c r="U12" i="17" s="1"/>
  <c r="T11" i="17"/>
  <c r="U11" i="17" s="1"/>
  <c r="T10" i="17"/>
  <c r="U10" i="17" s="1"/>
  <c r="T9" i="17"/>
  <c r="U9" i="17" s="1"/>
  <c r="T8" i="17"/>
  <c r="U8" i="17" s="1"/>
  <c r="T7" i="17"/>
  <c r="U7" i="17" s="1"/>
  <c r="T6" i="17"/>
  <c r="U6" i="17" s="1"/>
  <c r="K15" i="17"/>
  <c r="K16" i="17"/>
  <c r="K17" i="17"/>
  <c r="K18" i="17"/>
  <c r="K14" i="17"/>
  <c r="J18" i="17"/>
  <c r="J15" i="17"/>
  <c r="J16" i="17"/>
  <c r="J17" i="17"/>
  <c r="J14" i="17"/>
  <c r="I18" i="17"/>
  <c r="I15" i="17"/>
  <c r="I16" i="17"/>
  <c r="I17" i="17"/>
  <c r="I14" i="17"/>
  <c r="N18" i="3"/>
  <c r="O18" i="3" s="1"/>
  <c r="M18" i="3"/>
  <c r="P18" i="3" s="1"/>
  <c r="L18" i="3"/>
  <c r="T17" i="3"/>
  <c r="N17" i="3"/>
  <c r="P17" i="3" s="1"/>
  <c r="Q17" i="3" s="1"/>
  <c r="M17" i="3"/>
  <c r="L17" i="3"/>
  <c r="T16" i="3"/>
  <c r="N16" i="3"/>
  <c r="O16" i="3" s="1"/>
  <c r="M16" i="3"/>
  <c r="P16" i="3" s="1"/>
  <c r="Q16" i="3" s="1"/>
  <c r="L16" i="3"/>
  <c r="T15" i="3"/>
  <c r="N15" i="3"/>
  <c r="O15" i="3" s="1"/>
  <c r="M15" i="3"/>
  <c r="P15" i="3" s="1"/>
  <c r="Q15" i="3" s="1"/>
  <c r="L15" i="3"/>
  <c r="T14" i="3"/>
  <c r="N14" i="3"/>
  <c r="O14" i="3" s="1"/>
  <c r="M14" i="3"/>
  <c r="P14" i="3" s="1"/>
  <c r="Q14" i="3" s="1"/>
  <c r="L14" i="3"/>
  <c r="U13" i="3"/>
  <c r="T13" i="3"/>
  <c r="T12" i="3"/>
  <c r="U12" i="3" s="1"/>
  <c r="T11" i="3"/>
  <c r="U11" i="3" s="1"/>
  <c r="T10" i="3"/>
  <c r="U10" i="3" s="1"/>
  <c r="T9" i="3"/>
  <c r="U9" i="3" s="1"/>
  <c r="T8" i="3"/>
  <c r="U8" i="3" s="1"/>
  <c r="T7" i="3"/>
  <c r="U7" i="3" s="1"/>
  <c r="T6" i="3"/>
  <c r="U6" i="3" s="1"/>
  <c r="T5" i="3"/>
  <c r="U5" i="3" s="1"/>
  <c r="K18" i="3"/>
  <c r="K15" i="3"/>
  <c r="K16" i="3"/>
  <c r="K17" i="3"/>
  <c r="K14" i="3"/>
  <c r="J18" i="3"/>
  <c r="J15" i="3"/>
  <c r="J16" i="3"/>
  <c r="J17" i="3"/>
  <c r="J14" i="3"/>
  <c r="I18" i="3"/>
  <c r="I15" i="3"/>
  <c r="I16" i="3"/>
  <c r="I17" i="3"/>
  <c r="I14" i="3"/>
  <c r="S15" i="13"/>
  <c r="S16" i="13"/>
  <c r="S14" i="13"/>
  <c r="R14" i="13"/>
  <c r="T17" i="13"/>
  <c r="Q17" i="13"/>
  <c r="T16" i="13"/>
  <c r="Q16" i="13"/>
  <c r="T15" i="13"/>
  <c r="Q15" i="13"/>
  <c r="T14" i="13"/>
  <c r="Q14" i="13"/>
  <c r="T13" i="13"/>
  <c r="U13" i="13" s="1"/>
  <c r="T12" i="13"/>
  <c r="U12" i="13" s="1"/>
  <c r="T11" i="13"/>
  <c r="U11" i="13" s="1"/>
  <c r="T10" i="13"/>
  <c r="U10" i="13" s="1"/>
  <c r="U9" i="13"/>
  <c r="T9" i="13"/>
  <c r="T8" i="13"/>
  <c r="U8" i="13" s="1"/>
  <c r="T7" i="13"/>
  <c r="U7" i="13" s="1"/>
  <c r="T6" i="13"/>
  <c r="U6" i="13" s="1"/>
  <c r="T5" i="13"/>
  <c r="U5" i="13" s="1"/>
  <c r="P14" i="13"/>
  <c r="O14" i="13"/>
  <c r="N15" i="13"/>
  <c r="N16" i="13"/>
  <c r="P16" i="13" s="1"/>
  <c r="N17" i="13"/>
  <c r="N18" i="13"/>
  <c r="N14" i="13"/>
  <c r="M15" i="13"/>
  <c r="M16" i="13"/>
  <c r="M17" i="13"/>
  <c r="M18" i="13"/>
  <c r="M14" i="13"/>
  <c r="O18" i="13"/>
  <c r="S18" i="13" s="1"/>
  <c r="P18" i="13"/>
  <c r="L18" i="13"/>
  <c r="P17" i="13"/>
  <c r="L17" i="13"/>
  <c r="O16" i="13"/>
  <c r="L16" i="13"/>
  <c r="O15" i="13"/>
  <c r="P15" i="13"/>
  <c r="L15" i="13"/>
  <c r="L14" i="13"/>
  <c r="I18" i="13"/>
  <c r="I15" i="13"/>
  <c r="I16" i="13"/>
  <c r="I17" i="13"/>
  <c r="I14" i="13"/>
  <c r="J18" i="13"/>
  <c r="J15" i="13"/>
  <c r="J16" i="13"/>
  <c r="J17" i="13"/>
  <c r="J14" i="13"/>
  <c r="K15" i="13"/>
  <c r="K16" i="13"/>
  <c r="K17" i="13"/>
  <c r="K18" i="13"/>
  <c r="K14" i="13"/>
  <c r="S15" i="11"/>
  <c r="S16" i="11"/>
  <c r="S14" i="11"/>
  <c r="Q14" i="11"/>
  <c r="P14" i="11"/>
  <c r="O14" i="11"/>
  <c r="N15" i="11"/>
  <c r="N16" i="11"/>
  <c r="N17" i="11"/>
  <c r="N14" i="11"/>
  <c r="M15" i="11"/>
  <c r="M16" i="11"/>
  <c r="M17" i="11"/>
  <c r="M14" i="11"/>
  <c r="T17" i="11"/>
  <c r="O17" i="11"/>
  <c r="L17" i="11"/>
  <c r="T16" i="11"/>
  <c r="O16" i="11"/>
  <c r="P16" i="11"/>
  <c r="L16" i="11"/>
  <c r="T15" i="11"/>
  <c r="O15" i="11"/>
  <c r="P15" i="11"/>
  <c r="Q15" i="11" s="1"/>
  <c r="L15" i="11"/>
  <c r="T14" i="11"/>
  <c r="L14" i="11"/>
  <c r="U13" i="11"/>
  <c r="T13" i="11"/>
  <c r="T12" i="11"/>
  <c r="U12" i="11" s="1"/>
  <c r="T11" i="11"/>
  <c r="U11" i="11" s="1"/>
  <c r="T10" i="11"/>
  <c r="U10" i="11" s="1"/>
  <c r="T9" i="11"/>
  <c r="U9" i="11" s="1"/>
  <c r="T8" i="11"/>
  <c r="U8" i="11" s="1"/>
  <c r="T7" i="11"/>
  <c r="U7" i="11" s="1"/>
  <c r="T6" i="11"/>
  <c r="U6" i="11" s="1"/>
  <c r="T5" i="11"/>
  <c r="U5" i="11" s="1"/>
  <c r="K15" i="11"/>
  <c r="K16" i="11"/>
  <c r="K17" i="11"/>
  <c r="K18" i="11"/>
  <c r="K14" i="11"/>
  <c r="J18" i="11"/>
  <c r="J15" i="11"/>
  <c r="J16" i="11"/>
  <c r="J17" i="11"/>
  <c r="J14" i="11"/>
  <c r="I18" i="11"/>
  <c r="I15" i="11"/>
  <c r="I16" i="11"/>
  <c r="I17" i="11"/>
  <c r="I14" i="11"/>
  <c r="L18" i="7"/>
  <c r="K15" i="7"/>
  <c r="K16" i="7"/>
  <c r="K17" i="7"/>
  <c r="K18" i="7"/>
  <c r="K14" i="7"/>
  <c r="O70" i="21"/>
  <c r="O69" i="21"/>
  <c r="O68" i="21"/>
  <c r="O66" i="21"/>
  <c r="O67" i="21"/>
  <c r="R18" i="13" l="1"/>
  <c r="U18" i="13" s="1"/>
  <c r="V18" i="13" s="1"/>
  <c r="S17" i="13"/>
  <c r="Q16" i="17"/>
  <c r="P14" i="17"/>
  <c r="Q14" i="17" s="1"/>
  <c r="S14" i="17" s="1"/>
  <c r="R15" i="17"/>
  <c r="U15" i="17" s="1"/>
  <c r="V15" i="17" s="1"/>
  <c r="S15" i="17"/>
  <c r="S16" i="17"/>
  <c r="R16" i="17"/>
  <c r="U16" i="17" s="1"/>
  <c r="V16" i="17" s="1"/>
  <c r="R18" i="17"/>
  <c r="U18" i="17" s="1"/>
  <c r="V18" i="17" s="1"/>
  <c r="S18" i="17"/>
  <c r="P17" i="17"/>
  <c r="Q17" i="17" s="1"/>
  <c r="S14" i="3"/>
  <c r="R14" i="3"/>
  <c r="U14" i="3" s="1"/>
  <c r="V14" i="3" s="1"/>
  <c r="S15" i="3"/>
  <c r="R15" i="3"/>
  <c r="U15" i="3" s="1"/>
  <c r="V15" i="3" s="1"/>
  <c r="R18" i="3"/>
  <c r="U18" i="3" s="1"/>
  <c r="V18" i="3" s="1"/>
  <c r="S18" i="3"/>
  <c r="O17" i="3"/>
  <c r="S16" i="3" s="1"/>
  <c r="R16" i="13"/>
  <c r="U16" i="13" s="1"/>
  <c r="V16" i="13" s="1"/>
  <c r="U14" i="13"/>
  <c r="V14" i="13" s="1"/>
  <c r="R17" i="13"/>
  <c r="U17" i="13" s="1"/>
  <c r="V17" i="13" s="1"/>
  <c r="R15" i="13"/>
  <c r="U15" i="13" s="1"/>
  <c r="V15" i="13" s="1"/>
  <c r="O17" i="13"/>
  <c r="Q16" i="11"/>
  <c r="R14" i="11"/>
  <c r="U14" i="11" s="1"/>
  <c r="V14" i="11" s="1"/>
  <c r="R15" i="11"/>
  <c r="U15" i="11" s="1"/>
  <c r="V15" i="11" s="1"/>
  <c r="R16" i="11"/>
  <c r="U16" i="11" s="1"/>
  <c r="V16" i="11" s="1"/>
  <c r="P17" i="11"/>
  <c r="J18" i="7"/>
  <c r="J15" i="7"/>
  <c r="J16" i="7"/>
  <c r="J17" i="7"/>
  <c r="J14" i="7"/>
  <c r="I18" i="7"/>
  <c r="I15" i="7"/>
  <c r="I16" i="7"/>
  <c r="I17" i="7"/>
  <c r="I14" i="7"/>
  <c r="O59" i="21"/>
  <c r="O58" i="21"/>
  <c r="O57" i="21"/>
  <c r="O56" i="21"/>
  <c r="O54" i="21"/>
  <c r="O53" i="21"/>
  <c r="O52" i="21"/>
  <c r="O51" i="21"/>
  <c r="O49" i="21"/>
  <c r="O48" i="21"/>
  <c r="O47" i="21"/>
  <c r="O46" i="21"/>
  <c r="O44" i="21"/>
  <c r="O43" i="21"/>
  <c r="O42" i="21"/>
  <c r="O41" i="21"/>
  <c r="O39" i="21"/>
  <c r="O38" i="21"/>
  <c r="O37" i="21"/>
  <c r="O36" i="21"/>
  <c r="O26" i="21"/>
  <c r="O27" i="21"/>
  <c r="O28" i="21"/>
  <c r="O25" i="21"/>
  <c r="O16" i="21"/>
  <c r="O17" i="21"/>
  <c r="O18" i="21"/>
  <c r="O15" i="21"/>
  <c r="O20" i="21"/>
  <c r="O21" i="21"/>
  <c r="O22" i="21"/>
  <c r="O23" i="21"/>
  <c r="O10" i="21"/>
  <c r="O6" i="21"/>
  <c r="O7" i="21"/>
  <c r="O8" i="21"/>
  <c r="O5" i="21"/>
  <c r="O11" i="21"/>
  <c r="O12" i="21"/>
  <c r="O13" i="21"/>
  <c r="R14" i="17" l="1"/>
  <c r="U14" i="17" s="1"/>
  <c r="V14" i="17" s="1"/>
  <c r="S17" i="17"/>
  <c r="R17" i="17"/>
  <c r="U17" i="17" s="1"/>
  <c r="V17" i="17" s="1"/>
  <c r="R17" i="3"/>
  <c r="U17" i="3" s="1"/>
  <c r="V17" i="3" s="1"/>
  <c r="S17" i="3"/>
  <c r="R16" i="3"/>
  <c r="U16" i="3" s="1"/>
  <c r="V16" i="3" s="1"/>
  <c r="G30" i="16"/>
  <c r="D14" i="17"/>
  <c r="E14" i="17"/>
  <c r="C14" i="17"/>
  <c r="C13" i="17"/>
  <c r="C12" i="17"/>
  <c r="C10" i="17"/>
  <c r="C11" i="17"/>
  <c r="C9" i="17"/>
  <c r="C8" i="17"/>
  <c r="C7" i="17"/>
  <c r="C6" i="17"/>
  <c r="C5" i="17"/>
  <c r="C4" i="17"/>
  <c r="B18" i="17"/>
  <c r="B17" i="17"/>
  <c r="B16" i="17"/>
  <c r="B15" i="17"/>
  <c r="B14" i="17"/>
  <c r="B13" i="17"/>
  <c r="B12" i="17"/>
  <c r="B11" i="17"/>
  <c r="B10" i="17"/>
  <c r="B9" i="17"/>
  <c r="B8" i="17"/>
  <c r="B7" i="17"/>
  <c r="B6" i="17"/>
  <c r="B5" i="17"/>
  <c r="B4" i="17"/>
  <c r="D18" i="17" l="1"/>
  <c r="E18" i="17" s="1"/>
  <c r="D17" i="17" l="1"/>
  <c r="C18" i="17"/>
  <c r="J10" i="20"/>
  <c r="G6" i="20"/>
  <c r="F7" i="20"/>
  <c r="F8" i="20"/>
  <c r="F9" i="20"/>
  <c r="F10" i="20"/>
  <c r="F6" i="20"/>
  <c r="AT33" i="20"/>
  <c r="AU33" i="20" s="1"/>
  <c r="BN33" i="20"/>
  <c r="BO33" i="20" s="1"/>
  <c r="BN24" i="20"/>
  <c r="BO24" i="20" s="1"/>
  <c r="BN15" i="20"/>
  <c r="BO15" i="20" s="1"/>
  <c r="BN6" i="20"/>
  <c r="BO6" i="20" s="1"/>
  <c r="BI33" i="20"/>
  <c r="BJ33" i="20" s="1"/>
  <c r="BI15" i="20"/>
  <c r="BI24" i="20"/>
  <c r="BJ24" i="20" s="1"/>
  <c r="BI6" i="20"/>
  <c r="AT15" i="20"/>
  <c r="AU15" i="20" s="1"/>
  <c r="AT24" i="20"/>
  <c r="AU24" i="20" s="1"/>
  <c r="AT6" i="20"/>
  <c r="AU6" i="20" s="1"/>
  <c r="BD6" i="20"/>
  <c r="BE6" i="20" s="1"/>
  <c r="BJ15" i="20"/>
  <c r="BJ6" i="20"/>
  <c r="BD33" i="20"/>
  <c r="BE33" i="20" s="1"/>
  <c r="BD24" i="20"/>
  <c r="BE24" i="20" s="1"/>
  <c r="BD15" i="20"/>
  <c r="BE15" i="20" s="1"/>
  <c r="AY6" i="20"/>
  <c r="AZ6" i="20" s="1"/>
  <c r="AY33" i="20"/>
  <c r="AZ33" i="20" s="1"/>
  <c r="AY24" i="20"/>
  <c r="AZ24" i="20" s="1"/>
  <c r="AY15" i="20"/>
  <c r="AZ15" i="20" s="1"/>
  <c r="AE6" i="20"/>
  <c r="AA6" i="20"/>
  <c r="AI33" i="20"/>
  <c r="AL6" i="20"/>
  <c r="AE24" i="20"/>
  <c r="AE15" i="20"/>
  <c r="V33" i="20"/>
  <c r="V24" i="20"/>
  <c r="AK24" i="20" s="1"/>
  <c r="V15" i="20"/>
  <c r="V6" i="20"/>
  <c r="AL32" i="20"/>
  <c r="AJ7" i="20"/>
  <c r="AJ8" i="20"/>
  <c r="AJ9" i="20"/>
  <c r="AJ10" i="20"/>
  <c r="AJ11" i="20"/>
  <c r="AJ12" i="20"/>
  <c r="AJ13" i="20"/>
  <c r="AJ14" i="20"/>
  <c r="AJ15" i="20"/>
  <c r="AJ16" i="20"/>
  <c r="AJ17" i="20"/>
  <c r="AJ18" i="20"/>
  <c r="AJ19" i="20"/>
  <c r="AJ20" i="20"/>
  <c r="AJ21" i="20"/>
  <c r="AJ22" i="20"/>
  <c r="AJ23" i="20"/>
  <c r="AJ24" i="20"/>
  <c r="AJ25" i="20"/>
  <c r="AJ26" i="20"/>
  <c r="AJ27" i="20"/>
  <c r="AJ28" i="20"/>
  <c r="AJ29" i="20"/>
  <c r="AJ30" i="20"/>
  <c r="AJ31" i="20"/>
  <c r="AJ32" i="20"/>
  <c r="AJ6" i="20"/>
  <c r="AL7" i="20"/>
  <c r="AL8" i="20"/>
  <c r="AL9" i="20"/>
  <c r="AL10" i="20"/>
  <c r="AL11" i="20"/>
  <c r="AL12" i="20"/>
  <c r="AL13" i="20"/>
  <c r="AL14" i="20"/>
  <c r="AL15" i="20"/>
  <c r="AL16" i="20"/>
  <c r="AL17" i="20"/>
  <c r="AL18" i="20"/>
  <c r="AL19" i="20"/>
  <c r="AL20" i="20"/>
  <c r="AL21" i="20"/>
  <c r="AL22" i="20"/>
  <c r="AL23" i="20"/>
  <c r="AL24" i="20"/>
  <c r="AL25" i="20"/>
  <c r="AL26" i="20"/>
  <c r="AL27" i="20"/>
  <c r="AL28" i="20"/>
  <c r="AL29" i="20"/>
  <c r="AL30" i="20"/>
  <c r="AL31" i="20"/>
  <c r="AA33" i="20"/>
  <c r="AM33" i="20" s="1"/>
  <c r="AI24" i="20"/>
  <c r="AI15" i="20"/>
  <c r="AI6" i="20"/>
  <c r="AA24" i="20"/>
  <c r="F13" i="24"/>
  <c r="E13" i="24"/>
  <c r="D13" i="24"/>
  <c r="C13" i="24"/>
  <c r="F11" i="24"/>
  <c r="E11" i="24"/>
  <c r="D11" i="24"/>
  <c r="C11" i="24"/>
  <c r="F9" i="24"/>
  <c r="E9" i="24"/>
  <c r="D9" i="24"/>
  <c r="C9" i="24"/>
  <c r="F7" i="24"/>
  <c r="E7" i="24"/>
  <c r="D7" i="24"/>
  <c r="C7" i="24"/>
  <c r="F5" i="24"/>
  <c r="E5" i="24"/>
  <c r="D5" i="24"/>
  <c r="C5" i="24"/>
  <c r="F17" i="11"/>
  <c r="G17" i="11"/>
  <c r="F16" i="11"/>
  <c r="G16" i="11"/>
  <c r="D16" i="11"/>
  <c r="D17" i="11"/>
  <c r="E17" i="17" l="1"/>
  <c r="C17" i="17"/>
  <c r="D16" i="17"/>
  <c r="AK15" i="20"/>
  <c r="AK6" i="20"/>
  <c r="AM24" i="20"/>
  <c r="AL33" i="20"/>
  <c r="AE33" i="20"/>
  <c r="AJ33" i="20" s="1"/>
  <c r="F16" i="7"/>
  <c r="F15" i="7"/>
  <c r="F14" i="7"/>
  <c r="F17" i="7"/>
  <c r="E16" i="17" l="1"/>
  <c r="C16" i="17"/>
  <c r="D15" i="17"/>
  <c r="AK33" i="20"/>
  <c r="F17" i="17"/>
  <c r="F16" i="17"/>
  <c r="G16" i="17" s="1"/>
  <c r="F12" i="17"/>
  <c r="F10" i="17"/>
  <c r="F11" i="17"/>
  <c r="F9" i="17"/>
  <c r="F8" i="17"/>
  <c r="F7" i="17"/>
  <c r="B4" i="3"/>
  <c r="G17" i="3"/>
  <c r="Q5" i="12"/>
  <c r="Q6" i="12"/>
  <c r="Q7" i="12" s="1"/>
  <c r="Q8" i="12" s="1"/>
  <c r="Q9" i="12" s="1"/>
  <c r="Q10" i="12" s="1"/>
  <c r="Q11" i="12" s="1"/>
  <c r="B17" i="3"/>
  <c r="B16" i="3"/>
  <c r="B10" i="3"/>
  <c r="B11" i="3"/>
  <c r="B12" i="3"/>
  <c r="B13" i="3"/>
  <c r="F17" i="3"/>
  <c r="F10" i="3"/>
  <c r="F11" i="3"/>
  <c r="F12" i="3"/>
  <c r="F9" i="3"/>
  <c r="F8" i="3"/>
  <c r="F7" i="3"/>
  <c r="F6" i="3"/>
  <c r="F5" i="3"/>
  <c r="N7" i="12"/>
  <c r="P7" i="12" s="1"/>
  <c r="P8" i="12"/>
  <c r="L10" i="12"/>
  <c r="L9" i="12"/>
  <c r="B9" i="3" s="1"/>
  <c r="L5" i="12"/>
  <c r="L6" i="12"/>
  <c r="B5" i="3" s="1"/>
  <c r="L7" i="12"/>
  <c r="B8" i="3" s="1"/>
  <c r="B6" i="13"/>
  <c r="B5" i="13"/>
  <c r="B4" i="13"/>
  <c r="B7" i="13"/>
  <c r="B8" i="13"/>
  <c r="B9" i="13"/>
  <c r="B10" i="13"/>
  <c r="B11" i="13"/>
  <c r="B12" i="13"/>
  <c r="B13" i="13"/>
  <c r="C14" i="13"/>
  <c r="C15" i="13"/>
  <c r="C16" i="13"/>
  <c r="C17" i="13"/>
  <c r="C13" i="13"/>
  <c r="C4" i="13"/>
  <c r="C5" i="13"/>
  <c r="C6" i="13"/>
  <c r="C7" i="13"/>
  <c r="C8" i="13"/>
  <c r="C9" i="13"/>
  <c r="C10" i="13"/>
  <c r="C11" i="13"/>
  <c r="C12" i="13"/>
  <c r="C18" i="13"/>
  <c r="G17" i="13"/>
  <c r="G16" i="13"/>
  <c r="B17" i="13"/>
  <c r="B16" i="13"/>
  <c r="D17" i="13"/>
  <c r="D16" i="13"/>
  <c r="F17" i="13"/>
  <c r="F16" i="13"/>
  <c r="E17" i="13"/>
  <c r="F10" i="13"/>
  <c r="F11" i="13"/>
  <c r="F12" i="13"/>
  <c r="F9" i="13"/>
  <c r="F8" i="13"/>
  <c r="F6" i="13"/>
  <c r="F7" i="13"/>
  <c r="F5" i="13"/>
  <c r="AA15" i="20"/>
  <c r="AM15" i="20" s="1"/>
  <c r="AM6" i="20"/>
  <c r="E8" i="20"/>
  <c r="E9" i="20"/>
  <c r="G9" i="20" s="1"/>
  <c r="E10" i="20"/>
  <c r="G10" i="20" s="1"/>
  <c r="E7" i="20"/>
  <c r="G7" i="20" s="1"/>
  <c r="B18" i="11"/>
  <c r="B17" i="11"/>
  <c r="D14" i="11"/>
  <c r="E17" i="11"/>
  <c r="E16" i="11"/>
  <c r="E15" i="11"/>
  <c r="E14" i="11"/>
  <c r="D15" i="11"/>
  <c r="B4" i="11"/>
  <c r="B5" i="11"/>
  <c r="B6" i="11"/>
  <c r="B7" i="11"/>
  <c r="B8" i="11"/>
  <c r="B9" i="11"/>
  <c r="B10" i="11"/>
  <c r="B11" i="11"/>
  <c r="B12" i="11"/>
  <c r="B13" i="11"/>
  <c r="B14" i="11"/>
  <c r="B15" i="11"/>
  <c r="B16" i="11"/>
  <c r="C17" i="11"/>
  <c r="C16" i="11"/>
  <c r="C15" i="11"/>
  <c r="C14" i="11"/>
  <c r="C12" i="11"/>
  <c r="C13" i="11"/>
  <c r="C11" i="11"/>
  <c r="C10" i="11"/>
  <c r="C9" i="11"/>
  <c r="C8" i="11"/>
  <c r="C7" i="11"/>
  <c r="C6" i="11"/>
  <c r="B13" i="7"/>
  <c r="B5" i="7"/>
  <c r="B6" i="7"/>
  <c r="B7" i="7"/>
  <c r="B8" i="7"/>
  <c r="B9" i="7"/>
  <c r="B10" i="7"/>
  <c r="B11" i="7"/>
  <c r="B12" i="7"/>
  <c r="B4" i="7"/>
  <c r="C18" i="7"/>
  <c r="C15" i="7"/>
  <c r="C16" i="7"/>
  <c r="C17" i="7"/>
  <c r="C14" i="7"/>
  <c r="C13" i="7"/>
  <c r="C5" i="7"/>
  <c r="C6" i="7"/>
  <c r="C7" i="7"/>
  <c r="C8" i="7"/>
  <c r="C9" i="7"/>
  <c r="C10" i="7"/>
  <c r="C11" i="7"/>
  <c r="C12" i="7"/>
  <c r="C4" i="7"/>
  <c r="C5" i="11"/>
  <c r="C4" i="11"/>
  <c r="F16" i="10"/>
  <c r="D10" i="10" s="1"/>
  <c r="J10" i="10" s="1"/>
  <c r="G14" i="11"/>
  <c r="G15" i="11"/>
  <c r="F15" i="11"/>
  <c r="F14" i="11"/>
  <c r="F13" i="11"/>
  <c r="F12" i="11"/>
  <c r="F11" i="11"/>
  <c r="F10" i="11"/>
  <c r="F9" i="11"/>
  <c r="F8" i="11"/>
  <c r="F7" i="11"/>
  <c r="F6" i="11"/>
  <c r="F5" i="11"/>
  <c r="F4" i="11"/>
  <c r="E10" i="10" l="1"/>
  <c r="D18" i="11"/>
  <c r="M18" i="11" s="1"/>
  <c r="F10" i="10"/>
  <c r="F18" i="11" s="1"/>
  <c r="I10" i="10"/>
  <c r="G10" i="10"/>
  <c r="G18" i="11" s="1"/>
  <c r="L18" i="11" s="1"/>
  <c r="H10" i="10"/>
  <c r="I7" i="20"/>
  <c r="E15" i="17"/>
  <c r="C15" i="17"/>
  <c r="G17" i="17"/>
  <c r="G8" i="20"/>
  <c r="C6" i="3"/>
  <c r="C11" i="3"/>
  <c r="C5" i="3"/>
  <c r="C7" i="3"/>
  <c r="Q12" i="12"/>
  <c r="C8" i="3"/>
  <c r="C12" i="3"/>
  <c r="C9" i="3"/>
  <c r="C10" i="3"/>
  <c r="C4" i="3"/>
  <c r="N6" i="12"/>
  <c r="N9" i="12"/>
  <c r="B7" i="3"/>
  <c r="B6" i="3"/>
  <c r="C18" i="11"/>
  <c r="Q13" i="12" l="1"/>
  <c r="Q14" i="12" s="1"/>
  <c r="P9" i="12"/>
  <c r="N10" i="12"/>
  <c r="P10" i="12" s="1"/>
  <c r="P6" i="12"/>
  <c r="N5" i="12"/>
  <c r="P5" i="12" s="1"/>
  <c r="T17" i="7"/>
  <c r="B17" i="7"/>
  <c r="D17" i="7"/>
  <c r="M17" i="7" s="1"/>
  <c r="P17" i="7" s="1"/>
  <c r="E17" i="7"/>
  <c r="N17" i="7" s="1"/>
  <c r="O17" i="7" s="1"/>
  <c r="D16" i="7"/>
  <c r="M16" i="7" s="1"/>
  <c r="B16" i="7"/>
  <c r="F10" i="7"/>
  <c r="T10" i="7" s="1"/>
  <c r="U10" i="7" s="1"/>
  <c r="F11" i="7"/>
  <c r="T11" i="7" s="1"/>
  <c r="U11" i="7" s="1"/>
  <c r="F12" i="7"/>
  <c r="T12" i="7" s="1"/>
  <c r="U12" i="7" s="1"/>
  <c r="F6" i="7"/>
  <c r="T6" i="7" s="1"/>
  <c r="U6" i="7" s="1"/>
  <c r="F7" i="7"/>
  <c r="T7" i="7" s="1"/>
  <c r="U7" i="7" s="1"/>
  <c r="F8" i="7"/>
  <c r="T8" i="7" s="1"/>
  <c r="U8" i="7" s="1"/>
  <c r="F9" i="7"/>
  <c r="T9" i="7" s="1"/>
  <c r="F5" i="7"/>
  <c r="T5" i="7" s="1"/>
  <c r="U5" i="7" s="1"/>
  <c r="E18" i="11"/>
  <c r="B14" i="7"/>
  <c r="O11" i="12"/>
  <c r="P11" i="12"/>
  <c r="O12" i="12"/>
  <c r="P12" i="12"/>
  <c r="O13" i="12"/>
  <c r="P13" i="12"/>
  <c r="O14" i="12"/>
  <c r="E14" i="3" s="1"/>
  <c r="P14" i="12"/>
  <c r="O15" i="12"/>
  <c r="E15" i="3" s="1"/>
  <c r="P15" i="12"/>
  <c r="O16" i="12"/>
  <c r="E16" i="3" s="1"/>
  <c r="P16" i="12"/>
  <c r="D16" i="3" s="1"/>
  <c r="O17" i="12"/>
  <c r="E17" i="3" s="1"/>
  <c r="P17" i="12"/>
  <c r="D17" i="3" s="1"/>
  <c r="O18" i="12"/>
  <c r="E18" i="3" s="1"/>
  <c r="P18" i="12"/>
  <c r="D18" i="3" s="1"/>
  <c r="O8" i="12"/>
  <c r="B18" i="3"/>
  <c r="J7" i="20" l="1"/>
  <c r="K7" i="20" s="1"/>
  <c r="L7" i="20" s="1"/>
  <c r="N18" i="11"/>
  <c r="J9" i="20"/>
  <c r="F13" i="3"/>
  <c r="Q15" i="12"/>
  <c r="C14" i="3"/>
  <c r="C13" i="3"/>
  <c r="D15" i="3"/>
  <c r="D14" i="3"/>
  <c r="G14" i="17"/>
  <c r="G14" i="3"/>
  <c r="O18" i="11" l="1"/>
  <c r="Q17" i="11"/>
  <c r="P18" i="11"/>
  <c r="K9" i="20"/>
  <c r="L9" i="20" s="1"/>
  <c r="Q16" i="12"/>
  <c r="C15" i="3" s="1"/>
  <c r="B15" i="3"/>
  <c r="B14" i="3"/>
  <c r="G14" i="13"/>
  <c r="E18" i="13"/>
  <c r="E15" i="13"/>
  <c r="E16" i="13"/>
  <c r="E14" i="13"/>
  <c r="D18" i="13"/>
  <c r="D15" i="13"/>
  <c r="D14" i="13"/>
  <c r="B18" i="13"/>
  <c r="B15" i="13"/>
  <c r="B14" i="13"/>
  <c r="M14" i="7"/>
  <c r="D15" i="7"/>
  <c r="M15" i="7" s="1"/>
  <c r="D18" i="7"/>
  <c r="M18" i="7" s="1"/>
  <c r="T14" i="7"/>
  <c r="E14" i="7"/>
  <c r="N14" i="7" s="1"/>
  <c r="O14" i="7" s="1"/>
  <c r="E15" i="7"/>
  <c r="N15" i="7" s="1"/>
  <c r="O15" i="7" s="1"/>
  <c r="B15" i="7"/>
  <c r="B18" i="7"/>
  <c r="E16" i="7"/>
  <c r="N16" i="7" s="1"/>
  <c r="E18" i="7"/>
  <c r="N18" i="7" s="1"/>
  <c r="S17" i="11" l="1"/>
  <c r="R17" i="11"/>
  <c r="U17" i="11" s="1"/>
  <c r="V17" i="11" s="1"/>
  <c r="S18" i="11"/>
  <c r="R18" i="11"/>
  <c r="U18" i="11" s="1"/>
  <c r="V18" i="11" s="1"/>
  <c r="O16" i="7"/>
  <c r="P16" i="7"/>
  <c r="Q16" i="7" s="1"/>
  <c r="O18" i="7"/>
  <c r="Q17" i="7"/>
  <c r="S17" i="7" s="1"/>
  <c r="P15" i="7"/>
  <c r="Q15" i="7" s="1"/>
  <c r="S15" i="7" s="1"/>
  <c r="P14" i="7"/>
  <c r="Q14" i="7" s="1"/>
  <c r="S14" i="7" s="1"/>
  <c r="J8" i="20"/>
  <c r="J6" i="20"/>
  <c r="Q17" i="12"/>
  <c r="C16" i="3" s="1"/>
  <c r="K10" i="20"/>
  <c r="L10" i="20" s="1"/>
  <c r="S19" i="3"/>
  <c r="S18" i="7" l="1"/>
  <c r="R18" i="7"/>
  <c r="V19" i="11"/>
  <c r="T22" i="11" s="1"/>
  <c r="S19" i="11"/>
  <c r="R14" i="7"/>
  <c r="U14" i="7" s="1"/>
  <c r="V14" i="7" s="1"/>
  <c r="R16" i="7"/>
  <c r="U16" i="7" s="1"/>
  <c r="S16" i="7"/>
  <c r="K8" i="20"/>
  <c r="L8" i="20" s="1"/>
  <c r="K6" i="20"/>
  <c r="L6" i="20" s="1"/>
  <c r="S19" i="13"/>
  <c r="Q18" i="12"/>
  <c r="C18" i="3" s="1"/>
  <c r="R15" i="7"/>
  <c r="U15" i="7" s="1"/>
  <c r="V15" i="7" s="1"/>
  <c r="R17" i="7"/>
  <c r="U17" i="7" s="1"/>
  <c r="V17" i="7" s="1"/>
  <c r="G15" i="17"/>
  <c r="F18" i="17"/>
  <c r="F14" i="17"/>
  <c r="F15" i="17"/>
  <c r="F13" i="17"/>
  <c r="F6" i="17"/>
  <c r="G18" i="17" l="1"/>
  <c r="C17" i="3"/>
  <c r="S19" i="7"/>
  <c r="F18" i="7"/>
  <c r="G15" i="3"/>
  <c r="G15" i="13"/>
  <c r="G18" i="3"/>
  <c r="G16" i="3"/>
  <c r="F18" i="3"/>
  <c r="F16" i="3"/>
  <c r="F15" i="3"/>
  <c r="F14" i="3"/>
  <c r="F18" i="13"/>
  <c r="F13" i="13"/>
  <c r="F15" i="13"/>
  <c r="F14" i="13"/>
  <c r="F13" i="7"/>
  <c r="U18" i="7" l="1"/>
  <c r="V18" i="7" s="1"/>
  <c r="S19" i="17"/>
  <c r="T16" i="7"/>
  <c r="V16" i="7" s="1"/>
  <c r="T13" i="7"/>
  <c r="U13" i="7" s="1"/>
  <c r="U9" i="7"/>
  <c r="V19" i="3" l="1"/>
  <c r="T22" i="3" s="1"/>
  <c r="V19" i="13"/>
  <c r="T22" i="13" s="1"/>
  <c r="V19" i="17"/>
  <c r="T22" i="17" s="1"/>
  <c r="V19" i="7" l="1"/>
  <c r="T22" i="7" s="1"/>
</calcChain>
</file>

<file path=xl/sharedStrings.xml><?xml version="1.0" encoding="utf-8"?>
<sst xmlns="http://schemas.openxmlformats.org/spreadsheetml/2006/main" count="724" uniqueCount="340">
  <si>
    <t>P10-20</t>
  </si>
  <si>
    <t>P20-30</t>
  </si>
  <si>
    <t>P30-40</t>
  </si>
  <si>
    <t>P40-50</t>
  </si>
  <si>
    <t>P50-60</t>
  </si>
  <si>
    <t>P60-70</t>
  </si>
  <si>
    <t>P70-80</t>
  </si>
  <si>
    <t>P80-90</t>
  </si>
  <si>
    <t>P90-95</t>
  </si>
  <si>
    <t>P95-99</t>
  </si>
  <si>
    <t>P99-99.9</t>
  </si>
  <si>
    <t>p</t>
  </si>
  <si>
    <t>Total tax rates by pre-tax income groups (% of pre-tax income)</t>
  </si>
  <si>
    <t>Group</t>
  </si>
  <si>
    <t>P99.99-P99.999</t>
  </si>
  <si>
    <t>P99.999-P99.9999</t>
  </si>
  <si>
    <t>Percentile</t>
  </si>
  <si>
    <t>Payroll Taxes</t>
  </si>
  <si>
    <t>Consumption Taxes</t>
  </si>
  <si>
    <t>Corporate Income Tax</t>
  </si>
  <si>
    <t>Total Tax Rate</t>
  </si>
  <si>
    <t>Taxes on Personal Income &amp; Wealth</t>
  </si>
  <si>
    <t>Income threshold</t>
  </si>
  <si>
    <t>Average income</t>
  </si>
  <si>
    <t>P0-P10</t>
  </si>
  <si>
    <t>P10-P20</t>
  </si>
  <si>
    <t>P20-P30</t>
  </si>
  <si>
    <t>P30-P40</t>
  </si>
  <si>
    <t>P40-P50</t>
  </si>
  <si>
    <t>P50-P60</t>
  </si>
  <si>
    <t>P60-P70</t>
  </si>
  <si>
    <t>P70-P80</t>
  </si>
  <si>
    <t>P80-P90</t>
  </si>
  <si>
    <t>P90-P99</t>
  </si>
  <si>
    <t>P99-P99.9</t>
  </si>
  <si>
    <t>P99.9-P99.99</t>
  </si>
  <si>
    <t>P99.9999-P100</t>
  </si>
  <si>
    <t>Number of adults</t>
  </si>
  <si>
    <t>Income share (%)</t>
  </si>
  <si>
    <t>Full population</t>
  </si>
  <si>
    <t>Bottom 50%</t>
  </si>
  <si>
    <t>Middle 40%</t>
  </si>
  <si>
    <t>Top 10%</t>
  </si>
  <si>
    <t>Top 1%</t>
  </si>
  <si>
    <t>Top 0.1%</t>
  </si>
  <si>
    <t>Top 0.01%</t>
  </si>
  <si>
    <t>Top 0.001%</t>
  </si>
  <si>
    <t>Top 0.0001%</t>
  </si>
  <si>
    <t>Distribution of pre-tax national income</t>
  </si>
  <si>
    <t>Tax rates by pre-tax income groups (% of pre-tax income)</t>
  </si>
  <si>
    <t>Personal Income Tax</t>
  </si>
  <si>
    <t>Wealth Tax</t>
  </si>
  <si>
    <t>SSCs</t>
  </si>
  <si>
    <t>Flat-rate withholding tax</t>
  </si>
  <si>
    <t>CIT</t>
  </si>
  <si>
    <t>CIT (foreing)</t>
  </si>
  <si>
    <t>CIT (domestic)</t>
  </si>
  <si>
    <t>Total</t>
  </si>
  <si>
    <t>Indirect taxes</t>
  </si>
  <si>
    <t>Capital taxes</t>
  </si>
  <si>
    <t>Personal Income Taxes</t>
  </si>
  <si>
    <t>Flat Income Taxes</t>
  </si>
  <si>
    <t>P99</t>
  </si>
  <si>
    <t>Total tax rate</t>
  </si>
  <si>
    <t>Individual tax rate</t>
  </si>
  <si>
    <t>N</t>
  </si>
  <si>
    <t>Threshold</t>
  </si>
  <si>
    <t>Rate</t>
  </si>
  <si>
    <t>Income / Wealth Ratio</t>
  </si>
  <si>
    <t>Reform Parameters</t>
  </si>
  <si>
    <t>Estate tax</t>
  </si>
  <si>
    <t>Top 0,0002% (top 400)</t>
  </si>
  <si>
    <t xml:space="preserve">Number of tax units </t>
  </si>
  <si>
    <t>Average Income</t>
  </si>
  <si>
    <t>Individual income and payroll taxes</t>
  </si>
  <si>
    <t>Corporate income taxes</t>
  </si>
  <si>
    <t>Other taxes (property, sales</t>
  </si>
  <si>
    <t>P10-P30</t>
  </si>
  <si>
    <t>P90-P95</t>
  </si>
  <si>
    <t>P95-P99</t>
  </si>
  <si>
    <t>SSC</t>
  </si>
  <si>
    <t>Business Income Taxes</t>
  </si>
  <si>
    <t>Property Taxes</t>
  </si>
  <si>
    <t>Other</t>
  </si>
  <si>
    <t>DATA SOURCES</t>
  </si>
  <si>
    <t>P0</t>
  </si>
  <si>
    <t>P10</t>
  </si>
  <si>
    <t>P20</t>
  </si>
  <si>
    <t>P30</t>
  </si>
  <si>
    <t>P40</t>
  </si>
  <si>
    <t>P50</t>
  </si>
  <si>
    <t>P60</t>
  </si>
  <si>
    <t>P70</t>
  </si>
  <si>
    <t>P80</t>
  </si>
  <si>
    <t>P90</t>
  </si>
  <si>
    <t>P95</t>
  </si>
  <si>
    <t>P99.9</t>
  </si>
  <si>
    <t>P99.99</t>
  </si>
  <si>
    <t>P99.999</t>
  </si>
  <si>
    <t>P99.9998</t>
  </si>
  <si>
    <t>Number of households above</t>
  </si>
  <si>
    <t>Mean income above</t>
  </si>
  <si>
    <t>Income share</t>
  </si>
  <si>
    <t>Distribution of pre-tax income</t>
  </si>
  <si>
    <t>Fractile</t>
  </si>
  <si>
    <t>P99.9999</t>
  </si>
  <si>
    <t>Source: Palomo et al. (2025), Figure 10: Effective Tax Rate by Income Groups, All Taxes. The unit of analysis is the individual adult and income is split equally among the adult members of a household. Adults are ranked by their pre-tax national income. Estimates are for year 2019. Values were eyeballed.</t>
  </si>
  <si>
    <t>Source: Bach et al. (2025), Table 1: Income distribution. Data is for year 2016.</t>
  </si>
  <si>
    <t xml:space="preserve">Source: Palomo et al. (2025). See formulas. </t>
  </si>
  <si>
    <t xml:space="preserve">Sources: Bozio et al. (2020) and Bach et al. (2024). See formulas. </t>
  </si>
  <si>
    <t xml:space="preserve">Source: Bruil et al (2025). See formulas. </t>
  </si>
  <si>
    <t xml:space="preserve">METHOD AND ASSUMPTIONS </t>
  </si>
  <si>
    <t xml:space="preserve">The simulations of tax rates and tax revenues rely on: </t>
  </si>
  <si>
    <t xml:space="preserve">See the country-specific sheets for details of the simulation method applied from these data and assumptions. The method is the same for all the countries. </t>
  </si>
  <si>
    <t xml:space="preserve">See Data sources. All the articles follow the same methodology and provide country-specific results in a standardized way. </t>
  </si>
  <si>
    <t>Source: Bozio et al. (2020), Figure 10c, Taxes paid by pre-tax income percentile, France 2016. Equal-split-adults series (income of married couples divided by two). Values were eyeballed.</t>
  </si>
  <si>
    <t>Progressive Income Taxes</t>
  </si>
  <si>
    <t>P99-99.5</t>
  </si>
  <si>
    <t>P99.5-99.9</t>
  </si>
  <si>
    <t>P99.9-100</t>
  </si>
  <si>
    <t>Antoine Bozio, Bertrand Garbinti, Jonathan Goupille-Lebret, Malka Guillot, Thomas Piketty (2020). Predistribution vs. Redistribution: Evidence from France and the U.S.</t>
  </si>
  <si>
    <t>Laurent Bach, Antoine Bozio, Arthur Guillouzouic, Clément Malgouyres (2025). Do Billionaires Pay Taxes?</t>
  </si>
  <si>
    <t>Theo Palomo, Davi Bhering, Thiago Scot, Pierre Bachas, Luciana Barcarolo, Celso Campos, Javier Feinmann, Leonardo Moreira, Gabriel Zucman (2025). Tax Progressivity and Inequality in Brazil: Evidence from Integrated Administrative Data.</t>
  </si>
  <si>
    <t>Arjan Bruil, Céline van Essen, Wouter Leenders, Arjan Lejour, Jan Möhlmann, Simon Rabaté (2025). Inequality and Redistribution in the Netherlands</t>
  </si>
  <si>
    <t>Income group</t>
  </si>
  <si>
    <t>Population</t>
  </si>
  <si>
    <t>P 0–25</t>
  </si>
  <si>
    <t>P 25–50</t>
  </si>
  <si>
    <t>P 50–60</t>
  </si>
  <si>
    <t>P 60–70</t>
  </si>
  <si>
    <t>P 70–80</t>
  </si>
  <si>
    <t>P 80–90</t>
  </si>
  <si>
    <t>Top 5%</t>
  </si>
  <si>
    <t>Source: Bruil et al. (2025), Figure 6: The effective tax rate by tax type. The unit of analysis is the individual adult and income is split equally among the adult members of a household. Adults are ranked by their pre-tax national income. Estimates are for year 2016. Values were eyeballed.</t>
  </si>
  <si>
    <t>Source: Bruil et al. (2025), Table 2: The distribution of pre and post-tax income in 2016. The unit of analysis is the adult (20+ years old) and income is split among all adult members of a household equally. Income groups are defined in terms of all adults in the population, with adults ranked according to pre-tax national income. Values were eyeballed.</t>
  </si>
  <si>
    <t>Source: Guzzardi et al. (2024), Table 4, Pre-tax National Income thresholds, averages, and shares in 2015, 18 years or older.</t>
  </si>
  <si>
    <t>P25-50</t>
  </si>
  <si>
    <t>P90-99</t>
  </si>
  <si>
    <t>Personal taxes</t>
  </si>
  <si>
    <t>Total taxes</t>
  </si>
  <si>
    <t xml:space="preserve">Source: Guzzardi et al. (2024) Figure 11, Tax rate by income percentiles, 2015 and Figure 12, Tax rate by top income percentiles, 2015. Values were eyeballed. </t>
  </si>
  <si>
    <t>Berlusconi</t>
  </si>
  <si>
    <t>The estimate for Berlusconi's tax rate is for year 2020.</t>
  </si>
  <si>
    <t>Assumptions</t>
  </si>
  <si>
    <t>Tax rate under reform</t>
  </si>
  <si>
    <t>Current tax rate</t>
  </si>
  <si>
    <t xml:space="preserve">Source: Palomo et al. (2025), Table A1: Descriptive Statistics of Fiscal and Economic Income. Data is for year 2019. </t>
  </si>
  <si>
    <r>
      <t xml:space="preserve">Data </t>
    </r>
    <r>
      <rPr>
        <sz val="11"/>
        <color theme="1"/>
        <rFont val="Calibri"/>
        <family val="2"/>
        <scheme val="minor"/>
      </rPr>
      <t>(2019)</t>
    </r>
  </si>
  <si>
    <r>
      <t>Simulations</t>
    </r>
    <r>
      <rPr>
        <sz val="11"/>
        <color theme="1"/>
        <rFont val="Calibri"/>
        <family val="2"/>
        <scheme val="minor"/>
      </rPr>
      <t xml:space="preserve"> (2025)</t>
    </r>
  </si>
  <si>
    <r>
      <t xml:space="preserve">Simulations </t>
    </r>
    <r>
      <rPr>
        <sz val="11"/>
        <color theme="1"/>
        <rFont val="Calibri"/>
        <family val="2"/>
        <scheme val="minor"/>
      </rPr>
      <t>(2025)</t>
    </r>
  </si>
  <si>
    <r>
      <t xml:space="preserve">Data </t>
    </r>
    <r>
      <rPr>
        <sz val="11"/>
        <color theme="1"/>
        <rFont val="Calibri"/>
        <family val="2"/>
        <scheme val="minor"/>
      </rPr>
      <t>(2016)</t>
    </r>
  </si>
  <si>
    <r>
      <t>Data</t>
    </r>
    <r>
      <rPr>
        <sz val="11"/>
        <color theme="1"/>
        <rFont val="Calibri"/>
        <family val="2"/>
        <scheme val="minor"/>
      </rPr>
      <t xml:space="preserve"> (2016)</t>
    </r>
  </si>
  <si>
    <r>
      <t xml:space="preserve">Data </t>
    </r>
    <r>
      <rPr>
        <sz val="11"/>
        <color theme="1"/>
        <rFont val="Calibri"/>
        <family val="2"/>
        <scheme val="minor"/>
      </rPr>
      <t>(2015)</t>
    </r>
  </si>
  <si>
    <t>Notes: The tax rate estimate for billionaires comes from one single observation (Silvio Berlusconi in 2020)</t>
  </si>
  <si>
    <t>Note: Tax rates in Bach et al. (2025) are corrected for incorporating indirect taxes.</t>
  </si>
  <si>
    <t>Share of wealth exposed</t>
  </si>
  <si>
    <t xml:space="preserve">Note: For computing income threshold for the billionnaires group, </t>
  </si>
  <si>
    <t>we apply the Pareto coefficient b = 3,44 provided in Saez &amp; Zucman (2020).</t>
  </si>
  <si>
    <t xml:space="preserve">See SaezZucman2020JEPData.xlsx, sheet DataF1(Forbes). </t>
  </si>
  <si>
    <t>Demetrio Guzzardi, Elisa Palagi, Andrea Roventini, Alessandro Santoro (2024). Reconstructing Income Inequality in Italy: New Evidence and Tax System Implications from Distributional National Accounts.</t>
  </si>
  <si>
    <t>This assumption allows a flexible choice of wealth threshold for the simulated wealth tax.</t>
  </si>
  <si>
    <t>Italy</t>
  </si>
  <si>
    <t>Brazil</t>
  </si>
  <si>
    <t>France</t>
  </si>
  <si>
    <t>Netherlands</t>
  </si>
  <si>
    <t>Country</t>
  </si>
  <si>
    <t>US</t>
  </si>
  <si>
    <t>Income to wealth ratio</t>
  </si>
  <si>
    <t>Income threshold (R$)</t>
  </si>
  <si>
    <t>Mean income above (R$)</t>
  </si>
  <si>
    <t>Gperc</t>
  </si>
  <si>
    <t xml:space="preserve">This assumption is necessary for computing the wealth tax liabilities from the income data. </t>
  </si>
  <si>
    <t xml:space="preserve">For the purpose of the simulations, we extrapolate these ratios to the other countries. </t>
  </si>
  <si>
    <r>
      <rPr>
        <b/>
        <sz val="11"/>
        <color theme="1"/>
        <rFont val="Calibri"/>
        <family val="2"/>
        <scheme val="minor"/>
      </rPr>
      <t>(a)</t>
    </r>
    <r>
      <rPr>
        <sz val="11"/>
        <color theme="1"/>
        <rFont val="Calibri"/>
        <family val="2"/>
        <scheme val="minor"/>
      </rPr>
      <t xml:space="preserve"> The income to wealth ratio within each group. </t>
    </r>
  </si>
  <si>
    <r>
      <rPr>
        <b/>
        <sz val="11"/>
        <color theme="1"/>
        <rFont val="Calibri"/>
        <family val="2"/>
        <scheme val="minor"/>
      </rPr>
      <t xml:space="preserve">(b) </t>
    </r>
    <r>
      <rPr>
        <sz val="11"/>
        <color theme="1"/>
        <rFont val="Calibri"/>
        <family val="2"/>
        <scheme val="minor"/>
      </rPr>
      <t>The distribution of wealth/income within each income group.</t>
    </r>
  </si>
  <si>
    <t>US DINA files (PSZ 2018) for year 2021 show a ratio of 13% for the top1%, 12% for the top 0.1% and 9% for the top 0.01%. See 'Income to wealth ratios' sheet.</t>
  </si>
  <si>
    <t xml:space="preserve">The only country for which there exist reliable estimates of income to wealth ratios at the very top of the income distribution is the US. </t>
  </si>
  <si>
    <t>ONLINE SIMULATIONS</t>
  </si>
  <si>
    <t xml:space="preserve">For each country and each income group, the 'Data' and 'Assumptions' values are provided as input to the simulations. </t>
  </si>
  <si>
    <t xml:space="preserve">The online simulator exactly replicates the simulation method implemented in this Excel file. </t>
  </si>
  <si>
    <t xml:space="preserve">The website then replicates the calculations implemented in the 'Simulations' columns, depending on the reform parameters chosen by the user. </t>
  </si>
  <si>
    <t>For any comment or suggestion, please contact Léonard Mouillet (EU Tax Observatory) : leonard.mouillet@psemail.eu</t>
  </si>
  <si>
    <t>CONTACT INFORMATION</t>
  </si>
  <si>
    <t xml:space="preserve">The present Excel file implements simulations of the effect of a minimum wealth tax on the progressivity of the tax system and on fiscal revenues, for different countries. </t>
  </si>
  <si>
    <r>
      <rPr>
        <b/>
        <sz val="11"/>
        <color theme="1"/>
        <rFont val="Calibri"/>
        <family val="2"/>
        <scheme val="minor"/>
      </rPr>
      <t xml:space="preserve">(i) </t>
    </r>
    <r>
      <rPr>
        <sz val="11"/>
        <color theme="1"/>
        <rFont val="Calibri"/>
        <family val="2"/>
        <scheme val="minor"/>
      </rPr>
      <t>Some data tabulations describing the distribution of pre-tax income and tax rate by pre-tax income group.</t>
    </r>
  </si>
  <si>
    <r>
      <rPr>
        <b/>
        <sz val="11"/>
        <color theme="1"/>
        <rFont val="Calibri"/>
        <family val="2"/>
        <scheme val="minor"/>
      </rPr>
      <t xml:space="preserve">(ii) </t>
    </r>
    <r>
      <rPr>
        <sz val="11"/>
        <color theme="1"/>
        <rFont val="Calibri"/>
        <family val="2"/>
        <scheme val="minor"/>
      </rPr>
      <t>Some assumptions regarding the link between wealth distribution and income distribution. Specifically, we make assumptions about:</t>
    </r>
  </si>
  <si>
    <t>p99.999p100</t>
  </si>
  <si>
    <t>p99.99p99.999</t>
  </si>
  <si>
    <t>p99.9p99.99</t>
  </si>
  <si>
    <t>p99p99.9</t>
  </si>
  <si>
    <t xml:space="preserve"> France</t>
  </si>
  <si>
    <t>Average pre-tax income within percentile group</t>
  </si>
  <si>
    <t xml:space="preserve">This assumption is necessary for ageing the values of income by group from the year they are based on to 2025, in order to compute fiscal revenues for year 2025. </t>
  </si>
  <si>
    <t xml:space="preserve">See 'WID' sheet and wid.world. </t>
  </si>
  <si>
    <r>
      <rPr>
        <b/>
        <sz val="11"/>
        <color theme="1"/>
        <rFont val="Calibri"/>
        <family val="2"/>
        <scheme val="minor"/>
      </rPr>
      <t xml:space="preserve">(iii) </t>
    </r>
    <r>
      <rPr>
        <sz val="11"/>
        <color theme="1"/>
        <rFont val="Calibri"/>
        <family val="2"/>
        <scheme val="minor"/>
      </rPr>
      <t xml:space="preserve">Some assumptions on the nominal income growth rate by income group. </t>
    </r>
  </si>
  <si>
    <t>We use nominal income growth rates by income group and by country from the World Inequality Database.</t>
  </si>
  <si>
    <t>Number of units exposed</t>
  </si>
  <si>
    <t>Number of units</t>
  </si>
  <si>
    <t>Patero coefficient alpha</t>
  </si>
  <si>
    <t>Corrected  alpha</t>
  </si>
  <si>
    <t>Wealth threshold</t>
  </si>
  <si>
    <t>Extra fiscal revenues</t>
  </si>
  <si>
    <t>gperc</t>
  </si>
  <si>
    <t>nb</t>
  </si>
  <si>
    <t>thres</t>
  </si>
  <si>
    <t>sh</t>
  </si>
  <si>
    <t>avg</t>
  </si>
  <si>
    <t>tax</t>
  </si>
  <si>
    <t>effrate</t>
  </si>
  <si>
    <t>salestax</t>
  </si>
  <si>
    <t>proptax</t>
  </si>
  <si>
    <t>govcontrib</t>
  </si>
  <si>
    <t>ditax</t>
  </si>
  <si>
    <t>corptax</t>
  </si>
  <si>
    <t>estatetax</t>
  </si>
  <si>
    <t>P99.999-Billionaires</t>
  </si>
  <si>
    <t xml:space="preserve">Akcan S. Balkir, Emmanuel Saez, Danny Yagan, Gabriel Zucman (2025). How Much Tax Do US Billionaires Pay? Evidence From Administrative Data. </t>
  </si>
  <si>
    <t>Billionaires</t>
  </si>
  <si>
    <t>Top 0,00005% (top 100)</t>
  </si>
  <si>
    <t>Next 0,00015% (next 300)</t>
  </si>
  <si>
    <t>Including pure capital gains</t>
  </si>
  <si>
    <t>Total realized capital gains included in economic income of the top 0,0002%</t>
  </si>
  <si>
    <t>Excluding pure capital gains</t>
  </si>
  <si>
    <t xml:space="preserve">Sources: US DINA files for 2021 (PSZ, 2018) and Balkir et al. (2025). See formulas. </t>
  </si>
  <si>
    <t>Source: Piketty, Saez, Zucman (2018). US DINA files for year 2019. See https://gabriel-zucman.eu/usdina/</t>
  </si>
  <si>
    <t xml:space="preserve">Note: Unit of observation is tax unit. Income variable is 'peinc' (no capital gain included). </t>
  </si>
  <si>
    <t xml:space="preserve">we use the shares observed in France. </t>
  </si>
  <si>
    <t>Note: For dissagregating income shares within the bottom 50% and the middle 40%,</t>
  </si>
  <si>
    <t xml:space="preserve">Data reported in the paper was completed with additional data provided by the authors (values in light grey). </t>
  </si>
  <si>
    <t>Notes: R$ values are converted to USD values using the end-of-year market exchange rate of USD 1 = R$ 4.03 for 2019</t>
  </si>
  <si>
    <t xml:space="preserve">Tax rate estimates for P99.99-P99.999 and for P99.999-Billionnaires are linearly interpolated. </t>
  </si>
  <si>
    <t xml:space="preserve">Individual tax rates for the top three income groups are calculated by extrapolating the individual tax rate to total tax rate ratio observed for P99.99-P100. </t>
  </si>
  <si>
    <t>Source: Bach et al. (2025), Figure 6, Effective tax rates as a share of comprehensive income. Tax household level. Data is for year 2016.</t>
  </si>
  <si>
    <t xml:space="preserve">Income shares are from WID.world (ptinc992j, 2016). They are included for more precise tax rates aggregation. </t>
  </si>
  <si>
    <t>Summary of revenu estimates</t>
  </si>
  <si>
    <t>2% rate</t>
  </si>
  <si>
    <t>3% rate</t>
  </si>
  <si>
    <t>Centi-millionaires</t>
  </si>
  <si>
    <t>United States</t>
  </si>
  <si>
    <t xml:space="preserve">Thomas Piketty, Emmanuel Saez, Gabriel Zucman (2018). Distributional National Accounts: Methods and Estimates for the United States. </t>
  </si>
  <si>
    <t xml:space="preserve">The file contains one sheet per data sources, containing the data which is used as input to the simulations. Specifically, we use the following studies on income distribution and tax prgressivity in different countries: </t>
  </si>
  <si>
    <t>Average wealth</t>
  </si>
  <si>
    <t>Observed ratios in joint distribution of income and wealth</t>
  </si>
  <si>
    <t xml:space="preserve">Sources: Joint distribution of income and wealth is from US DINA files (PSZ 2018, https://gabriel-zucman.eu/usdina/). Income and wealth distributions are from WID (wid.world). </t>
  </si>
  <si>
    <t>Correction factor</t>
  </si>
  <si>
    <t>CORRECTION FACTOR CALIBRATION ON US DATA</t>
  </si>
  <si>
    <t>Reconstructed ratios from superposition of income and wealth distribution</t>
  </si>
  <si>
    <t>LIST OF DATA SOURCES</t>
  </si>
  <si>
    <r>
      <t xml:space="preserve">Conservative correction factor assumption </t>
    </r>
    <r>
      <rPr>
        <sz val="10"/>
        <color theme="1"/>
        <rFont val="Calibri"/>
        <family val="2"/>
        <scheme val="minor"/>
      </rPr>
      <t>(applied to all countries)</t>
    </r>
  </si>
  <si>
    <t>Corrected ratio</t>
  </si>
  <si>
    <t>Raw ratio</t>
  </si>
  <si>
    <t>FRANCE</t>
  </si>
  <si>
    <t xml:space="preserve">Sources: Income and wealth distributions are from WID (wid.world). </t>
  </si>
  <si>
    <t>NETHERLANDS</t>
  </si>
  <si>
    <t>BRAZIL</t>
  </si>
  <si>
    <t>ITALY</t>
  </si>
  <si>
    <t>P99.999-P100</t>
  </si>
  <si>
    <t xml:space="preserve">Notes: Data is for year 2024 (last year available). Unit of observation is individual. Income variable is pre-tax national income ('ptinc'). Amounts are expressed in constant local currency. </t>
  </si>
  <si>
    <t>Notes: Unit of observation is individual. Income variable is 'peinc' in US DINA files (PSZ 2018) and 'ptinc' in WID.</t>
  </si>
  <si>
    <t>Billionaires List</t>
  </si>
  <si>
    <t>Total wealth (€B)</t>
  </si>
  <si>
    <t>Total wealth ($B)</t>
  </si>
  <si>
    <t>Pareto coefficient b</t>
  </si>
  <si>
    <t>Top income group</t>
  </si>
  <si>
    <t>Number of units (N)</t>
  </si>
  <si>
    <t>RATIO ESTIMATIONS FROM INCOME AND WEALTH DISTRIBUTIONS</t>
  </si>
  <si>
    <t>Average income of N top units</t>
  </si>
  <si>
    <t>Estimated ratio</t>
  </si>
  <si>
    <t>Average wealth ($B)</t>
  </si>
  <si>
    <r>
      <t>Average wealth (</t>
    </r>
    <r>
      <rPr>
        <sz val="11"/>
        <color rgb="FF000000"/>
        <rFont val="Calibri"/>
        <family val="2"/>
      </rPr>
      <t>€</t>
    </r>
    <r>
      <rPr>
        <sz val="11"/>
        <color rgb="FF000000"/>
        <rFont val="Calibri"/>
        <family val="2"/>
        <scheme val="minor"/>
      </rPr>
      <t>B)</t>
    </r>
  </si>
  <si>
    <t>p99p99.1</t>
  </si>
  <si>
    <t>p99.9p99.91</t>
  </si>
  <si>
    <t>p99.99p99.991</t>
  </si>
  <si>
    <t>Sources: Guzzardi et al. (2024). See formulas.</t>
  </si>
  <si>
    <t xml:space="preserve">For dissagregating income shares within the bottom 50%, we apply the incomes shares observed in France (Bach et al., 2025). </t>
  </si>
  <si>
    <t xml:space="preserve">For dissagregating income values within the top 0.1%, we assume a Pareto distribution. </t>
  </si>
  <si>
    <t>(Pareto coefficient used in the simulations for dissagregating the top 0,1%)</t>
  </si>
  <si>
    <t>Billionaires income to wealth ratio estimations from Billionaire List wealth and income distributions</t>
  </si>
  <si>
    <t xml:space="preserve">Notes: Since the number of units differ between Forbes lists and the top income group from the studies, we cannot immediately divide average income by average income from both sides. </t>
  </si>
  <si>
    <t>Sources:  Real-Time Billionaire data from Forbes, retrieved on December 1, 2025. Billionnaire data for France comes from the 2024 ranking by Challenges.</t>
  </si>
  <si>
    <t xml:space="preserve">Income data comes from the country specific studies (see formulas). </t>
  </si>
  <si>
    <t xml:space="preserve">We therefore use a calibrated Pareto coefficient in order to correct the average income of the top group and to make it coincide with the average income of the top N units, </t>
  </si>
  <si>
    <t xml:space="preserve">where N is the number of units in the Forbes list. </t>
  </si>
  <si>
    <t>We assume that units in the Forbes list are equivalent to households, in the sense of either couples or single individuals. This is already the unit of observation used for France and the US.</t>
  </si>
  <si>
    <t>Household multiplier</t>
  </si>
  <si>
    <t xml:space="preserve">We apply a household multiplier to Netherlands, Brazil and Italy income data, so as to make the unit of observation somehow coincide with the Forbes list. </t>
  </si>
  <si>
    <t xml:space="preserve">This method closely reproduces the reference estimate of 4,9% for the US. </t>
  </si>
  <si>
    <t xml:space="preserve">Based on this table and on the initial benchmark of 4,9% (US estimate), we retain the following assumptions for the simulations : </t>
  </si>
  <si>
    <t xml:space="preserve">Balkir et al (2025) find an income to wealth ratio of 4,9% for the top 400 billionnaires (after excluding pure realized capital gains). </t>
  </si>
  <si>
    <t xml:space="preserve">Income and wealth are assumed to follow a (bounded) Pareto-distribution within each income group, where the Pareto coefficient is estimated from income threshold and average income in the group. </t>
  </si>
  <si>
    <t>We choose not to directly use the income distribution from the WID because the income distribution provided in each country-specific study is more granular (up to the top 0,0001% income group)</t>
  </si>
  <si>
    <t>See 'Income to wealth ratios' sheet.</t>
  </si>
  <si>
    <t xml:space="preserve">Income to wealth ratio is assumed uniform over each income group. </t>
  </si>
  <si>
    <t xml:space="preserve">In all countries, it is taken equal to 9% for the top 0.01%, 12% for the top 0.1% and 13% for the top 1%. </t>
  </si>
  <si>
    <t xml:space="preserve">For billionaires, we use country specific assumptions based on the US benchmark (4,9%), that we adjust according to average wealth reported in Bilionnaires lists. </t>
  </si>
  <si>
    <t xml:space="preserve">Notes:  Amounts are €B for France, Netherlands, Italy, and $B for US and Brazil. </t>
  </si>
  <si>
    <t xml:space="preserve">Previous estimates use Real-Time Billionaire data from Forbes (retrieved on March 3, 2025). </t>
  </si>
  <si>
    <t>They assume a current effective tax rate of billionaires equal to 0.2% (0,6% for the US) of their wealth,</t>
  </si>
  <si>
    <t xml:space="preserve">Current estimates start from country specific estimates of income distribution and tax progressivity for year 2025. </t>
  </si>
  <si>
    <t xml:space="preserve">They apply decreasing income to wealth ratio at the top of the distribution. </t>
  </si>
  <si>
    <r>
      <t>Revenue estimates (</t>
    </r>
    <r>
      <rPr>
        <b/>
        <sz val="11"/>
        <color theme="1"/>
        <rFont val="Calibri"/>
        <family val="2"/>
        <scheme val="minor"/>
      </rPr>
      <t>above</t>
    </r>
    <r>
      <rPr>
        <sz val="11"/>
        <color theme="1"/>
        <rFont val="Calibri"/>
        <family val="2"/>
        <scheme val="minor"/>
      </rPr>
      <t>) for different wealth tax scenarios, and comparison with previous estimates (</t>
    </r>
    <r>
      <rPr>
        <i/>
        <sz val="11"/>
        <color theme="1"/>
        <rFont val="Calibri"/>
        <family val="2"/>
        <scheme val="minor"/>
      </rPr>
      <t>below</t>
    </r>
    <r>
      <rPr>
        <sz val="11"/>
        <color theme="1"/>
        <rFont val="Calibri"/>
        <family val="2"/>
        <scheme val="minor"/>
      </rPr>
      <t>)</t>
    </r>
  </si>
  <si>
    <t>Comments</t>
  </si>
  <si>
    <t xml:space="preserve"> USA</t>
  </si>
  <si>
    <t xml:space="preserve"> Netherlands</t>
  </si>
  <si>
    <t xml:space="preserve"> Italy</t>
  </si>
  <si>
    <t xml:space="preserve"> Brazil</t>
  </si>
  <si>
    <t xml:space="preserve">Percentile </t>
  </si>
  <si>
    <t xml:space="preserve">Country </t>
  </si>
  <si>
    <t xml:space="preserve">Source: Downloaded from wid.world on 05-02-2026 at 11:06:23. </t>
  </si>
  <si>
    <t>Annual nominal growth rate</t>
  </si>
  <si>
    <t>Source: Downloaded from wid.world on 05-02-2026 at 11:39:59</t>
  </si>
  <si>
    <t>Income thresholds for entering pre-tax income percentile groups</t>
  </si>
  <si>
    <t>Source: Downloaded from wid.world on 05-02-2026 at 12:05:44</t>
  </si>
  <si>
    <t>Notes: Variable tptinc_992_j. Amounts are expressed in current local currency. The population is comprised of individuals over age 20. The base unit is the individual and resources are split equally within couples.</t>
  </si>
  <si>
    <t>Notes: Variable aptinc_992_j. Amounts are expressed in current local currency. The population is comprised of individuals over age 20. The base unit is the individual and resources are split equally within couples.</t>
  </si>
  <si>
    <t xml:space="preserve">Notes: Variable npopul_992_i. The population is comprised of individuals over age 20. </t>
  </si>
  <si>
    <t>Adult population</t>
  </si>
  <si>
    <t>Population growth</t>
  </si>
  <si>
    <t>Nominal growth rate (average)</t>
  </si>
  <si>
    <t>Nominal growth rate (threshold)</t>
  </si>
  <si>
    <t>Current wealth tax rate</t>
  </si>
  <si>
    <t>than the WID data (which only goes up to the top 0,001% income group). We however apply distinct growth rates to the average income and to the income threshold of each group, based on the observed</t>
  </si>
  <si>
    <t xml:space="preserve">growth rates of these two variables in WID data, for each group and each country. This allows to account for changes in the income distribution that are captured by WID data. </t>
  </si>
  <si>
    <t xml:space="preserve">and use a simple multiplicative factors of 1.55 (for 2% rate) and 1.79 (for 3% rate) when moving from revenue for billionaires to revenue for centi-millionaires. </t>
  </si>
  <si>
    <t xml:space="preserve">When the chosen income to wealth ratio is closed to the Forbes calibrated one, billionnaires estimates are very close to previous estimates. </t>
  </si>
  <si>
    <t xml:space="preserve">When the chosen income to wealth ratio is larger (smaller) than the Forbes calibrated one, billionnaires estimates are lower (higher) than previous estimates. </t>
  </si>
  <si>
    <t xml:space="preserve">The 1,55 multiplication rule from previous estimates is contradicted by simulations based on country-specific income distributions. This explains the estimation discrepancies for centi-millionaires scenarios. </t>
  </si>
  <si>
    <t>There is therefore a trade-off between the confidence we can place in the Forbes data (timely and based on observed wealth, but uncertain coverage and limited granularity)</t>
  </si>
  <si>
    <t xml:space="preserve">and the information conveyed by income distributions (no direct wealth data, but broad coverage, well-defined granularity, and direct connection to tax rate estimates). </t>
  </si>
  <si>
    <t xml:space="preserve">Non-billionaires already face effective personal wealth tax rate larger than 2%, so they are only taxed in the 3% scenario and generate few revenues. </t>
  </si>
  <si>
    <t xml:space="preserve">Low billionaire wealth in Forbes compared to income concentration in income data. Reconcilied with lower income to wealth ratio assumption than Forbes calibration. </t>
  </si>
  <si>
    <t xml:space="preserve">High billionaire wealth in Forbes compared to income concentration in income data. Reconcilied with higher income to wealth ratio assumption than Forbes calibration. </t>
  </si>
  <si>
    <t xml:space="preserve">Current wealth tax rate (0,03% for the top income group) lower than the 0,2% hypothesis used in previous estimates. Significant centimilionnaires estimate discrepancy because current simulation capture numerous centimillionaires with low effective tax rates. </t>
  </si>
  <si>
    <t xml:space="preserve">Billionaires estimates coincide very well. </t>
  </si>
  <si>
    <t xml:space="preserve">Source: Balkir et al. (2025), Table A6. </t>
  </si>
  <si>
    <t xml:space="preserve">Source : Balkir et al. (2025), Tables 1 and 2. </t>
  </si>
  <si>
    <t xml:space="preserve">Notes:  Estimates are for years 2018-2020. Observations are tax units. </t>
  </si>
  <si>
    <t xml:space="preserve">Income concept in the paper includes "pure capital gains". We use the total amount of pure capital gains provided in the paper in order to remove them from income and to align with the income concept used for the other countries. </t>
  </si>
  <si>
    <t>Notes:  Income concept is equivalent to Bozio et al. (2020) but taxes do not include indirect taxes and observation unit is tax unit.</t>
  </si>
  <si>
    <t xml:space="preserve">Tax rates for groups P10-P20 and P20-P30 are taken equal to the tax rate estimate for P25-P50.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</si>
</sst>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43" formatCode="_-* #,##0.00_-;\-* #,##0.00_-;_-* &quot;-&quot;??_-;_-@_-"/>
    <numFmt numFmtId="164" formatCode="_ * #,##0.00_)\ _$_U_S_ ;_ * \(#,##0.00\)\ _$_U_S_ ;_ * &quot;-&quot;??_)\ _$_U_S_ ;_ @_ "/>
    <numFmt numFmtId="165" formatCode="&quot;$&quot;#,##0_);\(&quot;$&quot;#,##0\)"/>
    <numFmt numFmtId="166" formatCode="General_)"/>
    <numFmt numFmtId="167" formatCode="_-* #,##0.00\ _€_-;\-* #,##0.00\ _€_-;_-* &quot;-&quot;??\ _€_-;_-@_-"/>
    <numFmt numFmtId="168" formatCode="#,##0.000"/>
    <numFmt numFmtId="169" formatCode="#,##0.0"/>
    <numFmt numFmtId="170" formatCode="#,##0.00__;\-#,##0.00__;#,##0.00__;@__"/>
    <numFmt numFmtId="171" formatCode="_ * #,##0.00_ ;_ * \-#,##0.00_ ;_ * &quot;-&quot;??_ ;_ @_ "/>
    <numFmt numFmtId="172" formatCode="_ * #,##0.00_)\ _€_ ;_ * \(#,##0.00\)\ _€_ ;_ * &quot;-&quot;??_)\ _€_ ;_ @_ "/>
    <numFmt numFmtId="173" formatCode="\$#,##0\ ;\(\$#,##0\)"/>
    <numFmt numFmtId="174" formatCode="0.0%"/>
    <numFmt numFmtId="175" formatCode="_-* #,##0.00\ _z_ł_-;\-* #,##0.00\ _z_ł_-;_-* &quot;-&quot;??\ _z_ł_-;_-@_-"/>
    <numFmt numFmtId="176" formatCode="#,##0;[Red]#,##0"/>
    <numFmt numFmtId="177" formatCode="0.0"/>
    <numFmt numFmtId="178" formatCode="_-* #,##0.00\ _k_r_._-;\-* #,##0.00\ _k_r_._-;_-* &quot;-&quot;??\ _k_r_._-;_-@_-"/>
    <numFmt numFmtId="179" formatCode="_(&quot;$&quot;* #,##0.00_);_(&quot;$&quot;* \(#,##0.00\);_(&quot;$&quot;* &quot;-&quot;??_);_(@_)"/>
    <numFmt numFmtId="180" formatCode="0.000%"/>
    <numFmt numFmtId="181" formatCode="_-* #,##0_-;\-* #,##0_-;_-* &quot;-&quot;??_-;_-@_-"/>
    <numFmt numFmtId="182" formatCode="_-* #,##0\ _€_-;\-* #,##0\ _€_-;_-* &quot;-&quot;?\ _€_-;_-@_-"/>
    <numFmt numFmtId="183" formatCode="0.000"/>
    <numFmt numFmtId="184" formatCode="0.0E+00"/>
    <numFmt numFmtId="185" formatCode="_-* #,##0\ _€_-;\-* #,##0\ _€_-;_-* &quot;-&quot;??\ _€_-;_-@_-"/>
    <numFmt numFmtId="186" formatCode="_-* #,##0.000_-;\-* #,##0.000_-;_-* &quot;-&quot;??_-;_-@_-"/>
  </numFmts>
  <fonts count="99">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12"/>
      <color theme="1"/>
      <name val="Calibri"/>
      <family val="2"/>
      <charset val="129"/>
      <scheme val="minor"/>
    </font>
    <font>
      <sz val="11"/>
      <color indexed="8"/>
      <name val="Calibri"/>
      <family val="2"/>
    </font>
    <font>
      <sz val="11"/>
      <color indexed="9"/>
      <name val="Calibri"/>
      <family val="2"/>
    </font>
    <font>
      <sz val="11"/>
      <color indexed="20"/>
      <name val="Calibri"/>
      <family val="2"/>
    </font>
    <font>
      <sz val="9"/>
      <color indexed="9"/>
      <name val="Times"/>
      <family val="1"/>
    </font>
    <font>
      <b/>
      <sz val="11"/>
      <color indexed="52"/>
      <name val="Calibri"/>
      <family val="2"/>
    </font>
    <font>
      <b/>
      <sz val="11"/>
      <color indexed="9"/>
      <name val="Calibri"/>
      <family val="2"/>
    </font>
    <font>
      <sz val="9"/>
      <color indexed="8"/>
      <name val="Times"/>
      <family val="1"/>
    </font>
    <font>
      <sz val="10"/>
      <name val="Arial"/>
      <family val="2"/>
    </font>
    <font>
      <sz val="12"/>
      <color indexed="24"/>
      <name val="Arial"/>
      <family val="2"/>
    </font>
    <font>
      <sz val="8"/>
      <name val="Helvetica"/>
    </font>
    <font>
      <b/>
      <sz val="8"/>
      <color indexed="24"/>
      <name val="Times New Roman"/>
      <family val="1"/>
    </font>
    <font>
      <sz val="8"/>
      <color indexed="24"/>
      <name val="Times New Roman"/>
      <family val="1"/>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u/>
      <sz val="12"/>
      <color indexed="12"/>
      <name val="Calibri"/>
      <family val="2"/>
    </font>
    <font>
      <sz val="11"/>
      <color indexed="52"/>
      <name val="Calibri"/>
      <family val="2"/>
    </font>
    <font>
      <sz val="11"/>
      <color indexed="60"/>
      <name val="Calibri"/>
      <family val="2"/>
    </font>
    <font>
      <sz val="12"/>
      <color theme="1"/>
      <name val="Calibri"/>
      <family val="2"/>
      <scheme val="minor"/>
    </font>
    <font>
      <sz val="11"/>
      <name val="Calibri"/>
      <family val="2"/>
    </font>
    <font>
      <sz val="12"/>
      <color indexed="8"/>
      <name val="Calibri"/>
      <family val="2"/>
    </font>
    <font>
      <sz val="10"/>
      <name val="Verdana"/>
      <family val="2"/>
    </font>
    <font>
      <sz val="9"/>
      <name val="Times New Roman"/>
      <family val="1"/>
    </font>
    <font>
      <sz val="10"/>
      <color indexed="8"/>
      <name val="Times"/>
      <family val="1"/>
    </font>
    <font>
      <sz val="9"/>
      <name val="Times"/>
    </font>
    <font>
      <sz val="12"/>
      <name val="Arial CE"/>
    </font>
    <font>
      <b/>
      <sz val="11"/>
      <color indexed="63"/>
      <name val="Calibri"/>
      <family val="2"/>
    </font>
    <font>
      <sz val="7"/>
      <name val="Helvetica"/>
    </font>
    <font>
      <b/>
      <sz val="18"/>
      <color indexed="56"/>
      <name val="Cambria"/>
      <family val="2"/>
    </font>
    <font>
      <sz val="11"/>
      <color indexed="10"/>
      <name val="Calibri"/>
      <family val="2"/>
    </font>
    <font>
      <sz val="10"/>
      <name val="Times"/>
      <family val="1"/>
    </font>
    <font>
      <sz val="11"/>
      <name val="Arial"/>
      <family val="2"/>
    </font>
    <font>
      <u/>
      <sz val="12"/>
      <color theme="10"/>
      <name val="Arial"/>
      <family val="2"/>
    </font>
    <font>
      <b/>
      <sz val="15"/>
      <color theme="3"/>
      <name val="Arial"/>
      <family val="2"/>
    </font>
    <font>
      <b/>
      <sz val="13"/>
      <color theme="3"/>
      <name val="Arial"/>
      <family val="2"/>
    </font>
    <font>
      <b/>
      <sz val="11"/>
      <color theme="3"/>
      <name val="Arial"/>
      <family val="2"/>
    </font>
    <font>
      <sz val="10"/>
      <color theme="1"/>
      <name val="Arial"/>
      <family val="2"/>
    </font>
    <font>
      <sz val="10"/>
      <color theme="0"/>
      <name val="Arial"/>
      <family val="2"/>
    </font>
    <font>
      <sz val="10"/>
      <color rgb="FF9C0006"/>
      <name val="Arial"/>
      <family val="2"/>
    </font>
    <font>
      <b/>
      <sz val="10"/>
      <color rgb="FFFA7D00"/>
      <name val="Arial"/>
      <family val="2"/>
    </font>
    <font>
      <b/>
      <sz val="10"/>
      <color theme="0"/>
      <name val="Arial"/>
      <family val="2"/>
    </font>
    <font>
      <i/>
      <sz val="10"/>
      <color rgb="FF7F7F7F"/>
      <name val="Arial"/>
      <family val="2"/>
    </font>
    <font>
      <sz val="10"/>
      <color rgb="FF006100"/>
      <name val="Arial"/>
      <family val="2"/>
    </font>
    <font>
      <u/>
      <sz val="10"/>
      <color indexed="12"/>
      <name val="Verdana"/>
      <family val="2"/>
    </font>
    <font>
      <sz val="10"/>
      <color rgb="FF3F3F76"/>
      <name val="Arial"/>
      <family val="2"/>
    </font>
    <font>
      <sz val="10"/>
      <color rgb="FFFA7D00"/>
      <name val="Arial"/>
      <family val="2"/>
    </font>
    <font>
      <sz val="10"/>
      <color rgb="FF9C6500"/>
      <name val="Arial"/>
      <family val="2"/>
    </font>
    <font>
      <sz val="12"/>
      <color theme="1"/>
      <name val="Garamond"/>
      <family val="2"/>
    </font>
    <font>
      <b/>
      <sz val="10"/>
      <color rgb="FF3F3F3F"/>
      <name val="Arial"/>
      <family val="2"/>
    </font>
    <font>
      <b/>
      <sz val="10"/>
      <color theme="1"/>
      <name val="Arial"/>
      <family val="2"/>
    </font>
    <font>
      <sz val="10"/>
      <color rgb="FFFF0000"/>
      <name val="Arial"/>
      <family val="2"/>
    </font>
    <font>
      <sz val="11"/>
      <color indexed="8"/>
      <name val="Calibri"/>
      <family val="2"/>
      <scheme val="minor"/>
    </font>
    <font>
      <sz val="11"/>
      <name val="Calibri"/>
      <family val="2"/>
      <scheme val="minor"/>
    </font>
    <font>
      <b/>
      <sz val="12"/>
      <color theme="1"/>
      <name val="Calibri"/>
      <family val="2"/>
      <scheme val="minor"/>
    </font>
    <font>
      <sz val="11"/>
      <color rgb="FF000000"/>
      <name val="Calibri"/>
      <family val="2"/>
      <scheme val="minor"/>
    </font>
    <font>
      <b/>
      <sz val="11"/>
      <name val="Calibri"/>
      <family val="2"/>
      <scheme val="minor"/>
    </font>
    <font>
      <i/>
      <sz val="11"/>
      <color theme="1"/>
      <name val="Calibri"/>
      <family val="2"/>
      <scheme val="minor"/>
    </font>
    <font>
      <sz val="11"/>
      <name val="Arial"/>
      <family val="2"/>
    </font>
    <font>
      <sz val="10"/>
      <color theme="1"/>
      <name val="Calibri"/>
      <family val="2"/>
      <scheme val="minor"/>
    </font>
    <font>
      <sz val="10"/>
      <name val="Arial"/>
      <family val="2"/>
    </font>
    <font>
      <sz val="12"/>
      <color indexed="24"/>
      <name val="Arial"/>
      <family val="2"/>
    </font>
    <font>
      <b/>
      <sz val="8"/>
      <color indexed="24"/>
      <name val="Times New Roman"/>
      <family val="1"/>
    </font>
    <font>
      <sz val="8"/>
      <color indexed="24"/>
      <name val="Times New Roman"/>
      <family val="1"/>
    </font>
    <font>
      <sz val="11"/>
      <name val="Calibri"/>
      <family val="2"/>
    </font>
    <font>
      <sz val="10"/>
      <name val="Verdana"/>
      <family val="2"/>
    </font>
    <font>
      <b/>
      <sz val="11"/>
      <color theme="4" tint="-0.499984740745262"/>
      <name val="Calibri"/>
      <family val="2"/>
      <scheme val="minor"/>
    </font>
    <font>
      <b/>
      <sz val="11"/>
      <color theme="4" tint="0.39997558519241921"/>
      <name val="Calibri"/>
      <family val="2"/>
      <scheme val="minor"/>
    </font>
    <font>
      <b/>
      <sz val="11"/>
      <color rgb="FFC00000"/>
      <name val="Calibri"/>
      <family val="2"/>
      <scheme val="minor"/>
    </font>
    <font>
      <b/>
      <sz val="11"/>
      <color theme="5"/>
      <name val="Calibri"/>
      <family val="2"/>
      <scheme val="minor"/>
    </font>
    <font>
      <b/>
      <sz val="11"/>
      <color rgb="FFFF6565"/>
      <name val="Calibri"/>
      <family val="2"/>
      <scheme val="minor"/>
    </font>
    <font>
      <b/>
      <sz val="11"/>
      <color theme="9" tint="0.59999389629810485"/>
      <name val="Calibri"/>
      <family val="2"/>
      <scheme val="minor"/>
    </font>
    <font>
      <b/>
      <sz val="11"/>
      <color theme="9" tint="-0.249977111117893"/>
      <name val="Calibri"/>
      <family val="2"/>
      <scheme val="minor"/>
    </font>
    <font>
      <b/>
      <sz val="16"/>
      <color theme="1"/>
      <name val="Calibri"/>
      <family val="2"/>
      <scheme val="minor"/>
    </font>
    <font>
      <i/>
      <sz val="11"/>
      <name val="Calibri"/>
      <family val="2"/>
      <scheme val="minor"/>
    </font>
    <font>
      <b/>
      <sz val="11"/>
      <color rgb="FF800080"/>
      <name val="Calibri"/>
      <family val="2"/>
      <scheme val="minor"/>
    </font>
    <font>
      <b/>
      <sz val="11"/>
      <color rgb="FFCC3399"/>
      <name val="Calibri"/>
      <family val="2"/>
      <scheme val="minor"/>
    </font>
    <font>
      <sz val="9"/>
      <color theme="1"/>
      <name val="Calibri"/>
      <family val="2"/>
      <scheme val="minor"/>
    </font>
    <font>
      <sz val="10"/>
      <name val="Calibri"/>
      <family val="2"/>
      <scheme val="minor"/>
    </font>
    <font>
      <sz val="11"/>
      <color theme="2" tint="-0.249977111117893"/>
      <name val="Calibri"/>
      <family val="2"/>
      <scheme val="minor"/>
    </font>
    <font>
      <b/>
      <sz val="11"/>
      <color theme="5" tint="0.39997558519241921"/>
      <name val="Calibri"/>
      <family val="2"/>
      <scheme val="minor"/>
    </font>
    <font>
      <sz val="11"/>
      <color theme="0" tint="-0.249977111117893"/>
      <name val="Calibri"/>
      <family val="2"/>
      <scheme val="minor"/>
    </font>
    <font>
      <sz val="9"/>
      <name val="Calibri"/>
      <family val="2"/>
      <scheme val="minor"/>
    </font>
    <font>
      <sz val="11"/>
      <color rgb="FFFF0000"/>
      <name val="Calibri"/>
      <family val="2"/>
      <scheme val="minor"/>
    </font>
    <font>
      <sz val="11"/>
      <color theme="0"/>
      <name val="Calibri"/>
      <family val="2"/>
      <scheme val="minor"/>
    </font>
    <font>
      <b/>
      <sz val="10"/>
      <color theme="1"/>
      <name val="Calibri"/>
      <family val="2"/>
      <scheme val="minor"/>
    </font>
    <font>
      <i/>
      <sz val="10"/>
      <color theme="1"/>
      <name val="Calibri"/>
      <family val="2"/>
      <scheme val="minor"/>
    </font>
    <font>
      <b/>
      <sz val="11"/>
      <color theme="8" tint="-0.499984740745262"/>
      <name val="Calibri"/>
      <family val="2"/>
      <scheme val="minor"/>
    </font>
    <font>
      <b/>
      <sz val="18"/>
      <color theme="1"/>
      <name val="Calibri"/>
      <family val="2"/>
      <scheme val="minor"/>
    </font>
    <font>
      <sz val="11"/>
      <color rgb="FF000000"/>
      <name val="Calibri"/>
      <family val="2"/>
    </font>
    <font>
      <i/>
      <sz val="11"/>
      <color rgb="FF000000"/>
      <name val="Calibri"/>
      <family val="2"/>
      <scheme val="minor"/>
    </font>
    <font>
      <sz val="11"/>
      <color theme="1"/>
      <name val="Calibri"/>
      <family val="2"/>
    </font>
  </fonts>
  <fills count="5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26"/>
      </patternFill>
    </fill>
    <fill>
      <patternFill patternType="solid">
        <fgColor indexed="43"/>
      </patternFill>
    </fill>
    <fill>
      <patternFill patternType="solid">
        <fgColor theme="2" tint="-9.9978637043366805E-2"/>
        <bgColor indexed="64"/>
      </patternFill>
    </fill>
    <fill>
      <patternFill patternType="solid">
        <fgColor theme="2"/>
        <bgColor indexed="64"/>
      </patternFill>
    </fill>
    <fill>
      <patternFill patternType="solid">
        <fgColor theme="2" tint="-0.249977111117893"/>
        <bgColor indexed="64"/>
      </patternFill>
    </fill>
  </fills>
  <borders count="2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auto="1"/>
      </left>
      <right style="thin">
        <color auto="1"/>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43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xf numFmtId="9" fontId="3" fillId="0" borderId="0" applyFont="0" applyFill="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37"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5" fillId="41" borderId="0" applyNumberFormat="0" applyBorder="0" applyAlignment="0" applyProtection="0"/>
    <xf numFmtId="0" fontId="5" fillId="36" borderId="0" applyNumberFormat="0" applyBorder="0" applyAlignment="0" applyProtection="0"/>
    <xf numFmtId="0" fontId="5" fillId="39" borderId="0" applyNumberFormat="0" applyBorder="0" applyAlignment="0" applyProtection="0"/>
    <xf numFmtId="0" fontId="5" fillId="42" borderId="0" applyNumberFormat="0" applyBorder="0" applyAlignment="0" applyProtection="0"/>
    <xf numFmtId="0" fontId="6" fillId="43" borderId="0" applyNumberFormat="0" applyBorder="0" applyAlignment="0" applyProtection="0"/>
    <xf numFmtId="0" fontId="6" fillId="40" borderId="0" applyNumberFormat="0" applyBorder="0" applyAlignment="0" applyProtection="0"/>
    <xf numFmtId="0" fontId="6" fillId="41" borderId="0" applyNumberFormat="0" applyBorder="0" applyAlignment="0" applyProtection="0"/>
    <xf numFmtId="0" fontId="6" fillId="44" borderId="0" applyNumberFormat="0" applyBorder="0" applyAlignment="0" applyProtection="0"/>
    <xf numFmtId="0" fontId="6" fillId="45" borderId="0" applyNumberFormat="0" applyBorder="0" applyAlignment="0" applyProtection="0"/>
    <xf numFmtId="0" fontId="6" fillId="46" borderId="0" applyNumberFormat="0" applyBorder="0" applyAlignment="0" applyProtection="0"/>
    <xf numFmtId="0" fontId="7" fillId="34" borderId="0" applyNumberFormat="0" applyBorder="0" applyAlignment="0" applyProtection="0"/>
    <xf numFmtId="166" fontId="8" fillId="0" borderId="0">
      <alignment vertical="top"/>
    </xf>
    <xf numFmtId="0" fontId="9" fillId="47" borderId="10" applyNumberFormat="0" applyAlignment="0" applyProtection="0"/>
    <xf numFmtId="0" fontId="10" fillId="48" borderId="11" applyNumberFormat="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3" fontId="11" fillId="0" borderId="0" applyFill="0" applyBorder="0">
      <alignment horizontal="right" vertical="top"/>
    </xf>
    <xf numFmtId="168" fontId="11" fillId="0" borderId="0" applyFill="0" applyBorder="0">
      <alignment horizontal="right" vertical="top"/>
    </xf>
    <xf numFmtId="3" fontId="11" fillId="0" borderId="0" applyFill="0" applyBorder="0">
      <alignment horizontal="right" vertical="top"/>
    </xf>
    <xf numFmtId="169" fontId="8" fillId="0" borderId="0" applyFont="0" applyFill="0" applyBorder="0">
      <alignment horizontal="right" vertical="top"/>
    </xf>
    <xf numFmtId="170" fontId="11" fillId="0" borderId="0" applyFont="0" applyFill="0" applyBorder="0" applyAlignment="0" applyProtection="0">
      <alignment horizontal="right" vertical="top"/>
    </xf>
    <xf numFmtId="168" fontId="11" fillId="0" borderId="0">
      <alignment horizontal="right" vertical="top"/>
    </xf>
    <xf numFmtId="3" fontId="12" fillId="0" borderId="0" applyFont="0" applyFill="0" applyBorder="0" applyAlignment="0" applyProtection="0"/>
    <xf numFmtId="0" fontId="5" fillId="49" borderId="12" applyNumberFormat="0" applyFont="0" applyAlignment="0" applyProtection="0"/>
    <xf numFmtId="165" fontId="12" fillId="0" borderId="0" applyFont="0" applyFill="0" applyBorder="0" applyAlignment="0" applyProtection="0"/>
    <xf numFmtId="0" fontId="13" fillId="0" borderId="0" applyFont="0" applyFill="0" applyBorder="0" applyAlignment="0" applyProtection="0"/>
    <xf numFmtId="171" fontId="14" fillId="0" borderId="0" applyFon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3" fontId="13" fillId="0" borderId="0" applyFont="0" applyFill="0" applyBorder="0" applyAlignment="0" applyProtection="0"/>
    <xf numFmtId="2" fontId="12" fillId="0" borderId="0" applyFont="0" applyFill="0" applyBorder="0" applyAlignment="0" applyProtection="0"/>
    <xf numFmtId="0" fontId="18" fillId="35" borderId="0" applyNumberFormat="0" applyBorder="0" applyAlignment="0" applyProtection="0"/>
    <xf numFmtId="0" fontId="19" fillId="0" borderId="13" applyNumberFormat="0" applyFill="0" applyAlignment="0" applyProtection="0"/>
    <xf numFmtId="0" fontId="20" fillId="0" borderId="14" applyNumberFormat="0" applyFill="0" applyAlignment="0" applyProtection="0"/>
    <xf numFmtId="0" fontId="21" fillId="0" borderId="15" applyNumberFormat="0" applyFill="0" applyAlignment="0" applyProtection="0"/>
    <xf numFmtId="0" fontId="21" fillId="0" borderId="0" applyNumberFormat="0" applyFill="0" applyBorder="0" applyAlignment="0" applyProtection="0"/>
    <xf numFmtId="0" fontId="22" fillId="38" borderId="10" applyNumberFormat="0" applyAlignment="0" applyProtection="0"/>
    <xf numFmtId="0" fontId="23" fillId="0" borderId="0" applyNumberFormat="0" applyFill="0" applyBorder="0" applyAlignment="0" applyProtection="0"/>
    <xf numFmtId="0" fontId="24" fillId="0" borderId="16" applyNumberFormat="0" applyFill="0" applyAlignment="0" applyProtection="0"/>
    <xf numFmtId="172" fontId="3" fillId="0" borderId="0" applyFont="0" applyFill="0" applyBorder="0" applyAlignment="0" applyProtection="0"/>
    <xf numFmtId="173" fontId="13" fillId="0" borderId="0" applyFont="0" applyFill="0" applyBorder="0" applyAlignment="0" applyProtection="0"/>
    <xf numFmtId="0" fontId="12" fillId="0" borderId="0"/>
    <xf numFmtId="0" fontId="25" fillId="50" borderId="0" applyNumberFormat="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xf numFmtId="0" fontId="26" fillId="0" borderId="0"/>
    <xf numFmtId="0" fontId="26" fillId="0" borderId="0"/>
    <xf numFmtId="0" fontId="26" fillId="0" borderId="0"/>
    <xf numFmtId="0" fontId="26" fillId="0" borderId="0"/>
    <xf numFmtId="0" fontId="3" fillId="0" borderId="0"/>
    <xf numFmtId="0" fontId="26" fillId="0" borderId="0"/>
    <xf numFmtId="0" fontId="1" fillId="0" borderId="0"/>
    <xf numFmtId="0" fontId="3" fillId="0" borderId="0"/>
    <xf numFmtId="0" fontId="13" fillId="0" borderId="0"/>
    <xf numFmtId="0" fontId="13" fillId="0" borderId="0"/>
    <xf numFmtId="0" fontId="12" fillId="0" borderId="0"/>
    <xf numFmtId="0" fontId="3" fillId="0" borderId="0"/>
    <xf numFmtId="0" fontId="3" fillId="0" borderId="0"/>
    <xf numFmtId="0" fontId="3" fillId="0" borderId="0"/>
    <xf numFmtId="0" fontId="27" fillId="0" borderId="0"/>
    <xf numFmtId="0" fontId="12" fillId="0" borderId="0"/>
    <xf numFmtId="0" fontId="28" fillId="0" borderId="0"/>
    <xf numFmtId="0" fontId="29" fillId="0" borderId="0"/>
    <xf numFmtId="0" fontId="12" fillId="0" borderId="0"/>
    <xf numFmtId="0" fontId="26" fillId="0" borderId="0"/>
    <xf numFmtId="0" fontId="26" fillId="0" borderId="0"/>
    <xf numFmtId="0" fontId="1" fillId="0" borderId="0"/>
    <xf numFmtId="0" fontId="12" fillId="0" borderId="0"/>
    <xf numFmtId="0" fontId="26" fillId="0" borderId="0"/>
    <xf numFmtId="0" fontId="3" fillId="0" borderId="0"/>
    <xf numFmtId="0" fontId="3" fillId="0" borderId="0"/>
    <xf numFmtId="0" fontId="3" fillId="0" borderId="0"/>
    <xf numFmtId="0" fontId="3" fillId="0" borderId="0"/>
    <xf numFmtId="0" fontId="30" fillId="0" borderId="17" applyNumberFormat="0" applyFill="0" applyAlignment="0" applyProtection="0"/>
    <xf numFmtId="1" fontId="8" fillId="0" borderId="0">
      <alignment vertical="top" wrapText="1"/>
    </xf>
    <xf numFmtId="1" fontId="31" fillId="0" borderId="0" applyFill="0" applyBorder="0" applyProtection="0"/>
    <xf numFmtId="1" fontId="30" fillId="0" borderId="0" applyFont="0" applyFill="0" applyBorder="0" applyProtection="0">
      <alignment vertical="center"/>
    </xf>
    <xf numFmtId="1" fontId="32" fillId="0" borderId="0">
      <alignment horizontal="right" vertical="top"/>
    </xf>
    <xf numFmtId="1" fontId="11" fillId="0" borderId="0" applyNumberFormat="0" applyFill="0" applyBorder="0">
      <alignment vertical="top"/>
    </xf>
    <xf numFmtId="0" fontId="33" fillId="0" borderId="0"/>
    <xf numFmtId="0" fontId="12" fillId="49" borderId="12" applyNumberFormat="0" applyFont="0" applyAlignment="0" applyProtection="0"/>
    <xf numFmtId="0" fontId="34" fillId="47" borderId="18" applyNumberFormat="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1" fillId="0" borderId="0" applyFont="0" applyFill="0" applyBorder="0" applyAlignment="0" applyProtection="0"/>
    <xf numFmtId="167" fontId="12"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28"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26" fillId="0" borderId="0" applyFont="0" applyFill="0" applyBorder="0" applyAlignment="0" applyProtection="0"/>
    <xf numFmtId="9" fontId="2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0" fontId="18" fillId="35" borderId="0" applyNumberFormat="0" applyBorder="0" applyAlignment="0" applyProtection="0"/>
    <xf numFmtId="0" fontId="12" fillId="0" borderId="0"/>
    <xf numFmtId="0" fontId="12" fillId="0" borderId="0"/>
    <xf numFmtId="2" fontId="12" fillId="0" borderId="0" applyFont="0" applyFill="0" applyBorder="0" applyProtection="0">
      <alignment horizontal="right"/>
    </xf>
    <xf numFmtId="2" fontId="12" fillId="0" borderId="0" applyFont="0" applyFill="0" applyBorder="0" applyProtection="0">
      <alignment horizontal="right"/>
    </xf>
    <xf numFmtId="0" fontId="35" fillId="0" borderId="19">
      <alignment horizontal="center"/>
    </xf>
    <xf numFmtId="49" fontId="11" fillId="0" borderId="0" applyFill="0" applyBorder="0" applyAlignment="0" applyProtection="0">
      <alignment vertical="top"/>
    </xf>
    <xf numFmtId="0" fontId="36" fillId="0" borderId="0" applyNumberFormat="0" applyFill="0" applyBorder="0" applyAlignment="0" applyProtection="0"/>
    <xf numFmtId="0" fontId="36" fillId="0" borderId="0" applyNumberFormat="0" applyFill="0" applyBorder="0" applyAlignment="0" applyProtection="0"/>
    <xf numFmtId="0" fontId="19" fillId="0" borderId="13" applyNumberFormat="0" applyFill="0" applyAlignment="0" applyProtection="0"/>
    <xf numFmtId="0" fontId="20" fillId="0" borderId="14" applyNumberFormat="0" applyFill="0" applyAlignment="0" applyProtection="0"/>
    <xf numFmtId="0" fontId="21" fillId="0" borderId="15" applyNumberFormat="0" applyFill="0" applyAlignment="0" applyProtection="0"/>
    <xf numFmtId="0" fontId="21" fillId="0" borderId="0" applyNumberFormat="0" applyFill="0" applyBorder="0" applyAlignment="0" applyProtection="0"/>
    <xf numFmtId="0" fontId="10" fillId="48" borderId="11" applyNumberFormat="0" applyAlignment="0" applyProtection="0"/>
    <xf numFmtId="2" fontId="13" fillId="0" borderId="0" applyFont="0" applyFill="0" applyBorder="0" applyAlignment="0" applyProtection="0"/>
    <xf numFmtId="0" fontId="37" fillId="0" borderId="0" applyNumberFormat="0" applyFill="0" applyBorder="0" applyAlignment="0" applyProtection="0"/>
    <xf numFmtId="1" fontId="38" fillId="0" borderId="0">
      <alignment vertical="top" wrapText="1"/>
    </xf>
    <xf numFmtId="9" fontId="3" fillId="0" borderId="0" applyFont="0" applyFill="0" applyBorder="0" applyAlignment="0" applyProtection="0"/>
    <xf numFmtId="9" fontId="3" fillId="0" borderId="0" applyFont="0" applyFill="0" applyBorder="0" applyAlignment="0" applyProtection="0"/>
    <xf numFmtId="0" fontId="44" fillId="10" borderId="0" applyNumberFormat="0" applyBorder="0" applyAlignment="0" applyProtection="0"/>
    <xf numFmtId="0" fontId="44" fillId="14" borderId="0" applyNumberFormat="0" applyBorder="0" applyAlignment="0" applyProtection="0"/>
    <xf numFmtId="0" fontId="44" fillId="18" borderId="0" applyNumberFormat="0" applyBorder="0" applyAlignment="0" applyProtection="0"/>
    <xf numFmtId="0" fontId="44" fillId="22" borderId="0" applyNumberFormat="0" applyBorder="0" applyAlignment="0" applyProtection="0"/>
    <xf numFmtId="0" fontId="44" fillId="26" borderId="0" applyNumberFormat="0" applyBorder="0" applyAlignment="0" applyProtection="0"/>
    <xf numFmtId="0" fontId="44" fillId="30" borderId="0" applyNumberFormat="0" applyBorder="0" applyAlignment="0" applyProtection="0"/>
    <xf numFmtId="0" fontId="44" fillId="11" borderId="0" applyNumberFormat="0" applyBorder="0" applyAlignment="0" applyProtection="0"/>
    <xf numFmtId="0" fontId="44" fillId="15" borderId="0" applyNumberFormat="0" applyBorder="0" applyAlignment="0" applyProtection="0"/>
    <xf numFmtId="0" fontId="44" fillId="19" borderId="0" applyNumberFormat="0" applyBorder="0" applyAlignment="0" applyProtection="0"/>
    <xf numFmtId="0" fontId="44" fillId="23" borderId="0" applyNumberFormat="0" applyBorder="0" applyAlignment="0" applyProtection="0"/>
    <xf numFmtId="0" fontId="44" fillId="27" borderId="0" applyNumberFormat="0" applyBorder="0" applyAlignment="0" applyProtection="0"/>
    <xf numFmtId="0" fontId="44" fillId="31" borderId="0" applyNumberFormat="0" applyBorder="0" applyAlignment="0" applyProtection="0"/>
    <xf numFmtId="0" fontId="45" fillId="12" borderId="0" applyNumberFormat="0" applyBorder="0" applyAlignment="0" applyProtection="0"/>
    <xf numFmtId="0" fontId="45" fillId="16" borderId="0" applyNumberFormat="0" applyBorder="0" applyAlignment="0" applyProtection="0"/>
    <xf numFmtId="0" fontId="45" fillId="20" borderId="0" applyNumberFormat="0" applyBorder="0" applyAlignment="0" applyProtection="0"/>
    <xf numFmtId="0" fontId="45" fillId="24" borderId="0" applyNumberFormat="0" applyBorder="0" applyAlignment="0" applyProtection="0"/>
    <xf numFmtId="0" fontId="45" fillId="28" borderId="0" applyNumberFormat="0" applyBorder="0" applyAlignment="0" applyProtection="0"/>
    <xf numFmtId="0" fontId="45" fillId="32" borderId="0" applyNumberFormat="0" applyBorder="0" applyAlignment="0" applyProtection="0"/>
    <xf numFmtId="0" fontId="45" fillId="9" borderId="0" applyNumberFormat="0" applyBorder="0" applyAlignment="0" applyProtection="0"/>
    <xf numFmtId="0" fontId="45" fillId="13" borderId="0" applyNumberFormat="0" applyBorder="0" applyAlignment="0" applyProtection="0"/>
    <xf numFmtId="0" fontId="45" fillId="17" borderId="0" applyNumberFormat="0" applyBorder="0" applyAlignment="0" applyProtection="0"/>
    <xf numFmtId="0" fontId="45" fillId="21" borderId="0" applyNumberFormat="0" applyBorder="0" applyAlignment="0" applyProtection="0"/>
    <xf numFmtId="0" fontId="45" fillId="25" borderId="0" applyNumberFormat="0" applyBorder="0" applyAlignment="0" applyProtection="0"/>
    <xf numFmtId="0" fontId="45" fillId="29" borderId="0" applyNumberFormat="0" applyBorder="0" applyAlignment="0" applyProtection="0"/>
    <xf numFmtId="0" fontId="46" fillId="3" borderId="0" applyNumberFormat="0" applyBorder="0" applyAlignment="0" applyProtection="0"/>
    <xf numFmtId="0" fontId="47" fillId="6" borderId="4" applyNumberFormat="0" applyAlignment="0" applyProtection="0"/>
    <xf numFmtId="0" fontId="48" fillId="7" borderId="7" applyNumberFormat="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xf numFmtId="171" fontId="26" fillId="0" borderId="0" applyFont="0" applyFill="0" applyBorder="0" applyAlignment="0" applyProtection="0"/>
    <xf numFmtId="171" fontId="26"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5" fontId="39" fillId="0" borderId="0" applyFont="0" applyFill="0" applyBorder="0" applyAlignment="0" applyProtection="0"/>
    <xf numFmtId="171" fontId="1" fillId="0" borderId="0" applyFont="0" applyFill="0" applyBorder="0" applyAlignment="0" applyProtection="0"/>
    <xf numFmtId="0" fontId="13" fillId="0" borderId="0" applyFon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49" fillId="0" borderId="0" applyNumberFormat="0" applyFill="0" applyBorder="0" applyAlignment="0" applyProtection="0"/>
    <xf numFmtId="3" fontId="13" fillId="0" borderId="0" applyFont="0" applyFill="0" applyBorder="0" applyAlignment="0" applyProtection="0"/>
    <xf numFmtId="0" fontId="50" fillId="2" borderId="0" applyNumberFormat="0" applyBorder="0" applyAlignment="0" applyProtection="0"/>
    <xf numFmtId="0" fontId="41" fillId="0" borderId="1" applyNumberFormat="0" applyFill="0" applyAlignment="0" applyProtection="0"/>
    <xf numFmtId="0" fontId="42" fillId="0" borderId="2" applyNumberFormat="0" applyFill="0" applyAlignment="0" applyProtection="0"/>
    <xf numFmtId="0" fontId="43" fillId="0" borderId="3" applyNumberFormat="0" applyFill="0" applyAlignment="0" applyProtection="0"/>
    <xf numFmtId="0" fontId="43" fillId="0" borderId="0" applyNumberFormat="0" applyFill="0" applyBorder="0" applyAlignment="0" applyProtection="0"/>
    <xf numFmtId="0" fontId="51" fillId="0" borderId="0" applyNumberFormat="0" applyFill="0" applyBorder="0" applyAlignment="0" applyProtection="0">
      <alignment vertical="top"/>
      <protection locked="0"/>
    </xf>
    <xf numFmtId="0" fontId="52" fillId="5" borderId="4" applyNumberFormat="0" applyAlignment="0" applyProtection="0"/>
    <xf numFmtId="0" fontId="53" fillId="0" borderId="6" applyNumberFormat="0" applyFill="0" applyAlignment="0" applyProtection="0"/>
    <xf numFmtId="173" fontId="13" fillId="0" borderId="0" applyFont="0" applyFill="0" applyBorder="0" applyAlignment="0" applyProtection="0"/>
    <xf numFmtId="0" fontId="54" fillId="4" borderId="0" applyNumberFormat="0" applyBorder="0" applyAlignment="0" applyProtection="0"/>
    <xf numFmtId="0" fontId="1" fillId="0" borderId="0"/>
    <xf numFmtId="0" fontId="1" fillId="0" borderId="0"/>
    <xf numFmtId="0" fontId="1" fillId="0" borderId="0"/>
    <xf numFmtId="0" fontId="12" fillId="0" borderId="0"/>
    <xf numFmtId="0" fontId="1" fillId="0" borderId="0"/>
    <xf numFmtId="0" fontId="1" fillId="0" borderId="0"/>
    <xf numFmtId="176" fontId="12" fillId="0" borderId="0" applyNumberFormat="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5" fillId="0" borderId="0" applyFill="0" applyProtection="0"/>
    <xf numFmtId="0" fontId="1" fillId="0" borderId="0"/>
    <xf numFmtId="0" fontId="1" fillId="0" borderId="0"/>
    <xf numFmtId="0" fontId="1" fillId="0" borderId="0"/>
    <xf numFmtId="0" fontId="1" fillId="0" borderId="0"/>
    <xf numFmtId="0" fontId="1" fillId="0" borderId="0"/>
    <xf numFmtId="0" fontId="1" fillId="0" borderId="0"/>
    <xf numFmtId="0" fontId="12" fillId="0" borderId="0"/>
    <xf numFmtId="0" fontId="1" fillId="0" borderId="0"/>
    <xf numFmtId="0" fontId="1" fillId="0" borderId="0"/>
    <xf numFmtId="0" fontId="1" fillId="0" borderId="0"/>
    <xf numFmtId="0" fontId="1" fillId="0" borderId="0"/>
    <xf numFmtId="0" fontId="1" fillId="0" borderId="0"/>
    <xf numFmtId="0" fontId="26" fillId="0" borderId="0"/>
    <xf numFmtId="0" fontId="12" fillId="0" borderId="0"/>
    <xf numFmtId="0" fontId="1" fillId="0" borderId="0"/>
    <xf numFmtId="0" fontId="1" fillId="0" borderId="0"/>
    <xf numFmtId="0" fontId="1" fillId="0" borderId="0"/>
    <xf numFmtId="0" fontId="1" fillId="0" borderId="0"/>
    <xf numFmtId="0" fontId="12" fillId="0" borderId="0"/>
    <xf numFmtId="0" fontId="1" fillId="0" borderId="0"/>
    <xf numFmtId="0" fontId="26" fillId="0" borderId="0"/>
    <xf numFmtId="0" fontId="5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xf numFmtId="0" fontId="26" fillId="0" borderId="0"/>
    <xf numFmtId="0" fontId="26" fillId="0" borderId="0"/>
    <xf numFmtId="0" fontId="44" fillId="8" borderId="8" applyNumberFormat="0" applyFont="0" applyAlignment="0" applyProtection="0"/>
    <xf numFmtId="0" fontId="1" fillId="8" borderId="8" applyNumberFormat="0" applyFont="0" applyAlignment="0" applyProtection="0"/>
    <xf numFmtId="0" fontId="56" fillId="6" borderId="5" applyNumberFormat="0" applyAlignment="0" applyProtection="0"/>
    <xf numFmtId="9" fontId="1" fillId="0" borderId="0" applyFont="0" applyFill="0" applyBorder="0" applyAlignment="0" applyProtection="0"/>
    <xf numFmtId="9" fontId="1" fillId="0" borderId="0" applyFont="0" applyFill="0" applyBorder="0" applyAlignment="0" applyProtection="0"/>
    <xf numFmtId="9" fontId="29"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5"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9"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6" fillId="0" borderId="0" applyFont="0" applyFill="0" applyBorder="0" applyAlignment="0" applyProtection="0"/>
    <xf numFmtId="0" fontId="57" fillId="0" borderId="9" applyNumberFormat="0" applyFill="0" applyAlignment="0" applyProtection="0"/>
    <xf numFmtId="2" fontId="13" fillId="0" borderId="0" applyFont="0" applyFill="0" applyBorder="0" applyAlignment="0" applyProtection="0"/>
    <xf numFmtId="0" fontId="58" fillId="0" borderId="0" applyNumberFormat="0" applyFill="0" applyBorder="0" applyAlignment="0" applyProtection="0"/>
    <xf numFmtId="176" fontId="12" fillId="0" borderId="0" applyNumberFormat="0" applyFont="0" applyFill="0" applyBorder="0" applyAlignment="0" applyProtection="0"/>
    <xf numFmtId="0" fontId="12" fillId="0" borderId="0"/>
    <xf numFmtId="171" fontId="67" fillId="0" borderId="0" applyFont="0" applyFill="0" applyBorder="0" applyAlignment="0" applyProtection="0"/>
    <xf numFmtId="9" fontId="7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2" fillId="0" borderId="0" applyFont="0" applyFill="0" applyBorder="0" applyAlignment="0" applyProtection="0"/>
    <xf numFmtId="178" fontId="12" fillId="0" borderId="0" applyFont="0" applyFill="0" applyBorder="0" applyAlignment="0" applyProtection="0"/>
    <xf numFmtId="171" fontId="55"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xf numFmtId="171" fontId="26"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3" fillId="0" borderId="0"/>
    <xf numFmtId="9" fontId="3" fillId="0" borderId="0" applyFont="0" applyFill="0" applyBorder="0" applyAlignment="0" applyProtection="0"/>
    <xf numFmtId="0" fontId="40" fillId="0" borderId="0" applyNumberFormat="0" applyFill="0" applyBorder="0" applyAlignment="0" applyProtection="0"/>
    <xf numFmtId="171" fontId="12" fillId="0" borderId="0" applyFont="0" applyFill="0" applyBorder="0" applyAlignment="0" applyProtection="0"/>
    <xf numFmtId="0" fontId="3" fillId="0" borderId="0"/>
    <xf numFmtId="0" fontId="3" fillId="0" borderId="0"/>
    <xf numFmtId="0" fontId="3" fillId="0" borderId="0"/>
    <xf numFmtId="0" fontId="3" fillId="0" borderId="0"/>
    <xf numFmtId="9" fontId="4" fillId="0" borderId="0" applyFont="0" applyFill="0" applyBorder="0" applyAlignment="0" applyProtection="0"/>
    <xf numFmtId="9" fontId="1" fillId="0" borderId="0" applyFont="0" applyFill="0" applyBorder="0" applyAlignment="0" applyProtection="0"/>
    <xf numFmtId="9" fontId="44"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9" fillId="0" borderId="0" applyFont="0" applyFill="0" applyBorder="0" applyAlignment="0" applyProtection="0"/>
    <xf numFmtId="9" fontId="27"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7" fillId="0" borderId="0" applyFont="0" applyFill="0" applyBorder="0" applyAlignment="0" applyProtection="0"/>
    <xf numFmtId="9" fontId="3" fillId="0" borderId="0" applyFont="0" applyFill="0" applyBorder="0" applyAlignment="0" applyProtection="0"/>
    <xf numFmtId="0" fontId="3" fillId="0" borderId="0"/>
    <xf numFmtId="0" fontId="4" fillId="0" borderId="0"/>
    <xf numFmtId="164" fontId="3" fillId="0" borderId="0" applyFont="0" applyFill="0" applyBorder="0" applyAlignment="0" applyProtection="0"/>
    <xf numFmtId="0" fontId="3" fillId="0" borderId="0"/>
    <xf numFmtId="0" fontId="67" fillId="0" borderId="0"/>
    <xf numFmtId="176" fontId="67" fillId="0" borderId="0" applyNumberFormat="0" applyFont="0" applyFill="0" applyBorder="0" applyAlignment="0" applyProtection="0"/>
    <xf numFmtId="2" fontId="68"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67" fillId="0" borderId="0" applyFont="0" applyFill="0" applyBorder="0" applyAlignment="0" applyProtection="0"/>
    <xf numFmtId="9" fontId="65" fillId="0" borderId="0" applyFont="0" applyFill="0" applyBorder="0" applyAlignment="0" applyProtection="0"/>
    <xf numFmtId="9" fontId="72" fillId="0" borderId="0" applyFont="0" applyFill="0" applyBorder="0" applyAlignment="0" applyProtection="0"/>
    <xf numFmtId="0" fontId="59" fillId="0" borderId="0"/>
    <xf numFmtId="0" fontId="67" fillId="0" borderId="0"/>
    <xf numFmtId="0" fontId="67" fillId="0" borderId="0"/>
    <xf numFmtId="0" fontId="67" fillId="0" borderId="0"/>
    <xf numFmtId="176" fontId="67" fillId="0" borderId="0" applyNumberFormat="0" applyFont="0" applyFill="0" applyBorder="0" applyAlignment="0" applyProtection="0"/>
    <xf numFmtId="0" fontId="67" fillId="0" borderId="0"/>
    <xf numFmtId="173" fontId="68" fillId="0" borderId="0" applyFont="0" applyFill="0" applyBorder="0" applyAlignment="0" applyProtection="0"/>
    <xf numFmtId="3" fontId="68" fillId="0" borderId="0" applyFont="0" applyFill="0" applyBorder="0" applyAlignment="0" applyProtection="0"/>
    <xf numFmtId="0" fontId="70" fillId="0" borderId="0" applyNumberFormat="0" applyFill="0" applyBorder="0" applyAlignment="0" applyProtection="0"/>
    <xf numFmtId="0" fontId="69" fillId="0" borderId="0" applyNumberFormat="0" applyFill="0" applyBorder="0" applyAlignment="0" applyProtection="0"/>
    <xf numFmtId="0" fontId="68" fillId="0" borderId="0" applyFont="0" applyFill="0" applyBorder="0" applyAlignment="0" applyProtection="0"/>
    <xf numFmtId="175" fontId="65" fillId="0" borderId="0" applyFont="0" applyFill="0" applyBorder="0" applyAlignment="0" applyProtection="0"/>
    <xf numFmtId="2" fontId="68" fillId="0" borderId="0" applyFont="0" applyFill="0" applyBorder="0" applyAlignment="0" applyProtection="0"/>
    <xf numFmtId="9" fontId="3" fillId="0" borderId="0" applyFont="0" applyFill="0" applyBorder="0" applyAlignment="0" applyProtection="0"/>
    <xf numFmtId="2" fontId="67" fillId="0" borderId="0" applyFont="0" applyFill="0" applyBorder="0" applyProtection="0">
      <alignment horizontal="right"/>
    </xf>
    <xf numFmtId="2" fontId="67" fillId="0" borderId="0" applyFont="0" applyFill="0" applyBorder="0" applyProtection="0">
      <alignment horizontal="right"/>
    </xf>
    <xf numFmtId="0" fontId="67" fillId="0" borderId="0"/>
    <xf numFmtId="9" fontId="71"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0" fontId="67" fillId="49" borderId="12" applyNumberFormat="0" applyFont="0" applyAlignment="0" applyProtection="0"/>
    <xf numFmtId="0" fontId="3" fillId="0" borderId="0"/>
    <xf numFmtId="0" fontId="67" fillId="0" borderId="0"/>
    <xf numFmtId="0" fontId="67" fillId="0" borderId="0"/>
    <xf numFmtId="0" fontId="72" fillId="0" borderId="0"/>
    <xf numFmtId="0" fontId="71" fillId="0" borderId="0"/>
    <xf numFmtId="0" fontId="67" fillId="0" borderId="0"/>
    <xf numFmtId="0" fontId="68" fillId="0" borderId="0"/>
    <xf numFmtId="0" fontId="68" fillId="0" borderId="0"/>
    <xf numFmtId="9" fontId="3" fillId="0" borderId="0" applyFont="0" applyFill="0" applyBorder="0" applyAlignment="0" applyProtection="0"/>
    <xf numFmtId="0" fontId="67" fillId="0" borderId="0"/>
    <xf numFmtId="173" fontId="68" fillId="0" borderId="0" applyFont="0" applyFill="0" applyBorder="0" applyAlignment="0" applyProtection="0"/>
    <xf numFmtId="2" fontId="67" fillId="0" borderId="0" applyFont="0" applyFill="0" applyBorder="0" applyAlignment="0" applyProtection="0"/>
    <xf numFmtId="3" fontId="68" fillId="0" borderId="0" applyFont="0" applyFill="0" applyBorder="0" applyAlignment="0" applyProtection="0"/>
    <xf numFmtId="0" fontId="70" fillId="0" borderId="0" applyNumberFormat="0" applyFill="0" applyBorder="0" applyAlignment="0" applyProtection="0"/>
    <xf numFmtId="0" fontId="69" fillId="0" borderId="0" applyNumberFormat="0" applyFill="0" applyBorder="0" applyAlignment="0" applyProtection="0"/>
    <xf numFmtId="0" fontId="68" fillId="0" borderId="0" applyFont="0" applyFill="0" applyBorder="0" applyAlignment="0" applyProtection="0"/>
    <xf numFmtId="165" fontId="67" fillId="0" borderId="0" applyFont="0" applyFill="0" applyBorder="0" applyAlignment="0" applyProtection="0"/>
    <xf numFmtId="3" fontId="67" fillId="0" borderId="0" applyFont="0" applyFill="0" applyBorder="0" applyAlignment="0" applyProtection="0"/>
    <xf numFmtId="179" fontId="12" fillId="0" borderId="0" applyFont="0" applyFill="0" applyBorder="0" applyAlignment="0" applyProtection="0"/>
    <xf numFmtId="0" fontId="12" fillId="0" borderId="0"/>
    <xf numFmtId="0" fontId="3" fillId="0" borderId="0"/>
    <xf numFmtId="0" fontId="3" fillId="0" borderId="0"/>
    <xf numFmtId="9" fontId="1" fillId="0" borderId="0" applyFont="0" applyFill="0" applyBorder="0" applyAlignment="0" applyProtection="0"/>
    <xf numFmtId="9" fontId="3" fillId="0" borderId="0" applyFont="0" applyFill="0" applyBorder="0" applyAlignment="0" applyProtection="0"/>
    <xf numFmtId="0" fontId="3" fillId="0" borderId="0"/>
    <xf numFmtId="9" fontId="72" fillId="0" borderId="0" applyFont="0" applyFill="0" applyBorder="0" applyAlignment="0" applyProtection="0"/>
    <xf numFmtId="9" fontId="71" fillId="0" borderId="0" applyFont="0" applyFill="0" applyBorder="0" applyAlignment="0" applyProtection="0"/>
    <xf numFmtId="171" fontId="67" fillId="0" borderId="0" applyFont="0" applyFill="0" applyBorder="0" applyAlignment="0" applyProtection="0"/>
    <xf numFmtId="178" fontId="67" fillId="0" borderId="0" applyFont="0" applyFill="0" applyBorder="0" applyAlignment="0" applyProtection="0"/>
    <xf numFmtId="179" fontId="67" fillId="0" borderId="0" applyFont="0" applyFill="0" applyBorder="0" applyAlignment="0" applyProtection="0"/>
    <xf numFmtId="0" fontId="67" fillId="0" borderId="0"/>
  </cellStyleXfs>
  <cellXfs count="229">
    <xf numFmtId="0" fontId="0" fillId="0" borderId="0" xfId="0"/>
    <xf numFmtId="0" fontId="63" fillId="0" borderId="0" xfId="0" applyFont="1" applyAlignment="1">
      <alignment horizontal="left"/>
    </xf>
    <xf numFmtId="0" fontId="60" fillId="0" borderId="0" xfId="0" applyFont="1" applyAlignment="1">
      <alignment horizontal="left"/>
    </xf>
    <xf numFmtId="1" fontId="60" fillId="0" borderId="0" xfId="1" applyNumberFormat="1" applyFont="1" applyAlignment="1">
      <alignment horizontal="center" vertical="center"/>
    </xf>
    <xf numFmtId="181" fontId="60" fillId="0" borderId="0" xfId="1" applyNumberFormat="1" applyFont="1" applyAlignment="1">
      <alignment horizontal="center" vertical="center"/>
    </xf>
    <xf numFmtId="9" fontId="0" fillId="0" borderId="0" xfId="2" applyFont="1" applyAlignment="1">
      <alignment horizontal="center"/>
    </xf>
    <xf numFmtId="174" fontId="60" fillId="0" borderId="0" xfId="0" applyNumberFormat="1" applyFont="1" applyAlignment="1">
      <alignment horizontal="left" vertical="center"/>
    </xf>
    <xf numFmtId="174" fontId="0" fillId="0" borderId="0" xfId="0" applyNumberFormat="1"/>
    <xf numFmtId="174" fontId="1" fillId="0" borderId="0" xfId="2" applyNumberFormat="1" applyFont="1" applyAlignment="1">
      <alignment horizontal="center" vertical="center" wrapText="1"/>
    </xf>
    <xf numFmtId="174" fontId="60" fillId="0" borderId="0" xfId="2" applyNumberFormat="1" applyFont="1" applyAlignment="1">
      <alignment horizontal="center" vertical="center"/>
    </xf>
    <xf numFmtId="9" fontId="60" fillId="0" borderId="0" xfId="2" applyFont="1" applyAlignment="1">
      <alignment horizontal="center" vertical="center"/>
    </xf>
    <xf numFmtId="180" fontId="60" fillId="0" borderId="0" xfId="0" applyNumberFormat="1" applyFont="1" applyAlignment="1">
      <alignment horizontal="center"/>
    </xf>
    <xf numFmtId="177" fontId="60" fillId="0" borderId="0" xfId="0" applyNumberFormat="1" applyFont="1" applyAlignment="1">
      <alignment horizontal="center"/>
    </xf>
    <xf numFmtId="0" fontId="60" fillId="0" borderId="0" xfId="0" applyFont="1" applyAlignment="1">
      <alignment horizontal="center" vertical="center" wrapText="1"/>
    </xf>
    <xf numFmtId="0" fontId="60" fillId="0" borderId="0" xfId="0" applyFont="1" applyAlignment="1">
      <alignment horizontal="center" vertical="center"/>
    </xf>
    <xf numFmtId="0" fontId="60" fillId="0" borderId="0" xfId="0" applyFont="1" applyAlignment="1">
      <alignment horizontal="center"/>
    </xf>
    <xf numFmtId="1" fontId="0" fillId="0" borderId="0" xfId="0" applyNumberFormat="1"/>
    <xf numFmtId="181" fontId="0" fillId="0" borderId="0" xfId="1" applyNumberFormat="1" applyFont="1"/>
    <xf numFmtId="0" fontId="66" fillId="0" borderId="0" xfId="0" applyFont="1" applyAlignment="1">
      <alignment vertical="center" wrapText="1"/>
    </xf>
    <xf numFmtId="0" fontId="0" fillId="0" borderId="0" xfId="0" applyAlignment="1"/>
    <xf numFmtId="0" fontId="0" fillId="0" borderId="0" xfId="0" applyAlignment="1">
      <alignment horizontal="left"/>
    </xf>
    <xf numFmtId="174" fontId="0" fillId="0" borderId="0" xfId="2" applyNumberFormat="1" applyFont="1" applyAlignment="1">
      <alignment horizontal="center"/>
    </xf>
    <xf numFmtId="0" fontId="66" fillId="0" borderId="0" xfId="0" applyFont="1" applyAlignment="1">
      <alignment horizontal="center" vertical="center" wrapText="1"/>
    </xf>
    <xf numFmtId="0" fontId="0" fillId="0" borderId="0" xfId="0" applyAlignment="1">
      <alignment horizontal="center"/>
    </xf>
    <xf numFmtId="0" fontId="0" fillId="0" borderId="0" xfId="0" applyFont="1" applyAlignment="1">
      <alignment horizontal="left" vertical="center"/>
    </xf>
    <xf numFmtId="174" fontId="0" fillId="0" borderId="0" xfId="2" applyNumberFormat="1" applyFont="1" applyAlignment="1">
      <alignment horizontal="center" vertical="center"/>
    </xf>
    <xf numFmtId="0" fontId="2" fillId="0" borderId="0" xfId="0" applyFont="1" applyAlignment="1">
      <alignment vertical="center"/>
    </xf>
    <xf numFmtId="174" fontId="0" fillId="0" borderId="0" xfId="2" applyNumberFormat="1" applyFont="1"/>
    <xf numFmtId="9" fontId="0" fillId="0" borderId="0" xfId="2" applyFont="1"/>
    <xf numFmtId="0" fontId="0" fillId="0" borderId="0" xfId="0" applyAlignment="1">
      <alignment horizontal="center" vertical="center"/>
    </xf>
    <xf numFmtId="0" fontId="61" fillId="0" borderId="0" xfId="0" applyFont="1" applyAlignment="1">
      <alignment vertical="center"/>
    </xf>
    <xf numFmtId="0" fontId="0" fillId="0" borderId="0" xfId="0" applyAlignment="1">
      <alignment vertical="center"/>
    </xf>
    <xf numFmtId="0" fontId="2" fillId="0" borderId="0" xfId="0" applyFont="1" applyAlignment="1">
      <alignment horizontal="center"/>
    </xf>
    <xf numFmtId="174" fontId="63" fillId="0" borderId="0" xfId="0" applyNumberFormat="1" applyFont="1" applyAlignment="1">
      <alignment horizontal="center" vertical="center"/>
    </xf>
    <xf numFmtId="174" fontId="2" fillId="0" borderId="0" xfId="0" applyNumberFormat="1" applyFont="1" applyAlignment="1">
      <alignment horizontal="center" vertical="center"/>
    </xf>
    <xf numFmtId="174" fontId="2" fillId="0" borderId="0" xfId="2" applyNumberFormat="1" applyFont="1" applyAlignment="1">
      <alignment horizontal="center" vertical="center" wrapText="1"/>
    </xf>
    <xf numFmtId="174" fontId="60" fillId="0" borderId="0" xfId="0" applyNumberFormat="1" applyFont="1" applyAlignment="1">
      <alignment horizontal="center" vertical="center"/>
    </xf>
    <xf numFmtId="0" fontId="62" fillId="0" borderId="0" xfId="0" applyFont="1" applyAlignment="1">
      <alignment horizontal="center" vertical="center"/>
    </xf>
    <xf numFmtId="174" fontId="0" fillId="0" borderId="0" xfId="2" applyNumberFormat="1" applyFont="1"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vertical="center" wrapText="1"/>
    </xf>
    <xf numFmtId="174" fontId="0" fillId="0" borderId="0" xfId="0" applyNumberFormat="1" applyFont="1" applyAlignment="1">
      <alignment horizontal="center" vertical="center"/>
    </xf>
    <xf numFmtId="0" fontId="2" fillId="0" borderId="0" xfId="0" applyFont="1" applyAlignment="1"/>
    <xf numFmtId="0" fontId="62" fillId="0" borderId="0" xfId="0" applyFont="1" applyAlignment="1">
      <alignment horizontal="center" vertical="center" wrapText="1"/>
    </xf>
    <xf numFmtId="0" fontId="0" fillId="0" borderId="0" xfId="0" applyFont="1"/>
    <xf numFmtId="0" fontId="2" fillId="0" borderId="0" xfId="0" applyFont="1" applyAlignment="1">
      <alignment horizontal="center" vertical="center" wrapText="1"/>
    </xf>
    <xf numFmtId="0" fontId="0" fillId="0" borderId="0" xfId="0" applyAlignment="1">
      <alignment horizontal="center" vertical="center" wrapText="1"/>
    </xf>
    <xf numFmtId="0" fontId="2" fillId="0" borderId="0" xfId="0" applyFont="1"/>
    <xf numFmtId="0" fontId="60" fillId="0" borderId="0" xfId="0" applyFont="1"/>
    <xf numFmtId="0" fontId="81" fillId="0" borderId="0" xfId="0" applyFont="1"/>
    <xf numFmtId="181" fontId="2" fillId="0" borderId="0" xfId="1" applyNumberFormat="1" applyFont="1" applyAlignment="1">
      <alignment horizontal="center"/>
    </xf>
    <xf numFmtId="182" fontId="2" fillId="0" borderId="0" xfId="0" applyNumberFormat="1" applyFont="1"/>
    <xf numFmtId="181" fontId="1" fillId="0" borderId="0" xfId="1" applyNumberFormat="1" applyFont="1" applyAlignment="1">
      <alignment vertical="center"/>
    </xf>
    <xf numFmtId="1" fontId="1" fillId="0" borderId="0" xfId="2" applyNumberFormat="1" applyFont="1" applyAlignment="1">
      <alignment horizontal="center" vertical="center" wrapText="1"/>
    </xf>
    <xf numFmtId="181" fontId="60" fillId="0" borderId="0" xfId="1" applyNumberFormat="1" applyFont="1" applyAlignment="1"/>
    <xf numFmtId="181" fontId="0" fillId="0" borderId="0" xfId="1" applyNumberFormat="1" applyFont="1" applyAlignment="1"/>
    <xf numFmtId="0" fontId="64" fillId="0" borderId="0" xfId="0" applyFont="1"/>
    <xf numFmtId="0" fontId="80" fillId="0" borderId="0" xfId="0" applyFont="1"/>
    <xf numFmtId="174" fontId="79" fillId="0" borderId="0" xfId="0" applyNumberFormat="1" applyFont="1" applyAlignment="1">
      <alignment horizontal="center"/>
    </xf>
    <xf numFmtId="174" fontId="78" fillId="0" borderId="0" xfId="0" applyNumberFormat="1" applyFont="1" applyAlignment="1">
      <alignment horizontal="center" vertical="center"/>
    </xf>
    <xf numFmtId="174" fontId="77" fillId="0" borderId="0" xfId="0" applyNumberFormat="1" applyFont="1" applyAlignment="1">
      <alignment horizontal="center" vertical="center"/>
    </xf>
    <xf numFmtId="174" fontId="76" fillId="0" borderId="0" xfId="0" applyNumberFormat="1" applyFont="1" applyAlignment="1">
      <alignment horizontal="center"/>
    </xf>
    <xf numFmtId="174" fontId="75" fillId="0" borderId="0" xfId="0" applyNumberFormat="1" applyFont="1" applyAlignment="1">
      <alignment horizontal="center"/>
    </xf>
    <xf numFmtId="181" fontId="0" fillId="0" borderId="0" xfId="1" applyNumberFormat="1" applyFont="1" applyAlignment="1">
      <alignment horizontal="center"/>
    </xf>
    <xf numFmtId="10" fontId="0" fillId="0" borderId="0" xfId="0" applyNumberFormat="1" applyAlignment="1">
      <alignment horizontal="center"/>
    </xf>
    <xf numFmtId="174" fontId="74" fillId="0" borderId="0" xfId="0" applyNumberFormat="1" applyFont="1" applyAlignment="1">
      <alignment horizontal="center" vertical="center"/>
    </xf>
    <xf numFmtId="174" fontId="73" fillId="0" borderId="0" xfId="0" applyNumberFormat="1" applyFont="1" applyAlignment="1">
      <alignment horizontal="center"/>
    </xf>
    <xf numFmtId="181" fontId="0" fillId="0" borderId="0" xfId="1" applyNumberFormat="1" applyFont="1" applyAlignment="1">
      <alignment horizontal="center" vertical="center"/>
    </xf>
    <xf numFmtId="180" fontId="0" fillId="0" borderId="0" xfId="2" applyNumberFormat="1" applyFont="1"/>
    <xf numFmtId="2" fontId="0" fillId="0" borderId="0" xfId="2" applyNumberFormat="1" applyFont="1" applyAlignment="1">
      <alignment horizontal="center" vertical="center" wrapText="1"/>
    </xf>
    <xf numFmtId="9" fontId="0" fillId="0" borderId="0" xfId="2" applyFont="1" applyAlignment="1">
      <alignment vertical="center"/>
    </xf>
    <xf numFmtId="174" fontId="82" fillId="0" borderId="0" xfId="0" applyNumberFormat="1" applyFont="1" applyAlignment="1">
      <alignment horizontal="center"/>
    </xf>
    <xf numFmtId="174" fontId="83" fillId="0" borderId="0" xfId="0" applyNumberFormat="1" applyFont="1" applyAlignment="1">
      <alignment horizontal="center" vertical="center"/>
    </xf>
    <xf numFmtId="182" fontId="2" fillId="0" borderId="0" xfId="0" applyNumberFormat="1" applyFont="1" applyAlignment="1">
      <alignment horizontal="center"/>
    </xf>
    <xf numFmtId="174" fontId="60" fillId="0" borderId="0" xfId="2" applyNumberFormat="1" applyFont="1" applyAlignment="1">
      <alignment horizontal="center"/>
    </xf>
    <xf numFmtId="181" fontId="66" fillId="0" borderId="0" xfId="1" applyNumberFormat="1" applyFont="1" applyAlignment="1"/>
    <xf numFmtId="0" fontId="0" fillId="0" borderId="0" xfId="0" applyFill="1" applyAlignment="1">
      <alignment horizontal="center" vertical="center" wrapText="1"/>
    </xf>
    <xf numFmtId="9" fontId="0" fillId="0" borderId="0" xfId="2" applyFont="1" applyFill="1" applyAlignment="1">
      <alignment horizontal="center"/>
    </xf>
    <xf numFmtId="1" fontId="62" fillId="0" borderId="0" xfId="0" applyNumberFormat="1" applyFont="1" applyAlignment="1">
      <alignment horizontal="center" vertical="center" wrapText="1"/>
    </xf>
    <xf numFmtId="181" fontId="66" fillId="0" borderId="0" xfId="1" applyNumberFormat="1" applyFont="1" applyAlignment="1">
      <alignment horizontal="center"/>
    </xf>
    <xf numFmtId="181" fontId="85" fillId="0" borderId="0" xfId="1" applyNumberFormat="1" applyFont="1" applyAlignment="1">
      <alignment horizontal="center" vertical="center"/>
    </xf>
    <xf numFmtId="1" fontId="2" fillId="0" borderId="0" xfId="1" applyNumberFormat="1" applyFont="1" applyAlignment="1">
      <alignment horizontal="center" vertical="center"/>
    </xf>
    <xf numFmtId="10" fontId="0" fillId="0" borderId="0" xfId="2" applyNumberFormat="1" applyFont="1"/>
    <xf numFmtId="0" fontId="62" fillId="0" borderId="0" xfId="0" applyFont="1"/>
    <xf numFmtId="177" fontId="62" fillId="0" borderId="0" xfId="0" applyNumberFormat="1" applyFont="1"/>
    <xf numFmtId="0" fontId="0" fillId="0" borderId="0" xfId="0" applyFont="1" applyAlignment="1"/>
    <xf numFmtId="0" fontId="0" fillId="0" borderId="0" xfId="0"/>
    <xf numFmtId="177" fontId="0" fillId="0" borderId="0" xfId="0" applyNumberFormat="1" applyAlignment="1">
      <alignment horizontal="center"/>
    </xf>
    <xf numFmtId="177" fontId="62" fillId="0" borderId="0" xfId="0" applyNumberFormat="1" applyFont="1" applyAlignment="1">
      <alignment horizontal="center"/>
    </xf>
    <xf numFmtId="1" fontId="62" fillId="0" borderId="0" xfId="0" applyNumberFormat="1" applyFont="1" applyAlignment="1">
      <alignment horizontal="center"/>
    </xf>
    <xf numFmtId="1" fontId="0" fillId="0" borderId="0" xfId="0" applyNumberFormat="1" applyAlignment="1">
      <alignment horizontal="center"/>
    </xf>
    <xf numFmtId="174" fontId="0" fillId="0" borderId="0" xfId="0" applyNumberFormat="1" applyAlignment="1">
      <alignment horizontal="center"/>
    </xf>
    <xf numFmtId="181" fontId="0" fillId="0" borderId="0" xfId="0" applyNumberFormat="1"/>
    <xf numFmtId="181" fontId="1" fillId="0" borderId="0" xfId="1" applyNumberFormat="1" applyFont="1"/>
    <xf numFmtId="183" fontId="0" fillId="0" borderId="0" xfId="0" applyNumberFormat="1" applyAlignment="1">
      <alignment horizontal="center"/>
    </xf>
    <xf numFmtId="174" fontId="86" fillId="0" borderId="0" xfId="2" applyNumberFormat="1" applyFont="1" applyAlignment="1">
      <alignment horizontal="center"/>
    </xf>
    <xf numFmtId="0" fontId="86" fillId="0" borderId="0" xfId="0" applyFont="1"/>
    <xf numFmtId="174" fontId="0" fillId="0" borderId="0" xfId="2" applyNumberFormat="1" applyFont="1" applyFill="1" applyAlignment="1">
      <alignment horizontal="center"/>
    </xf>
    <xf numFmtId="181" fontId="1" fillId="0" borderId="0" xfId="1" applyNumberFormat="1" applyFont="1" applyAlignment="1">
      <alignment horizontal="center"/>
    </xf>
    <xf numFmtId="2" fontId="1" fillId="0" borderId="0" xfId="1" applyNumberFormat="1" applyFont="1" applyAlignment="1">
      <alignment horizontal="center"/>
    </xf>
    <xf numFmtId="9" fontId="1" fillId="0" borderId="0" xfId="2" applyNumberFormat="1" applyFont="1" applyAlignment="1">
      <alignment horizontal="center"/>
    </xf>
    <xf numFmtId="1" fontId="2" fillId="0" borderId="0" xfId="2" applyNumberFormat="1" applyFont="1" applyAlignment="1">
      <alignment horizontal="center"/>
    </xf>
    <xf numFmtId="1" fontId="2" fillId="0" borderId="0" xfId="1" applyNumberFormat="1" applyFont="1" applyAlignment="1">
      <alignment horizontal="center"/>
    </xf>
    <xf numFmtId="1" fontId="0" fillId="0" borderId="0" xfId="0" applyNumberFormat="1"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center" vertical="center" wrapText="1"/>
    </xf>
    <xf numFmtId="184" fontId="0" fillId="0" borderId="0" xfId="0" applyNumberFormat="1" applyAlignment="1">
      <alignment horizontal="center"/>
    </xf>
    <xf numFmtId="174" fontId="1" fillId="0" borderId="0" xfId="2" applyNumberFormat="1" applyFont="1" applyAlignment="1">
      <alignment horizontal="center"/>
    </xf>
    <xf numFmtId="1" fontId="0" fillId="0" borderId="0" xfId="2" applyNumberFormat="1" applyFont="1" applyAlignment="1">
      <alignment horizontal="center" vertical="center"/>
    </xf>
    <xf numFmtId="0" fontId="66" fillId="0" borderId="0" xfId="0" applyFont="1" applyAlignment="1">
      <alignment horizontal="center" vertical="center"/>
    </xf>
    <xf numFmtId="174" fontId="0" fillId="0" borderId="0" xfId="0" applyNumberFormat="1" applyAlignment="1">
      <alignment horizontal="center" vertical="center"/>
    </xf>
    <xf numFmtId="11" fontId="0" fillId="0" borderId="0" xfId="1" applyNumberFormat="1" applyFont="1" applyAlignment="1">
      <alignment horizontal="center"/>
    </xf>
    <xf numFmtId="174" fontId="0" fillId="0" borderId="0" xfId="2" applyNumberFormat="1" applyFont="1" applyAlignment="1">
      <alignment horizontal="center" vertical="center"/>
    </xf>
    <xf numFmtId="174" fontId="87" fillId="0" borderId="0" xfId="0" applyNumberFormat="1" applyFont="1" applyAlignment="1">
      <alignment horizontal="center" vertical="center"/>
    </xf>
    <xf numFmtId="1" fontId="0" fillId="0" borderId="0" xfId="1" applyNumberFormat="1" applyFont="1" applyAlignment="1">
      <alignment horizontal="center"/>
    </xf>
    <xf numFmtId="181" fontId="88" fillId="0" borderId="0" xfId="0" applyNumberFormat="1" applyFont="1"/>
    <xf numFmtId="181" fontId="88" fillId="0" borderId="0" xfId="1" applyNumberFormat="1" applyFont="1"/>
    <xf numFmtId="0" fontId="88" fillId="0" borderId="0" xfId="0" applyFont="1"/>
    <xf numFmtId="0" fontId="88" fillId="0" borderId="0" xfId="0" applyFont="1" applyAlignment="1">
      <alignment horizontal="left"/>
    </xf>
    <xf numFmtId="181" fontId="89" fillId="0" borderId="0" xfId="1" applyNumberFormat="1" applyFont="1" applyAlignment="1">
      <alignment horizontal="center" vertical="center"/>
    </xf>
    <xf numFmtId="174" fontId="60" fillId="0" borderId="0" xfId="2" applyNumberFormat="1" applyFont="1" applyAlignment="1">
      <alignment horizontal="center" vertical="center" wrapText="1"/>
    </xf>
    <xf numFmtId="182" fontId="91" fillId="0" borderId="0" xfId="0" applyNumberFormat="1" applyFont="1"/>
    <xf numFmtId="2" fontId="0" fillId="0" borderId="0" xfId="1" applyNumberFormat="1" applyFont="1" applyAlignment="1">
      <alignment horizontal="center" vertical="center"/>
    </xf>
    <xf numFmtId="0" fontId="0" fillId="0" borderId="0" xfId="0" applyAlignment="1">
      <alignment wrapText="1"/>
    </xf>
    <xf numFmtId="0" fontId="0" fillId="0" borderId="0" xfId="0" applyAlignment="1">
      <alignment horizontal="center" wrapText="1"/>
    </xf>
    <xf numFmtId="177" fontId="2" fillId="0" borderId="0" xfId="1" applyNumberFormat="1" applyFont="1" applyAlignment="1">
      <alignment horizontal="center" vertical="center"/>
    </xf>
    <xf numFmtId="177" fontId="93" fillId="0" borderId="0" xfId="1" applyNumberFormat="1" applyFont="1" applyAlignment="1">
      <alignment horizontal="center" vertical="center"/>
    </xf>
    <xf numFmtId="0" fontId="0" fillId="0" borderId="0" xfId="0" applyFont="1" applyAlignment="1">
      <alignment vertical="center"/>
    </xf>
    <xf numFmtId="10" fontId="0" fillId="0" borderId="0" xfId="2" applyNumberFormat="1" applyFont="1" applyAlignment="1">
      <alignment horizontal="center"/>
    </xf>
    <xf numFmtId="0" fontId="84" fillId="0" borderId="0" xfId="0" applyFont="1" applyAlignment="1">
      <alignment vertical="center" wrapText="1"/>
    </xf>
    <xf numFmtId="2" fontId="0" fillId="0" borderId="0" xfId="0" applyNumberFormat="1" applyAlignment="1">
      <alignment horizontal="center"/>
    </xf>
    <xf numFmtId="0" fontId="95" fillId="0" borderId="0" xfId="0" applyFont="1" applyAlignment="1">
      <alignment vertical="center"/>
    </xf>
    <xf numFmtId="0" fontId="79" fillId="0" borderId="0" xfId="0" applyFont="1" applyAlignment="1">
      <alignment horizontal="center" vertical="center"/>
    </xf>
    <xf numFmtId="185" fontId="0" fillId="0" borderId="0" xfId="0" applyNumberFormat="1" applyAlignment="1">
      <alignment horizontal="center"/>
    </xf>
    <xf numFmtId="0" fontId="75" fillId="0" borderId="0" xfId="0" applyFont="1" applyAlignment="1">
      <alignment horizontal="center"/>
    </xf>
    <xf numFmtId="0" fontId="94" fillId="0" borderId="0" xfId="0" applyFont="1" applyAlignment="1">
      <alignment horizontal="center"/>
    </xf>
    <xf numFmtId="0" fontId="76" fillId="0" borderId="0" xfId="0" applyFont="1" applyAlignment="1">
      <alignment horizontal="center"/>
    </xf>
    <xf numFmtId="0" fontId="79" fillId="0" borderId="0" xfId="0" applyFont="1" applyAlignment="1">
      <alignment horizontal="center"/>
    </xf>
    <xf numFmtId="0" fontId="82" fillId="0" borderId="0" xfId="0" applyFont="1" applyAlignment="1">
      <alignment horizontal="center"/>
    </xf>
    <xf numFmtId="2" fontId="60" fillId="0" borderId="0" xfId="0" applyNumberFormat="1" applyFont="1" applyAlignment="1">
      <alignment horizontal="center"/>
    </xf>
    <xf numFmtId="1" fontId="60" fillId="0" borderId="0" xfId="0" applyNumberFormat="1" applyFont="1"/>
    <xf numFmtId="174" fontId="90" fillId="0" borderId="0" xfId="2" applyNumberFormat="1" applyFont="1" applyAlignment="1">
      <alignment horizontal="center"/>
    </xf>
    <xf numFmtId="11" fontId="60" fillId="0" borderId="0" xfId="0" applyNumberFormat="1" applyFont="1" applyAlignment="1">
      <alignment horizontal="center" vertical="center"/>
    </xf>
    <xf numFmtId="183" fontId="60" fillId="0" borderId="0" xfId="1" applyNumberFormat="1" applyFont="1" applyAlignment="1">
      <alignment horizontal="center" vertical="center"/>
    </xf>
    <xf numFmtId="181" fontId="60" fillId="0" borderId="0" xfId="1" quotePrefix="1" applyNumberFormat="1" applyFont="1" applyAlignment="1">
      <alignment horizontal="center" vertical="center"/>
    </xf>
    <xf numFmtId="186" fontId="0" fillId="0" borderId="0" xfId="1" applyNumberFormat="1" applyFont="1"/>
    <xf numFmtId="10" fontId="0" fillId="0" borderId="0" xfId="0" applyNumberFormat="1" applyFont="1" applyAlignment="1">
      <alignment horizontal="left" vertical="center"/>
    </xf>
    <xf numFmtId="0" fontId="97" fillId="0" borderId="0" xfId="0" applyFont="1" applyAlignment="1">
      <alignment horizontal="center" vertical="center" wrapText="1"/>
    </xf>
    <xf numFmtId="0" fontId="94" fillId="0" borderId="20" xfId="0" applyFont="1" applyBorder="1" applyAlignment="1">
      <alignment horizontal="center"/>
    </xf>
    <xf numFmtId="174" fontId="0" fillId="0" borderId="21" xfId="2" applyNumberFormat="1" applyFont="1" applyBorder="1" applyAlignment="1">
      <alignment horizontal="center"/>
    </xf>
    <xf numFmtId="0" fontId="75" fillId="0" borderId="22" xfId="0" applyFont="1" applyBorder="1" applyAlignment="1">
      <alignment horizontal="center"/>
    </xf>
    <xf numFmtId="174" fontId="0" fillId="0" borderId="23" xfId="2" applyNumberFormat="1" applyFont="1" applyBorder="1" applyAlignment="1">
      <alignment horizontal="center"/>
    </xf>
    <xf numFmtId="0" fontId="76" fillId="0" borderId="22" xfId="0" applyFont="1" applyBorder="1" applyAlignment="1">
      <alignment horizontal="center"/>
    </xf>
    <xf numFmtId="0" fontId="79" fillId="0" borderId="22" xfId="0" applyFont="1" applyBorder="1" applyAlignment="1">
      <alignment horizontal="center"/>
    </xf>
    <xf numFmtId="0" fontId="82" fillId="0" borderId="24" xfId="0" applyFont="1" applyBorder="1" applyAlignment="1">
      <alignment horizontal="center"/>
    </xf>
    <xf numFmtId="174" fontId="0" fillId="0" borderId="25" xfId="2" applyNumberFormat="1" applyFont="1" applyBorder="1" applyAlignment="1">
      <alignment horizontal="center"/>
    </xf>
    <xf numFmtId="0" fontId="86" fillId="0" borderId="0" xfId="0" applyFont="1" applyAlignment="1">
      <alignment horizontal="center" vertical="center" wrapText="1"/>
    </xf>
    <xf numFmtId="9" fontId="86" fillId="0" borderId="0" xfId="2" applyFont="1" applyFill="1" applyAlignment="1">
      <alignment horizontal="center"/>
    </xf>
    <xf numFmtId="10" fontId="86" fillId="0" borderId="0" xfId="2" applyNumberFormat="1" applyFont="1" applyFill="1" applyAlignment="1">
      <alignment horizontal="center"/>
    </xf>
    <xf numFmtId="0" fontId="0" fillId="0" borderId="0" xfId="0" applyFont="1" applyAlignment="1">
      <alignment wrapText="1"/>
    </xf>
    <xf numFmtId="0" fontId="0" fillId="0" borderId="0" xfId="0" applyFont="1" applyAlignment="1">
      <alignment horizontal="center"/>
    </xf>
    <xf numFmtId="0" fontId="0" fillId="0" borderId="0" xfId="0" applyFont="1" applyAlignment="1">
      <alignment horizontal="left"/>
    </xf>
    <xf numFmtId="181" fontId="60" fillId="0" borderId="0" xfId="1" applyNumberFormat="1" applyFont="1" applyAlignment="1">
      <alignment horizontal="center"/>
    </xf>
    <xf numFmtId="0" fontId="0" fillId="0" borderId="0" xfId="0" applyFont="1" applyAlignment="1">
      <alignment horizontal="center" wrapText="1"/>
    </xf>
    <xf numFmtId="0" fontId="0" fillId="0" borderId="0" xfId="0" applyFont="1" applyAlignment="1">
      <alignment horizontal="left" vertical="center" wrapText="1"/>
    </xf>
    <xf numFmtId="181" fontId="0" fillId="0" borderId="0" xfId="1" applyNumberFormat="1" applyFont="1" applyFill="1" applyAlignment="1">
      <alignment horizontal="center"/>
    </xf>
    <xf numFmtId="181" fontId="66" fillId="0" borderId="0" xfId="1" applyNumberFormat="1" applyFont="1" applyFill="1" applyAlignment="1">
      <alignment horizontal="center"/>
    </xf>
    <xf numFmtId="0" fontId="0" fillId="0" borderId="0" xfId="0" applyFont="1" applyFill="1" applyAlignment="1">
      <alignment horizontal="center" vertical="center" wrapText="1"/>
    </xf>
    <xf numFmtId="1" fontId="1" fillId="0" borderId="0" xfId="2" applyNumberFormat="1" applyFont="1" applyAlignment="1">
      <alignment horizontal="center"/>
    </xf>
    <xf numFmtId="1" fontId="1" fillId="0" borderId="0" xfId="1" applyNumberFormat="1" applyFont="1" applyAlignment="1">
      <alignment horizontal="center"/>
    </xf>
    <xf numFmtId="182" fontId="0" fillId="0" borderId="0" xfId="0" applyNumberFormat="1" applyFont="1"/>
    <xf numFmtId="183" fontId="93" fillId="0" borderId="0" xfId="1" applyNumberFormat="1" applyFont="1" applyAlignment="1">
      <alignment horizontal="center" vertical="center"/>
    </xf>
    <xf numFmtId="0" fontId="66" fillId="0" borderId="0" xfId="0" applyNumberFormat="1" applyFont="1" applyAlignment="1">
      <alignment vertical="center"/>
    </xf>
    <xf numFmtId="0" fontId="66" fillId="0" borderId="0" xfId="1" applyNumberFormat="1" applyFont="1" applyAlignment="1">
      <alignment horizontal="left" vertical="center"/>
    </xf>
    <xf numFmtId="174" fontId="0" fillId="0" borderId="0" xfId="0" applyNumberFormat="1" applyFont="1" applyAlignment="1">
      <alignment horizontal="center"/>
    </xf>
    <xf numFmtId="0" fontId="2" fillId="0" borderId="0" xfId="0" applyFont="1" applyAlignment="1">
      <alignment horizontal="left"/>
    </xf>
    <xf numFmtId="3" fontId="0" fillId="0" borderId="0" xfId="0" applyNumberFormat="1" applyFont="1" applyAlignment="1"/>
    <xf numFmtId="2" fontId="1" fillId="0" borderId="0" xfId="2" applyNumberFormat="1" applyFont="1" applyAlignment="1">
      <alignment horizontal="center" vertical="center" wrapText="1"/>
    </xf>
    <xf numFmtId="9" fontId="1" fillId="0" borderId="0" xfId="2" applyFont="1"/>
    <xf numFmtId="9" fontId="1" fillId="0" borderId="0" xfId="2" applyFont="1" applyAlignment="1">
      <alignment horizontal="center" vertical="center"/>
    </xf>
    <xf numFmtId="9" fontId="1" fillId="0" borderId="0" xfId="2" applyFont="1" applyAlignment="1">
      <alignment vertical="center"/>
    </xf>
    <xf numFmtId="181" fontId="1" fillId="0" borderId="0" xfId="1" applyNumberFormat="1" applyFont="1" applyAlignment="1">
      <alignment horizontal="center" vertical="center"/>
    </xf>
    <xf numFmtId="9" fontId="1" fillId="0" borderId="0" xfId="2" applyFont="1" applyAlignment="1">
      <alignment horizontal="center" vertical="center" wrapText="1"/>
    </xf>
    <xf numFmtId="174" fontId="0" fillId="0" borderId="0" xfId="0" applyNumberFormat="1" applyFont="1"/>
    <xf numFmtId="181" fontId="0" fillId="0" borderId="0" xfId="0" applyNumberFormat="1" applyFont="1"/>
    <xf numFmtId="1" fontId="0" fillId="0" borderId="0" xfId="0" applyNumberFormat="1" applyFont="1" applyAlignment="1">
      <alignment horizontal="center" vertical="center"/>
    </xf>
    <xf numFmtId="10" fontId="1" fillId="0" borderId="0" xfId="2" applyNumberFormat="1" applyFont="1" applyAlignment="1">
      <alignment horizontal="center" vertical="center"/>
    </xf>
    <xf numFmtId="174" fontId="1" fillId="0" borderId="0" xfId="2" applyNumberFormat="1" applyFont="1" applyAlignment="1">
      <alignment horizontal="center" vertical="center"/>
    </xf>
    <xf numFmtId="177" fontId="0" fillId="0" borderId="0" xfId="0" applyNumberFormat="1" applyFont="1" applyAlignment="1">
      <alignment horizontal="center" vertical="center"/>
    </xf>
    <xf numFmtId="2" fontId="0" fillId="0" borderId="0" xfId="0" applyNumberFormat="1" applyFont="1" applyAlignment="1">
      <alignment horizontal="center" vertical="center"/>
    </xf>
    <xf numFmtId="183" fontId="0" fillId="0" borderId="0" xfId="0" applyNumberFormat="1" applyFont="1" applyAlignment="1">
      <alignment horizontal="center" vertical="center"/>
    </xf>
    <xf numFmtId="174" fontId="1" fillId="0" borderId="0" xfId="2" applyNumberFormat="1" applyFont="1"/>
    <xf numFmtId="181" fontId="1" fillId="0" borderId="0" xfId="1" applyNumberFormat="1" applyFont="1" applyAlignment="1"/>
    <xf numFmtId="2" fontId="1" fillId="0" borderId="0" xfId="2" applyNumberFormat="1" applyFont="1" applyAlignment="1">
      <alignment horizontal="center"/>
    </xf>
    <xf numFmtId="0" fontId="2" fillId="52" borderId="0" xfId="0" applyFont="1" applyFill="1" applyAlignment="1">
      <alignment horizontal="center" vertical="center"/>
    </xf>
    <xf numFmtId="0" fontId="2" fillId="53" borderId="0" xfId="0" applyFont="1" applyFill="1" applyAlignment="1">
      <alignment horizontal="center"/>
    </xf>
    <xf numFmtId="0" fontId="2" fillId="51" borderId="0" xfId="0" applyFont="1" applyFill="1" applyAlignment="1">
      <alignment horizontal="center" vertical="center"/>
    </xf>
    <xf numFmtId="0" fontId="2" fillId="53" borderId="0" xfId="0" applyFont="1" applyFill="1" applyAlignment="1">
      <alignment horizontal="center" vertical="center"/>
    </xf>
    <xf numFmtId="0" fontId="2" fillId="0" borderId="0" xfId="0" applyFont="1" applyAlignment="1">
      <alignment horizontal="center" vertical="center"/>
    </xf>
    <xf numFmtId="0" fontId="0" fillId="0" borderId="0" xfId="0" applyFont="1" applyAlignment="1">
      <alignment horizontal="center" vertical="center" wrapText="1"/>
    </xf>
    <xf numFmtId="0" fontId="64" fillId="0" borderId="0" xfId="0" applyFont="1" applyAlignment="1">
      <alignment horizontal="center" vertical="center"/>
    </xf>
    <xf numFmtId="0" fontId="79" fillId="0" borderId="0" xfId="0" applyFont="1" applyAlignment="1">
      <alignment horizontal="center" vertical="center"/>
    </xf>
    <xf numFmtId="0" fontId="0" fillId="0" borderId="0" xfId="0" applyFont="1" applyAlignment="1">
      <alignment horizontal="center" vertical="center"/>
    </xf>
    <xf numFmtId="0" fontId="94" fillId="0" borderId="0" xfId="0" applyFont="1" applyAlignment="1">
      <alignment horizontal="center" vertical="center"/>
    </xf>
    <xf numFmtId="0" fontId="75" fillId="0" borderId="0" xfId="0" applyFont="1" applyAlignment="1">
      <alignment horizontal="center" vertical="center"/>
    </xf>
    <xf numFmtId="0" fontId="76" fillId="0" borderId="0" xfId="0" applyFont="1" applyAlignment="1">
      <alignment horizontal="center" vertical="center"/>
    </xf>
    <xf numFmtId="0" fontId="82" fillId="0" borderId="0" xfId="0" applyFont="1" applyAlignment="1">
      <alignment horizontal="center" vertical="center"/>
    </xf>
    <xf numFmtId="0" fontId="2" fillId="0" borderId="0" xfId="0" applyFont="1" applyAlignment="1">
      <alignment horizontal="center" vertical="center" wrapText="1"/>
    </xf>
    <xf numFmtId="0" fontId="84" fillId="0" borderId="0" xfId="0" applyFont="1" applyAlignment="1">
      <alignment horizontal="center" vertical="center" wrapText="1"/>
    </xf>
    <xf numFmtId="174" fontId="0" fillId="0" borderId="0" xfId="2" applyNumberFormat="1" applyFont="1" applyAlignment="1">
      <alignment horizontal="center" vertical="center"/>
    </xf>
    <xf numFmtId="2" fontId="0" fillId="0" borderId="0" xfId="0" applyNumberFormat="1" applyAlignment="1">
      <alignment horizontal="center" vertical="center"/>
    </xf>
    <xf numFmtId="2" fontId="0" fillId="0" borderId="0" xfId="1" applyNumberFormat="1" applyFont="1" applyAlignment="1">
      <alignment horizontal="center" vertical="center"/>
    </xf>
    <xf numFmtId="2" fontId="2" fillId="0" borderId="0" xfId="0" applyNumberFormat="1" applyFont="1" applyAlignment="1">
      <alignment horizontal="center" vertical="center"/>
    </xf>
    <xf numFmtId="0" fontId="92" fillId="53" borderId="0" xfId="0" applyFont="1" applyFill="1" applyAlignment="1">
      <alignment horizontal="center" vertical="center" wrapText="1"/>
    </xf>
    <xf numFmtId="0" fontId="2" fillId="52" borderId="0" xfId="0" applyFont="1" applyFill="1" applyAlignment="1">
      <alignment horizontal="center"/>
    </xf>
    <xf numFmtId="0" fontId="0" fillId="0" borderId="0" xfId="0" applyAlignment="1">
      <alignment horizontal="center"/>
    </xf>
    <xf numFmtId="174" fontId="94" fillId="0" borderId="0" xfId="2" applyNumberFormat="1" applyFont="1" applyAlignment="1">
      <alignment horizontal="center" vertical="center"/>
    </xf>
    <xf numFmtId="0" fontId="0" fillId="0" borderId="0" xfId="0" applyAlignment="1">
      <alignment horizontal="center" vertical="center" wrapText="1"/>
    </xf>
    <xf numFmtId="174" fontId="75" fillId="0" borderId="0" xfId="2" applyNumberFormat="1" applyFont="1" applyAlignment="1">
      <alignment horizontal="center" vertical="center"/>
    </xf>
    <xf numFmtId="174" fontId="79" fillId="0" borderId="0" xfId="2" applyNumberFormat="1" applyFont="1" applyAlignment="1">
      <alignment horizontal="center" vertical="center"/>
    </xf>
    <xf numFmtId="174" fontId="76" fillId="0" borderId="0" xfId="2" applyNumberFormat="1" applyFont="1" applyAlignment="1">
      <alignment horizontal="center" vertical="center"/>
    </xf>
    <xf numFmtId="0" fontId="0" fillId="0" borderId="0" xfId="0" applyAlignment="1">
      <alignment horizontal="center" vertical="center"/>
    </xf>
    <xf numFmtId="174" fontId="82" fillId="0" borderId="0" xfId="2" applyNumberFormat="1" applyFont="1" applyAlignment="1">
      <alignment horizontal="center" vertical="center"/>
    </xf>
    <xf numFmtId="0" fontId="82" fillId="0" borderId="0" xfId="0" applyFont="1" applyAlignment="1">
      <alignment horizontal="center" vertical="center" wrapText="1"/>
    </xf>
    <xf numFmtId="0" fontId="64"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wrapText="1"/>
    </xf>
    <xf numFmtId="0" fontId="98" fillId="0" borderId="0" xfId="0" applyFont="1"/>
  </cellXfs>
  <cellStyles count="434">
    <cellStyle name="20% - Accent1" xfId="5" xr:uid="{2D64CAA5-EEB5-44BB-A6AF-400B54DD5C01}"/>
    <cellStyle name="20% - Accent1 2" xfId="156" xr:uid="{9B7EC455-5A7A-4252-92CB-3B95DA3FA63D}"/>
    <cellStyle name="20% - Accent2" xfId="6" xr:uid="{8C35F308-3355-4863-BB29-3ED6A32A44E0}"/>
    <cellStyle name="20% - Accent2 2" xfId="157" xr:uid="{E51BE4FF-90A8-481E-AEDF-6B4636A29AA7}"/>
    <cellStyle name="20% - Accent3" xfId="7" xr:uid="{E1F43B42-167C-4608-BD92-3DBF6D5B50A6}"/>
    <cellStyle name="20% - Accent3 2" xfId="158" xr:uid="{CF8CD2D2-C4DC-4010-B2FF-9FFB5BF4F24E}"/>
    <cellStyle name="20% - Accent4" xfId="8" xr:uid="{5EEBCB70-A122-49EB-B178-C4B0E10927FC}"/>
    <cellStyle name="20% - Accent4 2" xfId="159" xr:uid="{7D69260A-1320-4C94-9793-F3404EE65CA9}"/>
    <cellStyle name="20% - Accent5" xfId="9" xr:uid="{11DE97C0-E2BC-4175-84BF-1099A772CC4C}"/>
    <cellStyle name="20% - Accent5 2" xfId="160" xr:uid="{DF9E275A-0E83-4B2A-A241-2070D322E041}"/>
    <cellStyle name="20% - Accent6" xfId="10" xr:uid="{3229098D-8666-427D-A8FF-CE1CA09CE635}"/>
    <cellStyle name="20% - Accent6 2" xfId="161" xr:uid="{D537D017-8094-48D4-A022-E873742392C3}"/>
    <cellStyle name="40% - Accent1" xfId="11" xr:uid="{75DB390C-B004-4E09-BD1A-D87B5C169C5A}"/>
    <cellStyle name="40% - Accent1 2" xfId="162" xr:uid="{FFC2FB4B-211D-4950-B15B-0FBEA274699B}"/>
    <cellStyle name="40% - Accent2" xfId="12" xr:uid="{33D867DD-3194-455F-B005-E20DC98E8489}"/>
    <cellStyle name="40% - Accent2 2" xfId="163" xr:uid="{FFAECFAF-C9E9-410B-B3E2-1931CDFEDD80}"/>
    <cellStyle name="40% - Accent3" xfId="13" xr:uid="{4057728C-F8A3-422F-BFA4-3CA7A3C8665B}"/>
    <cellStyle name="40% - Accent3 2" xfId="164" xr:uid="{07CBBF11-79D4-413C-93AA-8F0C460B253E}"/>
    <cellStyle name="40% - Accent4" xfId="14" xr:uid="{047DF7C7-6DC2-49E1-B552-773D8070EB90}"/>
    <cellStyle name="40% - Accent4 2" xfId="165" xr:uid="{71A11FEF-799A-4F8B-BE0E-A0B8D8CBF31D}"/>
    <cellStyle name="40% - Accent5" xfId="15" xr:uid="{E70787FB-FF3B-48FD-986F-5D841DB88274}"/>
    <cellStyle name="40% - Accent5 2" xfId="166" xr:uid="{50F612E8-D2CD-4556-9E6A-B9ACB30F425E}"/>
    <cellStyle name="40% - Accent6" xfId="16" xr:uid="{DFB62F86-489A-4161-B93E-85773BD45633}"/>
    <cellStyle name="40% - Accent6 2" xfId="167" xr:uid="{8610096F-0965-411E-A2DD-1334F9FD0AF5}"/>
    <cellStyle name="60% - Accent1" xfId="17" xr:uid="{DA030A92-1467-4D71-8D90-6F80CB24DCA7}"/>
    <cellStyle name="60% - Accent1 2" xfId="168" xr:uid="{97611656-BBB3-4302-9C02-8BE81CB5EADE}"/>
    <cellStyle name="60% - Accent2" xfId="18" xr:uid="{E0922890-5E2E-4D45-B48D-6C88DC62E532}"/>
    <cellStyle name="60% - Accent2 2" xfId="169" xr:uid="{33833DCD-129A-4CDA-9087-74E6C186B853}"/>
    <cellStyle name="60% - Accent3" xfId="19" xr:uid="{D62F6E17-CC59-42CF-B98A-523278C04120}"/>
    <cellStyle name="60% - Accent3 2" xfId="170" xr:uid="{DE2D090B-3E86-45B2-ACBA-045DC21DC854}"/>
    <cellStyle name="60% - Accent4" xfId="20" xr:uid="{538A8CF2-CA44-4E34-B7C0-30DF74A57786}"/>
    <cellStyle name="60% - Accent4 2" xfId="171" xr:uid="{77043E0C-6CDD-42A7-A015-74459183CD35}"/>
    <cellStyle name="60% - Accent5" xfId="21" xr:uid="{26A575E3-365F-4B1C-987D-4A3001403184}"/>
    <cellStyle name="60% - Accent5 2" xfId="172" xr:uid="{094EACD8-63D2-4EE2-ADB2-1E3EC6AFC615}"/>
    <cellStyle name="60% - Accent6" xfId="22" xr:uid="{1861EA64-0DAF-47EB-9E5F-5DF777585C53}"/>
    <cellStyle name="60% - Accent6 2" xfId="173" xr:uid="{F5A1A981-0266-4BFC-B4DD-ABF8C40DBC07}"/>
    <cellStyle name="Accent1 2" xfId="174" xr:uid="{4DAE008C-9855-4C51-9086-AB9D9DC4C3F2}"/>
    <cellStyle name="Accent2 2" xfId="175" xr:uid="{67D93D58-294D-4261-B6FE-C45E44DCCAC2}"/>
    <cellStyle name="Accent3 2" xfId="176" xr:uid="{94114F06-CBA0-4E1D-AE21-AB4272581023}"/>
    <cellStyle name="Accent4 2" xfId="177" xr:uid="{E1DEF957-5590-4CFE-B8A8-E4B4BB6E9C2D}"/>
    <cellStyle name="Accent5 2" xfId="178" xr:uid="{7D6C77F0-6D9B-433B-AD15-6B928FA15A5B}"/>
    <cellStyle name="Accent6 2" xfId="179" xr:uid="{36D82FA0-54F7-45C9-9B07-CBA7CDAFF4C1}"/>
    <cellStyle name="Bad" xfId="23" xr:uid="{B7CC874B-6910-4532-A4A4-C1A4F3B085BB}"/>
    <cellStyle name="Bad 2" xfId="180" xr:uid="{AD1C3D62-0E9A-4919-87F4-FE85D9D929F1}"/>
    <cellStyle name="caché" xfId="24" xr:uid="{5AC9A5BC-BC71-4560-904F-CBC70C6DD23C}"/>
    <cellStyle name="Calculation" xfId="25" xr:uid="{48ADCC70-94D2-4EF1-AA9E-CF94E1E6782D}"/>
    <cellStyle name="Calculation 2" xfId="181" xr:uid="{FF1E613B-3833-4D6F-9161-6960C7043171}"/>
    <cellStyle name="Check Cell" xfId="26" xr:uid="{B77843FF-DAEE-45D4-91E8-526156471E61}"/>
    <cellStyle name="Check Cell 2" xfId="182" xr:uid="{27ECAB4C-9464-4C57-A812-F80D72198863}"/>
    <cellStyle name="Comma 10" xfId="183" xr:uid="{2904E7C8-7B24-4C52-B3A5-FF28C06826A3}"/>
    <cellStyle name="Comma 10 2" xfId="297" xr:uid="{18FAF62F-E24A-4AA8-B3E1-18CCBB4F3C75}"/>
    <cellStyle name="Comma 11" xfId="184" xr:uid="{D70A82D9-EFE7-4EF4-9679-BECA0E956D7A}"/>
    <cellStyle name="Comma 11 2" xfId="298" xr:uid="{32382732-0960-49FD-8D93-0B4C55887A21}"/>
    <cellStyle name="Comma 12" xfId="185" xr:uid="{48EAF87F-8924-46D6-AE50-E6BB86A63F01}"/>
    <cellStyle name="Comma 12 2" xfId="186" xr:uid="{A866519A-96FC-415D-9328-E75FECDB0D5B}"/>
    <cellStyle name="Comma 13" xfId="187" xr:uid="{53206405-A7DB-4019-AAE0-082D5F2BC6FA}"/>
    <cellStyle name="Comma 14" xfId="299" xr:uid="{2E949202-1DFC-45AD-A31C-26DE840B99B8}"/>
    <cellStyle name="Comma 14 2" xfId="430" xr:uid="{8A6ADBAB-8775-45BB-A431-465D54B8D5B6}"/>
    <cellStyle name="Comma 15" xfId="300" xr:uid="{851484F4-62E8-48AE-80C4-14832851AFDF}"/>
    <cellStyle name="Comma 15 2" xfId="431" xr:uid="{E06AB042-718D-4569-87EC-620AA7A95B1F}"/>
    <cellStyle name="Comma 16" xfId="301" xr:uid="{9AE7E99D-A4FE-49CF-943F-DDFA4D22E2EF}"/>
    <cellStyle name="Comma 2" xfId="27" xr:uid="{D596FBE5-783E-4718-847B-A0C4472AAAA4}"/>
    <cellStyle name="Comma 2 2" xfId="188" xr:uid="{71FAE55B-B39E-4835-B130-4C20E72336DE}"/>
    <cellStyle name="Comma 2 2 2" xfId="189" xr:uid="{88ED6D42-AA74-4577-A044-AE31AD584F1E}"/>
    <cellStyle name="Comma 2 2 2 2" xfId="302" xr:uid="{E586D4B0-E0C5-48A4-91BF-6F30E05058ED}"/>
    <cellStyle name="Comma 2 2 2 2 2" xfId="303" xr:uid="{2B45CA17-C83D-4B5F-9BF3-8A417570E437}"/>
    <cellStyle name="Comma 2 2 2 3" xfId="304" xr:uid="{88269AD4-7BC8-43F8-81C0-C4D605D897AC}"/>
    <cellStyle name="Comma 2 2 3" xfId="305" xr:uid="{C56CDE77-9552-4F1F-9125-2C234C36BFFB}"/>
    <cellStyle name="Comma 2 3" xfId="190" xr:uid="{DA883312-628B-44DA-A9F7-C0139244466B}"/>
    <cellStyle name="Comma 2 3 2" xfId="306" xr:uid="{2877BB64-71E1-4A70-BA3E-7476F939B2A2}"/>
    <cellStyle name="Comma 2 4" xfId="307" xr:uid="{A6AD7A01-09D8-48D6-8C72-0A438693D070}"/>
    <cellStyle name="Comma 3" xfId="28" xr:uid="{D3A3CFB4-30F6-4649-8CA5-D65B1AB2541A}"/>
    <cellStyle name="Comma 3 2" xfId="29" xr:uid="{A0CF64CA-20AC-4D31-A144-47246483C3AE}"/>
    <cellStyle name="Comma 4" xfId="191" xr:uid="{C38B6517-9558-4580-ACE2-3F234EDD8E9E}"/>
    <cellStyle name="Comma 4 2" xfId="192" xr:uid="{DF47A4C3-C982-4572-B96C-832D3FC5707D}"/>
    <cellStyle name="Comma 5" xfId="193" xr:uid="{83ACDF97-805A-4919-9273-95537547F588}"/>
    <cellStyle name="Comma 5 2" xfId="194" xr:uid="{F4D1EFBE-BDF5-45B5-81F1-CDD673D5CEE0}"/>
    <cellStyle name="Comma 5 3" xfId="308" xr:uid="{DF90D1D3-36AD-43F8-A485-ABF82DFB49CB}"/>
    <cellStyle name="Comma 6" xfId="195" xr:uid="{5A77438F-3A87-4DFB-A1EE-BC2435973D1B}"/>
    <cellStyle name="Comma 6 2" xfId="309" xr:uid="{96FD5D8D-8B13-4038-9859-F3E884DF4683}"/>
    <cellStyle name="Comma 7" xfId="196" xr:uid="{5626FEF7-7022-4BA7-A4BB-9790C06829CE}"/>
    <cellStyle name="Comma 7 2" xfId="310" xr:uid="{40DDB86B-3E78-45A5-8BAE-CAB6DFCD0D6C}"/>
    <cellStyle name="Comma 8" xfId="197" xr:uid="{DE98F9AF-AF1A-4A88-8302-5EC55EFC10BD}"/>
    <cellStyle name="Comma 8 2" xfId="392" xr:uid="{946939A3-02B2-44F2-8E5E-0B2422668DAB}"/>
    <cellStyle name="Comma 9" xfId="198" xr:uid="{ED7A4E02-2E78-49A6-B500-19F5BC1C06C2}"/>
    <cellStyle name="Comma(0)" xfId="30" xr:uid="{B7913C58-3732-41D6-B0B1-1D65F8CF3FEF}"/>
    <cellStyle name="Comma(3)" xfId="31" xr:uid="{62876BC6-D173-4308-ACC1-9059AD2EE588}"/>
    <cellStyle name="Comma[0]" xfId="32" xr:uid="{5E73F56C-F5FB-4950-B376-BEE366EAE231}"/>
    <cellStyle name="Comma[1]" xfId="33" xr:uid="{FEB0D6F6-D7BD-49FE-9844-EF71520BDB93}"/>
    <cellStyle name="Comma[2]__" xfId="34" xr:uid="{7D35E25F-084C-4B74-8125-190DBDBA67DB}"/>
    <cellStyle name="Comma[3]" xfId="35" xr:uid="{D11FD6FF-B3A4-4A0A-AAD3-9CBCF86FC79C}"/>
    <cellStyle name="Comma0" xfId="36" xr:uid="{5B6105AB-4E35-4CF8-AD3F-CB61D899EB0B}"/>
    <cellStyle name="Comma0 2" xfId="420" xr:uid="{038AE20D-DB8A-4C8C-B679-82C447400398}"/>
    <cellStyle name="Commentaire" xfId="37" xr:uid="{9A9C709D-C0F7-4E40-B13E-B0E85FC75369}"/>
    <cellStyle name="Currency 2" xfId="421" xr:uid="{53E73DC3-E597-4923-9EE4-92F5CA090820}"/>
    <cellStyle name="Currency 2 2" xfId="432" xr:uid="{EC7438A6-2D16-462C-96D5-6BF65001C3E2}"/>
    <cellStyle name="Currency0" xfId="38" xr:uid="{028BE39C-2285-495F-B315-062C211FBB1C}"/>
    <cellStyle name="Currency0 2" xfId="419" xr:uid="{45B3B29B-25D6-4012-90BA-2BF6D119FA49}"/>
    <cellStyle name="Date" xfId="39" xr:uid="{3C3DBF63-BD76-4A47-812C-F5CD0107F01E}"/>
    <cellStyle name="Date 2" xfId="199" xr:uid="{9695B34E-632A-4543-8248-DBF8A5A02797}"/>
    <cellStyle name="Date 2 2" xfId="391" xr:uid="{5495031A-A326-471E-851F-E14418E2A5A3}"/>
    <cellStyle name="Date 3" xfId="418" xr:uid="{BCDDC15A-7DE7-4506-ADEB-27242DF143E5}"/>
    <cellStyle name="Dezimal_03-09-03" xfId="40" xr:uid="{F3F2F85D-7E93-4FFC-9B49-853F085DEF73}"/>
    <cellStyle name="En-tête 1" xfId="41" xr:uid="{4B6A39FA-191D-47FA-BC3F-09659D9C26A4}"/>
    <cellStyle name="En-tête 1 2" xfId="200" xr:uid="{129B5FD7-FFFC-4F6B-9765-CD4F552737D9}"/>
    <cellStyle name="En-tête 1 2 2" xfId="390" xr:uid="{D89FC8E9-0F5C-4D2D-9C88-83BFE9091543}"/>
    <cellStyle name="En-tête 1 3" xfId="417" xr:uid="{999A39AE-6AC8-455A-B8D4-8698529DD3BA}"/>
    <cellStyle name="En-tête 2" xfId="42" xr:uid="{2AFC9E56-FA70-4871-A12F-B701011E6DD1}"/>
    <cellStyle name="En-tête 2 2" xfId="201" xr:uid="{17F15DBA-B7CB-48CA-B3B2-92860A07BC1B}"/>
    <cellStyle name="En-tête 2 2 2" xfId="389" xr:uid="{28FCE25F-81DB-4AD8-BD0C-4A2A40EAE672}"/>
    <cellStyle name="En-tête 2 3" xfId="416" xr:uid="{05E048F7-5E89-4A15-878D-17FAA82BB811}"/>
    <cellStyle name="Explanatory Text" xfId="43" xr:uid="{894C75E4-674E-4CC7-9207-99DD29FAFFAC}"/>
    <cellStyle name="Explanatory Text 2" xfId="202" xr:uid="{43726FDA-176A-4610-AE74-8608C370EA96}"/>
    <cellStyle name="Financier0" xfId="44" xr:uid="{86F4128E-4A2C-4F7F-8F71-1C0A4698BA28}"/>
    <cellStyle name="Financier0 2" xfId="203" xr:uid="{6F0D7C72-4904-41E7-9F49-655EAAD14F68}"/>
    <cellStyle name="Financier0 2 2" xfId="388" xr:uid="{4DF717AB-8480-4CF7-BA7B-6F6035A938B9}"/>
    <cellStyle name="Financier0 3" xfId="415" xr:uid="{3F3D3693-45E7-4F1A-90E2-BBB3A5F5B68D}"/>
    <cellStyle name="Fixed" xfId="45" xr:uid="{D726E947-6F33-45FC-AD41-4A857E36A5B8}"/>
    <cellStyle name="Fixed 2" xfId="414" xr:uid="{6E05CCC4-1F88-4BB3-9F4A-1E7C08FB5970}"/>
    <cellStyle name="Good" xfId="46" xr:uid="{CD6CF26A-670B-48E5-BEE1-5CBA3FE187AD}"/>
    <cellStyle name="Good 2" xfId="204" xr:uid="{4CAED96E-EC03-45B0-9772-4F0FB396E21D}"/>
    <cellStyle name="Heading 1" xfId="47" xr:uid="{73690D5E-4FBA-41C6-B0B0-B9A6DCEC5906}"/>
    <cellStyle name="Heading 1 2" xfId="205" xr:uid="{B18DDDC5-DC86-4C52-A658-3E1DE971C6B3}"/>
    <cellStyle name="Heading 2" xfId="48" xr:uid="{E32590D5-FB34-4D83-9C25-1424A1BB2D1E}"/>
    <cellStyle name="Heading 2 2" xfId="206" xr:uid="{96584DCC-7A13-46A7-B8F2-DBF7A18FD163}"/>
    <cellStyle name="Heading 3" xfId="49" xr:uid="{CC4FAC88-B7C2-4179-B620-D81DDA236D84}"/>
    <cellStyle name="Heading 3 2" xfId="207" xr:uid="{6C6BE92E-DAA8-4D0F-81FE-0F98DB2D689D}"/>
    <cellStyle name="Heading 4" xfId="50" xr:uid="{76B593A8-4FC1-4204-A68A-C40DA98DA389}"/>
    <cellStyle name="Heading 4 2" xfId="208" xr:uid="{04F39645-2A55-42B4-A17A-4AF64832B0D7}"/>
    <cellStyle name="Hyperlink 2" xfId="209" xr:uid="{C0F39289-2F81-49C1-85F0-6C4D98A9DC7A}"/>
    <cellStyle name="Input" xfId="51" xr:uid="{188BEF1C-8EF6-45CE-ABCB-9B4588699A4E}"/>
    <cellStyle name="Input 2" xfId="210" xr:uid="{D07FD5ED-A4B3-4279-94C0-8DA0AA726676}"/>
    <cellStyle name="Lien hypertexte 2" xfId="52" xr:uid="{EBC18255-F9AF-443B-A8CE-82FEDD77DFF3}"/>
    <cellStyle name="Lien hypertexte 3" xfId="349" xr:uid="{5F44D7C3-8920-445F-B6E8-24DE3626137A}"/>
    <cellStyle name="Linked Cell" xfId="53" xr:uid="{0E161ACA-84E5-4D50-BE95-B91B5633900E}"/>
    <cellStyle name="Linked Cell 2" xfId="211" xr:uid="{8B9A5057-3BB6-4872-9318-40CD169F35C1}"/>
    <cellStyle name="Milliers" xfId="1" builtinId="3"/>
    <cellStyle name="Milliers 2" xfId="54" xr:uid="{AEFE9F53-A0E9-4DA9-8690-481107B178ED}"/>
    <cellStyle name="Milliers 3" xfId="350" xr:uid="{93369DC9-5F4F-4D8C-BC08-537C18700CCB}"/>
    <cellStyle name="Milliers 3 2" xfId="295" xr:uid="{248159BB-CCC4-4F17-9CCE-BF4F8FE34D2A}"/>
    <cellStyle name="Milliers 4" xfId="371" xr:uid="{E7764AD7-C9EB-4074-AF56-9F16F0CCB329}"/>
    <cellStyle name="Monétaire0" xfId="55" xr:uid="{756051A9-961D-4E48-9DFB-687305925504}"/>
    <cellStyle name="Monétaire0 2" xfId="212" xr:uid="{E9802F85-100E-4E34-A496-9F3637306FC7}"/>
    <cellStyle name="Monétaire0 2 2" xfId="387" xr:uid="{D691F2D9-56C4-4E27-ABCE-90AF785519A9}"/>
    <cellStyle name="Monétaire0 3" xfId="413" xr:uid="{DAA5F4F8-E11A-4C93-8BF8-BFEDD0C8F730}"/>
    <cellStyle name="Motif" xfId="56" xr:uid="{D1096B0B-D70F-4F31-BCB2-7D5310189130}"/>
    <cellStyle name="Motif 2" xfId="412" xr:uid="{914D6312-8D45-4D42-89C7-9484BEA3204A}"/>
    <cellStyle name="Neutral" xfId="57" xr:uid="{8EC1B5FF-8982-48B2-9E96-86EDA5C9D025}"/>
    <cellStyle name="Neutral 2" xfId="213" xr:uid="{2301E48D-C0BB-43AE-87FC-F491050B195E}"/>
    <cellStyle name="Normaali_Eduskuntavaalit" xfId="58" xr:uid="{55D95882-BF02-4E9C-A335-812111E96041}"/>
    <cellStyle name="Normal" xfId="0" builtinId="0"/>
    <cellStyle name="Normal 10" xfId="59" xr:uid="{52E03F0D-5615-4577-9EB6-490BED3DC8F0}"/>
    <cellStyle name="Normal 10 2" xfId="60" xr:uid="{3960728C-159E-42B2-8ABB-C29217C29477}"/>
    <cellStyle name="Normal 10 2 2" xfId="61" xr:uid="{B1BA20B0-AB6D-4DF5-AA09-4FCA81F1AC5F}"/>
    <cellStyle name="Normal 10 3" xfId="62" xr:uid="{61D8713A-B45B-457E-ADF3-CBB3BDA60A68}"/>
    <cellStyle name="Normal 10 3 2" xfId="363" xr:uid="{20BA16FC-D1AD-4064-B80E-AC7CD7AB983D}"/>
    <cellStyle name="Normal 10 4" xfId="351" xr:uid="{D73B08A1-9D9C-48F9-B440-8295BA0B0A55}"/>
    <cellStyle name="Normal 10 4 2" xfId="352" xr:uid="{49983AC0-F372-4062-B1A6-7FD796DC4557}"/>
    <cellStyle name="Normal 10 5" xfId="353" xr:uid="{E204EDC4-0AAF-4580-97B3-789DD958471E}"/>
    <cellStyle name="Normal 11" xfId="63" xr:uid="{B4CF61A8-2B33-4F15-A721-6D191CCD0CCE}"/>
    <cellStyle name="Normal 11 2" xfId="64" xr:uid="{4AE89849-9032-4E83-9E38-29531629FD0D}"/>
    <cellStyle name="Normal 11 2 2" xfId="65" xr:uid="{85B6CBFD-1AC6-4FD7-89A0-73E6D80FC6DD}"/>
    <cellStyle name="Normal 11 3" xfId="66" xr:uid="{03551366-065A-4E55-B773-0754EDF5D249}"/>
    <cellStyle name="Normal 11 4" xfId="369" xr:uid="{3EEFCFFA-A299-4CF4-AD24-CE84EBA565AD}"/>
    <cellStyle name="Normal 12" xfId="67" xr:uid="{1EF87DBF-306A-4A21-A217-49C555BCA1AA}"/>
    <cellStyle name="Normal 12 2" xfId="68" xr:uid="{3A721FC0-E9BD-4219-8436-2E5420198C97}"/>
    <cellStyle name="Normal 12 2 2" xfId="311" xr:uid="{055C41D9-DC99-491A-AF73-F106AE6A0A20}"/>
    <cellStyle name="Normal 12 3" xfId="312" xr:uid="{15774E17-CCC9-4594-9F7B-40882C928F98}"/>
    <cellStyle name="Normal 13" xfId="69" xr:uid="{8D37E882-726F-4B7B-A74A-5E75CB8651CF}"/>
    <cellStyle name="Normal 13 2" xfId="70" xr:uid="{6DD675AB-BDFF-4E3A-9063-74035326BB43}"/>
    <cellStyle name="Normal 13 3" xfId="71" xr:uid="{1FB3E7A8-9EA9-4262-81DE-ACC075FE3684}"/>
    <cellStyle name="Normal 13 4" xfId="354" xr:uid="{2358228A-D2E4-4C2F-99F4-56BB55D68304}"/>
    <cellStyle name="Normal 14" xfId="72" xr:uid="{696EC7B7-3E48-4878-BA6B-61B0F5493CF9}"/>
    <cellStyle name="Normal 15" xfId="73" xr:uid="{1D143AC0-DFD2-4310-B528-867A94491250}"/>
    <cellStyle name="Normal 15 2" xfId="214" xr:uid="{9E486216-E737-4623-941C-137C96AEF0C6}"/>
    <cellStyle name="Normal 15 2 2" xfId="313" xr:uid="{02D13FAE-4CBF-4923-9A37-44B840B52FAF}"/>
    <cellStyle name="Normal 15 3" xfId="215" xr:uid="{86093187-A7AC-48D4-8F5C-973C12F89594}"/>
    <cellStyle name="Normal 15 4" xfId="216" xr:uid="{EB7C1A68-E194-414E-A913-A4AB157755BF}"/>
    <cellStyle name="Normal 16" xfId="74" xr:uid="{034BC1D9-A5DD-40B7-AB35-F6F65C709D73}"/>
    <cellStyle name="Normal 16 2" xfId="365" xr:uid="{9A3C725C-FB44-4CD5-80DE-EB4628E9BF05}"/>
    <cellStyle name="Normal 17" xfId="217" xr:uid="{AF4235FB-A52D-4D2B-A70B-BEDA912D7B27}"/>
    <cellStyle name="Normal 17 2" xfId="386" xr:uid="{B5133516-E16E-4243-93E5-A268684CDA9E}"/>
    <cellStyle name="Normal 18" xfId="218" xr:uid="{004601E8-39AD-47A2-BF3A-3CCB959A0276}"/>
    <cellStyle name="Normal 19" xfId="219" xr:uid="{653B8130-DD61-4E50-9E65-75B7F42637A3}"/>
    <cellStyle name="Normal 2" xfId="75" xr:uid="{8FB4739F-37B7-4332-9340-558BA384A6DF}"/>
    <cellStyle name="Normal 2 2" xfId="76" xr:uid="{32868647-70DD-4AFB-87C6-38BA4B7CB059}"/>
    <cellStyle name="Normal 2 2 2" xfId="77" xr:uid="{63C863AE-9FF6-4796-BDB3-E0E01312F41B}"/>
    <cellStyle name="Normal 2 2 2 2" xfId="409" xr:uid="{377FE81D-7C3C-448F-8AC6-429B23399AA8}"/>
    <cellStyle name="Normal 2 2 3" xfId="422" xr:uid="{0FF052BD-E022-4F4A-B34E-AC2C2C17E0AE}"/>
    <cellStyle name="Normal 2 2 3 2" xfId="433" xr:uid="{BAAC0A6D-07F6-4F79-B879-0312EE95996E}"/>
    <cellStyle name="Normal 2 2 4" xfId="410" xr:uid="{D045201F-2842-4DB9-BA8B-344AEF55424C}"/>
    <cellStyle name="Normal 2 3" xfId="78" xr:uid="{F3395FBD-5EB2-4D8F-B5E4-1F449205FEED}"/>
    <cellStyle name="Normal 2 3 2" xfId="408" xr:uid="{247DD688-9EB2-4EE4-8246-E2FDE755A34E}"/>
    <cellStyle name="Normal 2 4" xfId="79" xr:uid="{8DAAB1D4-A787-404B-BF99-7D207AED5808}"/>
    <cellStyle name="Normal 2 4 2" xfId="80" xr:uid="{EF80FAFB-9A5E-445F-8864-C4D879E8BAF4}"/>
    <cellStyle name="Normal 2 4 3" xfId="81" xr:uid="{1407708A-5AB7-4814-906F-8A81D0CC275C}"/>
    <cellStyle name="Normal 2 5" xfId="82" xr:uid="{E98E5397-179B-4551-90B8-876C6557AD88}"/>
    <cellStyle name="Normal 2 5 2" xfId="407" xr:uid="{E9F8CE18-64C8-4CF7-8ABC-2C9AC556E44D}"/>
    <cellStyle name="Normal 2 6" xfId="220" xr:uid="{DBB9AD0D-F0DD-415D-A6FF-8F3FF6933DB2}"/>
    <cellStyle name="Normal 2 6 2" xfId="385" xr:uid="{EC4CB868-7278-4A27-95DB-CF3A53A7D915}"/>
    <cellStyle name="Normal 2 7" xfId="347" xr:uid="{8AC398CF-CF87-4CAF-BB6F-7A61DACE4C20}"/>
    <cellStyle name="Normal 2_AccumulationEquation" xfId="83" xr:uid="{AD99970B-21EC-452C-9715-52BC8651E413}"/>
    <cellStyle name="Normal 20" xfId="221" xr:uid="{DB33088C-D7DB-4B1A-9D4F-C49D912F00BB}"/>
    <cellStyle name="Normal 20 2" xfId="314" xr:uid="{974490F2-B3AD-4F19-BF22-31C97C70C1EC}"/>
    <cellStyle name="Normal 21" xfId="222" xr:uid="{5529F74B-D33A-4234-B1B0-F11986C69282}"/>
    <cellStyle name="Normal 21 2" xfId="315" xr:uid="{1A662E7D-9251-454E-8BC0-0D34FE5735CB}"/>
    <cellStyle name="Normal 22" xfId="223" xr:uid="{6EAD4662-28EE-4AB0-9739-6EEB96A7E0D3}"/>
    <cellStyle name="Normal 22 2" xfId="316" xr:uid="{7A92E4B2-B3F0-47DA-8C12-2C71E84DB120}"/>
    <cellStyle name="Normal 23" xfId="224" xr:uid="{F47D85EB-1BE7-457A-86DD-A0BDEBAF8407}"/>
    <cellStyle name="Normal 23 2" xfId="317" xr:uid="{A73B4FEF-E5ED-4DC8-A906-6B6014F7503B}"/>
    <cellStyle name="Normal 24" xfId="225" xr:uid="{C52E3C52-1053-4C5B-9A5D-FE0C96A00FB0}"/>
    <cellStyle name="Normal 24 2" xfId="318" xr:uid="{6D664ED2-B7C6-4749-AC40-F933A377BA5F}"/>
    <cellStyle name="Normal 25" xfId="226" xr:uid="{F22BA64E-16C6-4CB4-9E60-CB2D72BC3D0A}"/>
    <cellStyle name="Normal 25 2" xfId="319" xr:uid="{742B43F9-C3BE-477B-8906-DAE175E43534}"/>
    <cellStyle name="Normal 26" xfId="227" xr:uid="{C96CC861-DF87-4839-B19B-60849033FDEF}"/>
    <cellStyle name="Normal 27" xfId="228" xr:uid="{8AEED47D-5D54-450C-AF09-9CD1CAFB1366}"/>
    <cellStyle name="Normal 27 2" xfId="320" xr:uid="{4638D98A-4D0A-4F28-A716-7C3E47F0FB18}"/>
    <cellStyle name="Normal 28" xfId="229" xr:uid="{2BF2AC53-9C33-4E91-B3F2-E848D77BBAF9}"/>
    <cellStyle name="Normal 28 2" xfId="321" xr:uid="{A336FBE7-895E-4176-99C6-238951ED904D}"/>
    <cellStyle name="Normal 29" xfId="230" xr:uid="{EE8A12D1-920A-4045-9B44-7AF46F2182C4}"/>
    <cellStyle name="Normal 29 2" xfId="322" xr:uid="{2E4A6B7C-90D1-47D4-87FA-23D815B53572}"/>
    <cellStyle name="Normal 3" xfId="84" xr:uid="{C8C69782-A290-46AC-BAC0-79BD2286A321}"/>
    <cellStyle name="Normal 3 10" xfId="323" xr:uid="{217CD434-507D-4A18-A301-1DCADD924C53}"/>
    <cellStyle name="Normal 3 2" xfId="85" xr:uid="{9A7DBFBC-C705-4F2E-AD9A-38CE42DE4A8D}"/>
    <cellStyle name="Normal 3 2 2" xfId="231" xr:uid="{87D5F332-90B1-4D0A-9360-3096D37BC42A}"/>
    <cellStyle name="Normal 3 2 2 2" xfId="232" xr:uid="{6F1D4818-7C67-4125-B5C5-332B4A44CD91}"/>
    <cellStyle name="Normal 3 2 2 3" xfId="324" xr:uid="{5B1E2900-C388-4F79-AFFB-E07802408C73}"/>
    <cellStyle name="Normal 3 2 2 3 2" xfId="325" xr:uid="{5FE8B0EF-5C95-4D9A-A145-66A7CF97A05B}"/>
    <cellStyle name="Normal 3 2 2 4" xfId="326" xr:uid="{F7315B7D-1E03-48F4-AAB5-57B99A3D470D}"/>
    <cellStyle name="Normal 3 2 2 5" xfId="327" xr:uid="{67A69836-EB84-4A67-B235-2DEA538F23BD}"/>
    <cellStyle name="Normal 3 2 3" xfId="233" xr:uid="{AA133778-EDF2-4A7B-A6F2-808072B2A26F}"/>
    <cellStyle name="Normal 3 2 4" xfId="234" xr:uid="{37E8B595-396D-43C8-8BC1-C6FD1C548445}"/>
    <cellStyle name="Normal 3 2 4 2" xfId="235" xr:uid="{C85D742A-3F78-4138-BD29-6F04F8D0BF7C}"/>
    <cellStyle name="Normal 3 2 4 2 2" xfId="328" xr:uid="{F8BF1B69-90D9-4B26-BF9C-9DE5551E939E}"/>
    <cellStyle name="Normal 3 2 4 3" xfId="384" xr:uid="{9688FEE4-4A3B-4254-8B85-006371D4C178}"/>
    <cellStyle name="Normal 3 2 5" xfId="236" xr:uid="{CA67F443-18CA-4E70-AEC8-7DA46F5D8343}"/>
    <cellStyle name="Normal 3 2 6" xfId="237" xr:uid="{F6BC82BC-2601-4A1D-8335-557F51DAC978}"/>
    <cellStyle name="Normal 3 2 6 2" xfId="329" xr:uid="{076AADF0-E02A-412A-A8CF-E52DD4013DF0}"/>
    <cellStyle name="Normal 3 2 7" xfId="330" xr:uid="{25E36A2B-9E20-465B-823F-AC2186B657FE}"/>
    <cellStyle name="Normal 3 2 7 2" xfId="331" xr:uid="{D8C21775-20BB-424F-8539-B8BCC3B30399}"/>
    <cellStyle name="Normal 3 2 8" xfId="406" xr:uid="{8D52ECA7-5958-4A6C-9EC6-1B0BAD5F4427}"/>
    <cellStyle name="Normal 3 3" xfId="86" xr:uid="{CF121738-AE81-4159-B512-F5C5119F80CD}"/>
    <cellStyle name="Normal 3 3 2" xfId="405" xr:uid="{7022DE96-4B95-4B4C-9111-22386CE7DA89}"/>
    <cellStyle name="Normal 3 4" xfId="238" xr:uid="{B260B709-D896-4945-94F9-931DF21925CB}"/>
    <cellStyle name="Normal 3 4 2" xfId="332" xr:uid="{345F6B1B-8D41-4897-93F3-3FE267F2ABE0}"/>
    <cellStyle name="Normal 3 5" xfId="239" xr:uid="{B15A0B20-FA44-4AAA-98E6-88457E9B5371}"/>
    <cellStyle name="Normal 3 6" xfId="240" xr:uid="{0D8EEC58-9ECC-4FDC-B2FA-0D5EDE80F062}"/>
    <cellStyle name="Normal 3 7" xfId="241" xr:uid="{1E288846-81F3-4A79-8128-64D6CAF72B00}"/>
    <cellStyle name="Normal 3 7 2" xfId="383" xr:uid="{EE521F6E-A7A9-4349-9616-3683C8B38DC7}"/>
    <cellStyle name="Normal 3 8" xfId="242" xr:uid="{D8123D6A-B868-4E6A-81BC-C6B711208ACB}"/>
    <cellStyle name="Normal 3 8 2" xfId="333" xr:uid="{7173F86C-B35C-46AF-BC08-95F8B05E4035}"/>
    <cellStyle name="Normal 3 9" xfId="243" xr:uid="{4CED9CC7-B274-438A-8081-97E815FD617C}"/>
    <cellStyle name="Normal 30" xfId="244" xr:uid="{E652E3CA-A07D-4A22-8391-426D97D0DEEC}"/>
    <cellStyle name="Normal 30 2" xfId="334" xr:uid="{0D201F90-1FB2-4B3D-9336-1B5212988404}"/>
    <cellStyle name="Normal 31" xfId="245" xr:uid="{5B3A32E7-B834-4F5C-8B5F-8F50FE67F845}"/>
    <cellStyle name="Normal 31 2" xfId="335" xr:uid="{803A083B-CF48-4B07-B69E-BD187624C19D}"/>
    <cellStyle name="Normal 32" xfId="246" xr:uid="{B71EA233-A8AD-471B-A60C-D4E2BFEAC9E3}"/>
    <cellStyle name="Normal 32 2" xfId="382" xr:uid="{8982658A-917F-470E-837B-5EC0A49C0B48}"/>
    <cellStyle name="Normal 33" xfId="247" xr:uid="{D4E25F8F-5181-41FB-B04E-2F1700E660C8}"/>
    <cellStyle name="Normal 33 2" xfId="248" xr:uid="{8069E7FE-A28D-4B8F-9CAD-495BCB0C7095}"/>
    <cellStyle name="Normal 34" xfId="249" xr:uid="{0306679B-85DE-42C4-9132-C1BDEDA7A76A}"/>
    <cellStyle name="Normal 35" xfId="250" xr:uid="{78195041-5D39-4BCB-B290-5ED2BB3FE02D}"/>
    <cellStyle name="Normal 36" xfId="251" xr:uid="{798D34B8-CF08-4DE3-8522-356AF09CCA11}"/>
    <cellStyle name="Normal 36 2" xfId="252" xr:uid="{535E90C7-AAE3-42AD-B6A8-5DE88888335D}"/>
    <cellStyle name="Normal 37" xfId="253" xr:uid="{06C5DA55-EEA3-4C08-81EB-D4C8036506F2}"/>
    <cellStyle name="Normal 38" xfId="370" xr:uid="{4B29C865-76A1-424D-B61D-2104A9020EA1}"/>
    <cellStyle name="Normal 39" xfId="381" xr:uid="{318B499E-91F1-499D-B1B2-3023F6BF700B}"/>
    <cellStyle name="Normal 4" xfId="87" xr:uid="{128C01A6-EF40-47E0-B8EB-0BCC46AE3110}"/>
    <cellStyle name="Normal 4 2" xfId="88" xr:uid="{DDDCFDB6-3F25-4768-8857-E50B9284F5EE}"/>
    <cellStyle name="Normal 4 3" xfId="89" xr:uid="{B89EA7C9-C441-4F14-9B6F-35B3617130A5}"/>
    <cellStyle name="Normal 4 4" xfId="254" xr:uid="{5B196846-340C-4760-BA31-0497F97E6769}"/>
    <cellStyle name="Normal 4 4 2" xfId="255" xr:uid="{450FEC73-6106-46AB-8E8B-8DC1AC254281}"/>
    <cellStyle name="Normal 4 5" xfId="256" xr:uid="{00E5BFC2-E226-4AF3-B489-791C6AEF77A0}"/>
    <cellStyle name="Normal 4 5 2" xfId="257" xr:uid="{1C64B7B0-709B-4ED6-BC7D-5D43C5FD4625}"/>
    <cellStyle name="Normal 4 6" xfId="336" xr:uid="{82E24299-D7BA-4FE5-B384-6B47026EA54B}"/>
    <cellStyle name="Normal 40" xfId="3" xr:uid="{C74608C2-D360-492B-9CB7-68D4926CA371}"/>
    <cellStyle name="Normal 5" xfId="90" xr:uid="{CC118E57-DC46-4CD6-B967-DBF092646EAC}"/>
    <cellStyle name="Normal 5 2" xfId="258" xr:uid="{9508BBD4-8B73-48EE-A71A-C010997246AE}"/>
    <cellStyle name="Normal 5 3" xfId="404" xr:uid="{F7BDBC72-57E7-46E4-9967-B44FFADFB863}"/>
    <cellStyle name="Normal 6" xfId="91" xr:uid="{17AF7184-7583-4969-9126-E83232955F95}"/>
    <cellStyle name="Normal 6 2" xfId="259" xr:uid="{4169865B-699D-4445-8200-AC569878FEC4}"/>
    <cellStyle name="Normal 7" xfId="92" xr:uid="{6D1BC80A-D335-4343-A63C-AF147C2C3605}"/>
    <cellStyle name="Normal 7 2" xfId="260" xr:uid="{D47D07C1-7C97-408F-B992-B8812579F027}"/>
    <cellStyle name="Normal 8" xfId="93" xr:uid="{C98B231D-5699-4259-8168-3D2E95420E34}"/>
    <cellStyle name="Normal 8 2" xfId="94" xr:uid="{62777EE8-8095-4D6A-97B5-4A830FD074C8}"/>
    <cellStyle name="Normal 8 2 2" xfId="423" xr:uid="{5D5A554E-2D36-42C7-BF48-B1ABA917AB9B}"/>
    <cellStyle name="Normal 8 3" xfId="372" xr:uid="{27098458-1372-4CBD-9D22-0FC77D3EF04D}"/>
    <cellStyle name="Normal 8 3 2" xfId="427" xr:uid="{FA40A1A7-2AC7-4961-9CFF-6734A0803829}"/>
    <cellStyle name="Normal 8 4" xfId="403" xr:uid="{EB0846CB-2D7E-4063-B166-A75641D430F8}"/>
    <cellStyle name="Normal 9" xfId="95" xr:uid="{0920C2AF-0535-4277-829D-E2D22A349E51}"/>
    <cellStyle name="Normal 9 2" xfId="424" xr:uid="{1CDC6DA1-1DC1-4AAD-9DED-7FDB8392DA4C}"/>
    <cellStyle name="Normal GHG whole table" xfId="96" xr:uid="{5EB47A8B-B775-414C-87B2-A07FD4E58D23}"/>
    <cellStyle name="Normal-blank" xfId="97" xr:uid="{CCC4083D-64E1-4098-9D93-2075E10D54F7}"/>
    <cellStyle name="Normal-bottom" xfId="98" xr:uid="{DA228440-6DE0-49A9-A747-32EC188CA6C9}"/>
    <cellStyle name="Normal-center" xfId="99" xr:uid="{80AE33F2-CF00-4860-AA49-F24395340F23}"/>
    <cellStyle name="Normal-droit" xfId="100" xr:uid="{DB4C17D6-300D-4198-9BE7-0280101B0862}"/>
    <cellStyle name="normální_Nove vystupy_DOPOCTENE" xfId="102" xr:uid="{AE2E9806-4BB7-41B6-AD73-9A935310DDCF}"/>
    <cellStyle name="Normal-top" xfId="101" xr:uid="{D3A63369-A77A-4771-A3D8-F0BB28373BD1}"/>
    <cellStyle name="Note 2" xfId="261" xr:uid="{2AA5F619-5FF3-4B4F-8A6F-F5DF0C7B5C06}"/>
    <cellStyle name="Note 3" xfId="262" xr:uid="{77C0441B-7AC5-4B5F-99F8-DE96E9F0901C}"/>
    <cellStyle name="Note 4" xfId="103" xr:uid="{E9F30224-01BC-4DB0-8EFB-8266282D1C41}"/>
    <cellStyle name="Note 5" xfId="402" xr:uid="{43E8021E-8437-45CA-930E-6BD57CA700DD}"/>
    <cellStyle name="Output" xfId="104" xr:uid="{A3369340-7667-466D-A6AC-E9E134EBF21D}"/>
    <cellStyle name="Output 2" xfId="263" xr:uid="{69C4E23A-151F-4736-904A-08456194AB75}"/>
    <cellStyle name="Percent 10" xfId="264" xr:uid="{7C08A53C-45B1-4215-A9E2-D6881EEE7C3D}"/>
    <cellStyle name="Percent 10 2" xfId="265" xr:uid="{8D759EEE-1744-41B8-B04F-FF53195E7359}"/>
    <cellStyle name="Percent 11" xfId="266" xr:uid="{E09204FF-9B65-4E86-A97E-F71E7291F3F6}"/>
    <cellStyle name="Percent 11 2" xfId="380" xr:uid="{962B6493-0DD7-494A-8195-FDF25CA40578}"/>
    <cellStyle name="Percent 12" xfId="267" xr:uid="{A75FA6B2-95E1-4DE5-8DF7-197827F6E3AA}"/>
    <cellStyle name="Percent 12 2" xfId="268" xr:uid="{88EEE7A0-1B01-4C1D-B619-ED46F6A3A6E0}"/>
    <cellStyle name="Percent 12 2 2" xfId="337" xr:uid="{C5C85C2F-11C3-4F70-A8F8-DF1778D7ACA5}"/>
    <cellStyle name="Percent 13" xfId="269" xr:uid="{FB9E4E4A-637D-441A-ABBE-D97C04DD756A}"/>
    <cellStyle name="Percent 13 2" xfId="379" xr:uid="{0FBBE8DD-93F8-48E6-A8D0-8E81A9F341A1}"/>
    <cellStyle name="Percent 14" xfId="270" xr:uid="{AEE6E96C-ABD4-4056-9198-5A3748989200}"/>
    <cellStyle name="Percent 15" xfId="271" xr:uid="{1CE13F37-2E31-440F-B04F-A66FE2E4D980}"/>
    <cellStyle name="Percent 15 2" xfId="338" xr:uid="{876133B6-56CD-4861-A6E1-09E6D54C003B}"/>
    <cellStyle name="Percent 16" xfId="272" xr:uid="{613A0CC3-0255-4702-82F2-0DA031B1B5C8}"/>
    <cellStyle name="Percent 16 2" xfId="339" xr:uid="{B84121C4-E0C8-4BAB-83FC-CA8955DC7B3E}"/>
    <cellStyle name="Percent 17" xfId="273" xr:uid="{E5A98FBA-1E27-4663-8D68-D41018DC3103}"/>
    <cellStyle name="Percent 18" xfId="274" xr:uid="{A5280CD7-BF4A-440A-B8DC-40CBB14A5191}"/>
    <cellStyle name="Percent 19" xfId="275" xr:uid="{52CC7F44-DD05-4EE3-8275-E0D60200E8E1}"/>
    <cellStyle name="Percent 19 2" xfId="378" xr:uid="{EB96EF82-19BD-4947-8EB1-391963A62A4D}"/>
    <cellStyle name="Percent 2" xfId="105" xr:uid="{342ABC10-2C36-4991-A39C-7A90F9E3D517}"/>
    <cellStyle name="Percent 2 2" xfId="106" xr:uid="{2AD84E5D-C752-427D-972C-A85A116B7394}"/>
    <cellStyle name="Percent 2 2 2" xfId="340" xr:uid="{318954F1-C42B-477A-BDB6-D5A2AFEF81B6}"/>
    <cellStyle name="Percent 2 3" xfId="107" xr:uid="{C79B74D8-738F-4E36-AAC1-DE5C7FF76036}"/>
    <cellStyle name="Percent 2 4" xfId="276" xr:uid="{188D0ABE-C85F-4BDD-8445-4D97AACE0052}"/>
    <cellStyle name="Percent 2 5" xfId="348" xr:uid="{B06AE015-A6B4-4C5E-A0F8-7E564D7D60A5}"/>
    <cellStyle name="Percent 3" xfId="108" xr:uid="{E993C3CD-FF41-42AE-BE52-050D89E2C6E6}"/>
    <cellStyle name="Percent 3 2" xfId="277" xr:uid="{B5C550C5-C71A-4250-BE52-D4F1BC2E82BB}"/>
    <cellStyle name="Percent 3 2 2" xfId="377" xr:uid="{28E59828-A048-433A-AFF2-4E487ECABC24}"/>
    <cellStyle name="Percent 3 3" xfId="367" xr:uid="{644A44A2-9ADD-4DDA-AAF2-69E0B844F1E2}"/>
    <cellStyle name="Percent 3 3 2" xfId="296" xr:uid="{224A18C3-1594-43CE-B1CF-927639AC5E42}"/>
    <cellStyle name="Percent 3 4" xfId="401" xr:uid="{4B6DCC73-D681-4AB4-A57E-3C6361379880}"/>
    <cellStyle name="Percent 4" xfId="109" xr:uid="{CBE4EFB0-3F35-4473-9132-2A03496ACCB9}"/>
    <cellStyle name="Percent 4 2" xfId="278" xr:uid="{379CC56A-9C66-4A62-8B47-5C2BC44DE44A}"/>
    <cellStyle name="Percent 4 2 2" xfId="279" xr:uid="{4A541769-DDE1-46CA-92DD-027A1D1204E0}"/>
    <cellStyle name="Percent 4 3" xfId="280" xr:uid="{76BFCB61-9F94-4ED5-86C6-13CDE349D9E7}"/>
    <cellStyle name="Percent 4 3 2" xfId="281" xr:uid="{6EBF406B-6941-4686-96D2-5A03C0937A6D}"/>
    <cellStyle name="Percent 4 4" xfId="341" xr:uid="{9ED9ABA1-0CB5-4060-B468-860238CF2D83}"/>
    <cellStyle name="Percent 5" xfId="282" xr:uid="{24DE47DA-157A-4E96-BCA4-42E58E827E58}"/>
    <cellStyle name="Percent 5 2" xfId="376" xr:uid="{C2620DFD-987B-40CF-86E4-70891A1E451C}"/>
    <cellStyle name="Percent 6" xfId="283" xr:uid="{08039806-C896-4BFB-91E8-EB3213D3F287}"/>
    <cellStyle name="Percent 6 2" xfId="284" xr:uid="{BCDF0134-1DEE-48CE-BA81-00A2CB0614E9}"/>
    <cellStyle name="Percent 7" xfId="285" xr:uid="{1F373238-84BE-46E5-B5D4-F3D8726BED6E}"/>
    <cellStyle name="Percent 7 2" xfId="342" xr:uid="{1A4F5861-0762-4971-86DB-61E81DE025AB}"/>
    <cellStyle name="Percent 7 2 2" xfId="343" xr:uid="{6D3BD4E2-AE88-474A-8003-1D31D655EA8F}"/>
    <cellStyle name="Percent 8" xfId="286" xr:uid="{51A8377E-4302-4A35-A5C2-602F4A46A4A6}"/>
    <cellStyle name="Percent 8 2" xfId="287" xr:uid="{3474F765-2FBC-435B-9C52-B35A51D464CB}"/>
    <cellStyle name="Percent 8 3" xfId="344" xr:uid="{A3DA992C-14F0-4C71-A73E-335833FEA815}"/>
    <cellStyle name="Percent 9" xfId="288" xr:uid="{525A1EA7-0E34-4CD7-B757-7560ED3E2A38}"/>
    <cellStyle name="Percent 9 2" xfId="345" xr:uid="{3BA5FCFE-FB37-4251-BAB9-7C8838753541}"/>
    <cellStyle name="Percent 9 3" xfId="346" xr:uid="{15431DD2-B584-4B5B-88B3-C1D0BB01F42C}"/>
    <cellStyle name="Pilkku_Esimerkkejä kaavioista.xls Kaavio 1" xfId="110" xr:uid="{915D7EA6-A27C-4A55-B835-8E5CCC4B1160}"/>
    <cellStyle name="Pourcentage" xfId="2" builtinId="5"/>
    <cellStyle name="Pourcentage 10" xfId="111" xr:uid="{6EE84608-4D63-477C-8946-0691D61C3B05}"/>
    <cellStyle name="Pourcentage 10 2" xfId="112" xr:uid="{78AF8418-8E21-4789-96D6-46839C097790}"/>
    <cellStyle name="Pourcentage 10 2 2" xfId="113" xr:uid="{3FB3B04F-DA21-487F-B3A5-FC05255F807B}"/>
    <cellStyle name="Pourcentage 10 3" xfId="114" xr:uid="{ED09B8B5-D22D-43CD-AA79-169B0DE8C589}"/>
    <cellStyle name="Pourcentage 10 4" xfId="115" xr:uid="{F1EB9317-4FA0-487A-B93F-3EC2BFF5C701}"/>
    <cellStyle name="Pourcentage 10 5" xfId="366" xr:uid="{DD7F38C0-2D20-4470-868C-6253CAD00805}"/>
    <cellStyle name="Pourcentage 11" xfId="116" xr:uid="{2CEBE82F-F3BC-4BB5-9734-973C406DF271}"/>
    <cellStyle name="Pourcentage 12" xfId="117" xr:uid="{E9785D59-2596-43F3-A41C-288904A0B495}"/>
    <cellStyle name="Pourcentage 12 2" xfId="118" xr:uid="{AC5C3723-B260-4454-B80D-9BF023A256FA}"/>
    <cellStyle name="Pourcentage 12 3" xfId="119" xr:uid="{B20E2165-26C1-432D-BE9F-E3F5D6C3BC87}"/>
    <cellStyle name="Pourcentage 13" xfId="120" xr:uid="{27AE49EA-51A8-4B7E-8E06-D5E066A957E6}"/>
    <cellStyle name="Pourcentage 13 2" xfId="355" xr:uid="{1E9C9923-BDA6-4F2B-B3ED-C309B1CC2EB2}"/>
    <cellStyle name="Pourcentage 14" xfId="154" xr:uid="{2DAF131B-2B30-4524-9533-CD8B99D5A075}"/>
    <cellStyle name="Pourcentage 15" xfId="356" xr:uid="{4D33DAC1-385B-4C59-AC39-3F1959E16083}"/>
    <cellStyle name="Pourcentage 15 2" xfId="425" xr:uid="{EC8D11CF-A936-44C3-80EF-9BB4E347C013}"/>
    <cellStyle name="Pourcentage 16" xfId="357" xr:uid="{44884D39-438A-481B-AE37-81BAFF15BC5B}"/>
    <cellStyle name="Pourcentage 17" xfId="364" xr:uid="{6CB92B7C-54F8-418C-8C49-D48D1823D987}"/>
    <cellStyle name="Pourcentage 18" xfId="394" xr:uid="{5D90E78E-A3E7-4AAA-A284-A8736E916654}"/>
    <cellStyle name="Pourcentage 19" xfId="411" xr:uid="{BF1B8526-F1D4-4E42-BFFE-718D764C07AD}"/>
    <cellStyle name="Pourcentage 2" xfId="121" xr:uid="{0B4F8B67-DC08-40A9-AFCA-2FE3A17ECF4B}"/>
    <cellStyle name="Pourcentage 2 2" xfId="122" xr:uid="{F3917F59-522F-4B1B-98B9-93BAB9CD6DC5}"/>
    <cellStyle name="Pourcentage 2 3" xfId="123" xr:uid="{66E97E30-8E6F-4191-9269-9AEF397C7DD6}"/>
    <cellStyle name="Pourcentage 2 3 2" xfId="358" xr:uid="{85237571-CC2E-4228-BD3E-F0A720683A0B}"/>
    <cellStyle name="Pourcentage 2 3 2 2" xfId="359" xr:uid="{AB0B08C2-0070-4D6A-9327-57CCBDE3901E}"/>
    <cellStyle name="Pourcentage 2 3 3" xfId="360" xr:uid="{8CEA71DA-3FBB-47D7-8F91-0FD261E997BE}"/>
    <cellStyle name="Pourcentage 2 4" xfId="361" xr:uid="{A972D342-03DD-4F85-A2D8-66F777BA01AC}"/>
    <cellStyle name="Pourcentage 2 4 2" xfId="428" xr:uid="{53432AE6-462F-476F-A9A6-4E26FCB76A69}"/>
    <cellStyle name="Pourcentage 2 5" xfId="400" xr:uid="{620DB2C8-11AA-4E90-9540-A883191ACB96}"/>
    <cellStyle name="Pourcentage 20" xfId="4" xr:uid="{C08257A6-1AD3-47F0-A699-526A509757FB}"/>
    <cellStyle name="Pourcentage 3" xfId="124" xr:uid="{76935CE8-3359-4985-86DA-CD6D9A65FFEB}"/>
    <cellStyle name="Pourcentage 3 2" xfId="125" xr:uid="{C06643A5-CA84-4A10-A2AB-9B32B53F1BAF}"/>
    <cellStyle name="Pourcentage 3 3" xfId="399" xr:uid="{6E77B08F-AD01-46CF-B4CA-FB83AA3D994D}"/>
    <cellStyle name="Pourcentage 4" xfId="126" xr:uid="{E599C66C-3AAE-4F5B-A90D-EA36AA63DFB2}"/>
    <cellStyle name="Pourcentage 4 2" xfId="289" xr:uid="{3A454F50-B9DA-4BD6-8C3A-2F549625FB42}"/>
    <cellStyle name="Pourcentage 5" xfId="127" xr:uid="{2DFCD5F8-301A-4396-9839-1040D9A332D1}"/>
    <cellStyle name="Pourcentage 5 2" xfId="128" xr:uid="{C5B4BA7F-9AEF-4C08-894A-8AC6E122967E}"/>
    <cellStyle name="Pourcentage 6" xfId="129" xr:uid="{07BA6F79-311C-48FF-B8AF-55C99D6C518F}"/>
    <cellStyle name="Pourcentage 6 2" xfId="130" xr:uid="{1C526917-41D4-452F-88DF-028525E5832D}"/>
    <cellStyle name="Pourcentage 6 2 2" xfId="362" xr:uid="{1ADB1A15-BD48-4FDE-8C72-A6F936F8ECD5}"/>
    <cellStyle name="Pourcentage 6 2 2 2" xfId="429" xr:uid="{2736C7CA-39B0-4913-B4DC-09D8D79D3895}"/>
    <cellStyle name="Pourcentage 6 2 3" xfId="398" xr:uid="{35EECF5B-F2DC-4C01-9771-2BAEC40E2C0E}"/>
    <cellStyle name="Pourcentage 7" xfId="131" xr:uid="{52C7AE50-6215-42E4-B217-94F9686272FA}"/>
    <cellStyle name="Pourcentage 7 2" xfId="132" xr:uid="{F8D1551A-9479-47F1-AB12-C0DB13152E94}"/>
    <cellStyle name="Pourcentage 7 3" xfId="426" xr:uid="{5A5980A8-4061-4762-867F-8D1D02EAC13D}"/>
    <cellStyle name="Pourcentage 8" xfId="133" xr:uid="{1B44E506-8397-4932-BA8F-5C2C9BA56502}"/>
    <cellStyle name="Pourcentage 8 2" xfId="155" xr:uid="{E30C61B0-FF1D-45D9-A36E-4C6F0F0DA9AF}"/>
    <cellStyle name="Pourcentage 8 2 2" xfId="368" xr:uid="{C27B9CFE-6339-4994-8F01-981410EFD4DE}"/>
    <cellStyle name="Pourcentage 9" xfId="134" xr:uid="{104C8564-2274-460E-B329-B2FDA6D53258}"/>
    <cellStyle name="Pourcentage 9 2" xfId="135" xr:uid="{9F4C539B-347F-4349-B44B-C0C428BAC1A8}"/>
    <cellStyle name="Pourcentage 9 2 2" xfId="136" xr:uid="{2ABC6381-E0DF-4FA1-B869-EE801989CFFE}"/>
    <cellStyle name="Satisfaisant 2" xfId="137" xr:uid="{5FC59CBA-3B8B-458F-B766-0C46624A76C2}"/>
    <cellStyle name="Standard 11" xfId="138" xr:uid="{CAE54BA7-2D29-45BA-8555-C4796AEB3C72}"/>
    <cellStyle name="Standard 11 2" xfId="397" xr:uid="{E7170507-E202-4C34-B546-547BFE53D6A7}"/>
    <cellStyle name="Standard_2 + 3" xfId="139" xr:uid="{73983FBF-B421-4601-8FD9-81DE06394BBB}"/>
    <cellStyle name="Style 24" xfId="140" xr:uid="{D9F02E1D-8CB1-48D5-A256-0122FFCC1F40}"/>
    <cellStyle name="Style 24 2" xfId="396" xr:uid="{B7A71D52-9408-4089-A625-18600EF13E8B}"/>
    <cellStyle name="Style 25" xfId="141" xr:uid="{B4987A87-E6EB-4A35-9C4E-1CF7E72C059B}"/>
    <cellStyle name="Style 25 2" xfId="395" xr:uid="{1F9D9B24-73AD-4AE9-911F-22B7A543A1D4}"/>
    <cellStyle name="style_col_headings" xfId="142" xr:uid="{E5C3D59B-381B-40DC-9FB6-C41BE1D9204B}"/>
    <cellStyle name="TEXT" xfId="143" xr:uid="{7544FF01-9548-4E20-8CD5-3D27674A2EDC}"/>
    <cellStyle name="Title" xfId="144" xr:uid="{E6ADD940-8BFB-453F-AE92-5EA0A5959404}"/>
    <cellStyle name="Titre 2" xfId="145" xr:uid="{76E68D11-AC24-4F09-BF67-7BD251833804}"/>
    <cellStyle name="Titre 1 2" xfId="146" xr:uid="{F96FD001-12B9-427F-9F26-8A2DF4634E32}"/>
    <cellStyle name="Titre 2 2" xfId="147" xr:uid="{64C897FD-FF90-4EEF-9B9D-A003B70DC4DE}"/>
    <cellStyle name="Titre 3 2" xfId="148" xr:uid="{378B9E8C-DF5D-41BB-892A-058DCFB1A820}"/>
    <cellStyle name="Titre 4 2" xfId="149" xr:uid="{FE35D15E-43F6-4A18-BD86-ABA45600344B}"/>
    <cellStyle name="Total 2" xfId="290" xr:uid="{53C4959B-BD75-44B9-A68B-CAE707458C9D}"/>
    <cellStyle name="Vérification 2" xfId="150" xr:uid="{21F90414-44E4-4092-990D-521105E9B197}"/>
    <cellStyle name="Virgule fixe" xfId="151" xr:uid="{4CEF657D-D57A-4B17-B22D-3C17B8288DF0}"/>
    <cellStyle name="Virgule fixe 2" xfId="291" xr:uid="{DD5E6889-4E47-4C4A-914C-DAF8919B5CA6}"/>
    <cellStyle name="Virgule fixe 2 2" xfId="375" xr:uid="{E28520B6-2B08-490D-943C-E1F4FC94BEC4}"/>
    <cellStyle name="Virgule fixe 3" xfId="393" xr:uid="{91078C1C-55B6-4826-B7B5-44561F34A9D4}"/>
    <cellStyle name="Warning Text" xfId="152" xr:uid="{60125B07-7F55-4475-AB70-A3D79018F6DE}"/>
    <cellStyle name="Warning Text 2" xfId="292" xr:uid="{46C9FCC0-8F4D-47A7-8314-E4FA45C4ACBE}"/>
    <cellStyle name="Wrapped" xfId="153" xr:uid="{CD2CC97D-14BF-4282-8A62-B3A3FF8791BF}"/>
    <cellStyle name="一般 2 3" xfId="293" xr:uid="{FE529C80-DAB2-4E80-9A47-EA4BF757C343}"/>
    <cellStyle name="一般 2 3 2" xfId="374" xr:uid="{53814F41-F495-4DF1-87F9-0CD8387665F0}"/>
    <cellStyle name="一般 3" xfId="294" xr:uid="{2D6863A5-B4E1-4774-ACEE-B666C55A4B99}"/>
    <cellStyle name="一般 3 2" xfId="373" xr:uid="{39908A3F-233A-496A-A623-09251AFBE1FA}"/>
  </cellStyles>
  <dxfs count="0"/>
  <tableStyles count="0" defaultTableStyle="TableStyleMedium2" defaultPivotStyle="PivotStyleLight16"/>
  <colors>
    <mruColors>
      <color rgb="FFCC3399"/>
      <color rgb="FF800080"/>
      <color rgb="FFFF6565"/>
      <color rgb="FF9900FF"/>
      <color rgb="FFFF8A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lumMod val="60000"/>
                  <a:lumOff val="40000"/>
                </a:schemeClr>
              </a:solidFill>
              <a:prstDash val="dash"/>
              <a:round/>
            </a:ln>
            <a:effectLst/>
          </c:spPr>
          <c:marker>
            <c:symbol val="none"/>
          </c:marker>
          <c:cat>
            <c:strRef>
              <c:f>FRA!$A$4:$A$18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FRA!$T$4:$T$18</c:f>
              <c:numCache>
                <c:formatCode>0.0%</c:formatCode>
                <c:ptCount val="15"/>
                <c:pt idx="1">
                  <c:v>0.27</c:v>
                </c:pt>
                <c:pt idx="2">
                  <c:v>0.28000000000000003</c:v>
                </c:pt>
                <c:pt idx="3">
                  <c:v>0.31</c:v>
                </c:pt>
                <c:pt idx="4">
                  <c:v>0.33</c:v>
                </c:pt>
                <c:pt idx="5">
                  <c:v>0.35</c:v>
                </c:pt>
                <c:pt idx="6">
                  <c:v>0.38</c:v>
                </c:pt>
                <c:pt idx="7">
                  <c:v>0.41</c:v>
                </c:pt>
                <c:pt idx="8">
                  <c:v>0.43</c:v>
                </c:pt>
                <c:pt idx="9">
                  <c:v>0.46499999999999997</c:v>
                </c:pt>
                <c:pt idx="10">
                  <c:v>0.49008434414668545</c:v>
                </c:pt>
                <c:pt idx="11">
                  <c:v>0.51746336996336995</c:v>
                </c:pt>
                <c:pt idx="12">
                  <c:v>0.48142846846846848</c:v>
                </c:pt>
                <c:pt idx="13">
                  <c:v>0.33972000000000002</c:v>
                </c:pt>
                <c:pt idx="14">
                  <c:v>0.26</c:v>
                </c:pt>
              </c:numCache>
            </c:numRef>
          </c:val>
          <c:smooth val="0"/>
          <c:extLst>
            <c:ext xmlns:c16="http://schemas.microsoft.com/office/drawing/2014/chart" uri="{C3380CC4-5D6E-409C-BE32-E72D297353CC}">
              <c16:uniqueId val="{00000000-159C-4012-8E2A-B4474DE67F7B}"/>
            </c:ext>
          </c:extLst>
        </c:ser>
        <c:ser>
          <c:idx val="1"/>
          <c:order val="1"/>
          <c:spPr>
            <a:ln w="28575" cap="rnd">
              <a:solidFill>
                <a:srgbClr val="002060"/>
              </a:solidFill>
              <a:round/>
            </a:ln>
            <a:effectLst/>
          </c:spPr>
          <c:marker>
            <c:symbol val="none"/>
          </c:marker>
          <c:cat>
            <c:strRef>
              <c:f>FRA!$A$4:$A$18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FRA!$U$4:$U$18</c:f>
              <c:numCache>
                <c:formatCode>0.0%</c:formatCode>
                <c:ptCount val="15"/>
                <c:pt idx="1">
                  <c:v>0.27</c:v>
                </c:pt>
                <c:pt idx="2">
                  <c:v>0.28000000000000003</c:v>
                </c:pt>
                <c:pt idx="3">
                  <c:v>0.31</c:v>
                </c:pt>
                <c:pt idx="4">
                  <c:v>0.33</c:v>
                </c:pt>
                <c:pt idx="5">
                  <c:v>0.35</c:v>
                </c:pt>
                <c:pt idx="6">
                  <c:v>0.38</c:v>
                </c:pt>
                <c:pt idx="7">
                  <c:v>0.41</c:v>
                </c:pt>
                <c:pt idx="8">
                  <c:v>0.43</c:v>
                </c:pt>
                <c:pt idx="9">
                  <c:v>0.46499999999999997</c:v>
                </c:pt>
                <c:pt idx="10">
                  <c:v>0.49008434414668545</c:v>
                </c:pt>
                <c:pt idx="11">
                  <c:v>0.51746336996336995</c:v>
                </c:pt>
                <c:pt idx="12">
                  <c:v>0.51588356327140661</c:v>
                </c:pt>
                <c:pt idx="13">
                  <c:v>0.49584222222222224</c:v>
                </c:pt>
                <c:pt idx="14">
                  <c:v>0.52621428571428575</c:v>
                </c:pt>
              </c:numCache>
            </c:numRef>
          </c:val>
          <c:smooth val="0"/>
          <c:extLst>
            <c:ext xmlns:c16="http://schemas.microsoft.com/office/drawing/2014/chart" uri="{C3380CC4-5D6E-409C-BE32-E72D297353CC}">
              <c16:uniqueId val="{00000001-159C-4012-8E2A-B4474DE67F7B}"/>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rgbClr val="FF6565"/>
              </a:solidFill>
              <a:prstDash val="dash"/>
              <a:round/>
            </a:ln>
            <a:effectLst/>
          </c:spPr>
          <c:marker>
            <c:symbol val="none"/>
          </c:marker>
          <c:cat>
            <c:strRef>
              <c:f>USA!$A$4:$A$18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USA!$T$4:$T$18</c:f>
              <c:numCache>
                <c:formatCode>0.0%</c:formatCode>
                <c:ptCount val="15"/>
                <c:pt idx="1">
                  <c:v>0.23915495268939158</c:v>
                </c:pt>
                <c:pt idx="2">
                  <c:v>0.25425502450722759</c:v>
                </c:pt>
                <c:pt idx="3">
                  <c:v>0.25874279663847394</c:v>
                </c:pt>
                <c:pt idx="4">
                  <c:v>0.26364736777138803</c:v>
                </c:pt>
                <c:pt idx="5">
                  <c:v>0.27047732013979231</c:v>
                </c:pt>
                <c:pt idx="6">
                  <c:v>0.28528463802486209</c:v>
                </c:pt>
                <c:pt idx="7">
                  <c:v>0.29118119107585216</c:v>
                </c:pt>
                <c:pt idx="8">
                  <c:v>0.29565389859794372</c:v>
                </c:pt>
                <c:pt idx="9">
                  <c:v>0.2960802780956443</c:v>
                </c:pt>
                <c:pt idx="10">
                  <c:v>0.3164467108150214</c:v>
                </c:pt>
                <c:pt idx="11">
                  <c:v>0.35944871230125769</c:v>
                </c:pt>
                <c:pt idx="12">
                  <c:v>0.39375864569321983</c:v>
                </c:pt>
                <c:pt idx="13">
                  <c:v>0.36016398668289185</c:v>
                </c:pt>
                <c:pt idx="14">
                  <c:v>0.26</c:v>
                </c:pt>
              </c:numCache>
            </c:numRef>
          </c:val>
          <c:smooth val="0"/>
          <c:extLst>
            <c:ext xmlns:c16="http://schemas.microsoft.com/office/drawing/2014/chart" uri="{C3380CC4-5D6E-409C-BE32-E72D297353CC}">
              <c16:uniqueId val="{00000000-C7DE-4E0A-A3B8-9AC32025F920}"/>
            </c:ext>
          </c:extLst>
        </c:ser>
        <c:ser>
          <c:idx val="1"/>
          <c:order val="1"/>
          <c:spPr>
            <a:ln w="28575" cap="rnd">
              <a:solidFill>
                <a:srgbClr val="C00000"/>
              </a:solidFill>
              <a:round/>
            </a:ln>
            <a:effectLst/>
          </c:spPr>
          <c:marker>
            <c:symbol val="none"/>
          </c:marker>
          <c:cat>
            <c:strRef>
              <c:f>USA!$A$4:$A$18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USA!$U$4:$U$18</c:f>
              <c:numCache>
                <c:formatCode>0.0%</c:formatCode>
                <c:ptCount val="15"/>
                <c:pt idx="1">
                  <c:v>0.23915495268939158</c:v>
                </c:pt>
                <c:pt idx="2">
                  <c:v>0.25425502450722759</c:v>
                </c:pt>
                <c:pt idx="3">
                  <c:v>0.25874279663847394</c:v>
                </c:pt>
                <c:pt idx="4">
                  <c:v>0.26364736777138803</c:v>
                </c:pt>
                <c:pt idx="5">
                  <c:v>0.27047732013979231</c:v>
                </c:pt>
                <c:pt idx="6">
                  <c:v>0.28528463802486209</c:v>
                </c:pt>
                <c:pt idx="7">
                  <c:v>0.29118119107585216</c:v>
                </c:pt>
                <c:pt idx="8">
                  <c:v>0.29565389859794372</c:v>
                </c:pt>
                <c:pt idx="9">
                  <c:v>0.2960802780956443</c:v>
                </c:pt>
                <c:pt idx="10">
                  <c:v>0.3164467108150214</c:v>
                </c:pt>
                <c:pt idx="11">
                  <c:v>0.35944871230125769</c:v>
                </c:pt>
                <c:pt idx="12">
                  <c:v>0.39375864569321983</c:v>
                </c:pt>
                <c:pt idx="13">
                  <c:v>0.36534111036194694</c:v>
                </c:pt>
                <c:pt idx="14">
                  <c:v>0.54538098420649606</c:v>
                </c:pt>
              </c:numCache>
            </c:numRef>
          </c:val>
          <c:smooth val="0"/>
          <c:extLst>
            <c:ext xmlns:c16="http://schemas.microsoft.com/office/drawing/2014/chart" uri="{C3380CC4-5D6E-409C-BE32-E72D297353CC}">
              <c16:uniqueId val="{00000001-C7DE-4E0A-A3B8-9AC32025F920}"/>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2">
                  <a:lumMod val="40000"/>
                  <a:lumOff val="60000"/>
                </a:schemeClr>
              </a:solidFill>
              <a:prstDash val="dash"/>
              <a:round/>
            </a:ln>
            <a:effectLst/>
          </c:spPr>
          <c:marker>
            <c:symbol val="none"/>
          </c:marker>
          <c:cat>
            <c:strRef>
              <c:f>NDL!$A$4:$A$18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NDL!$T$4:$T$18</c:f>
              <c:numCache>
                <c:formatCode>0.0%</c:formatCode>
                <c:ptCount val="15"/>
                <c:pt idx="1">
                  <c:v>0.505</c:v>
                </c:pt>
                <c:pt idx="2">
                  <c:v>0.46</c:v>
                </c:pt>
                <c:pt idx="3">
                  <c:v>0.46</c:v>
                </c:pt>
                <c:pt idx="4">
                  <c:v>0.46</c:v>
                </c:pt>
                <c:pt idx="5">
                  <c:v>0.46</c:v>
                </c:pt>
                <c:pt idx="6">
                  <c:v>0.47</c:v>
                </c:pt>
                <c:pt idx="7">
                  <c:v>0.48</c:v>
                </c:pt>
                <c:pt idx="8">
                  <c:v>0.48</c:v>
                </c:pt>
                <c:pt idx="9">
                  <c:v>0.44</c:v>
                </c:pt>
                <c:pt idx="10">
                  <c:v>0.27</c:v>
                </c:pt>
                <c:pt idx="11">
                  <c:v>0.215</c:v>
                </c:pt>
                <c:pt idx="12">
                  <c:v>0.19</c:v>
                </c:pt>
                <c:pt idx="13">
                  <c:v>0.185</c:v>
                </c:pt>
                <c:pt idx="14">
                  <c:v>0.26</c:v>
                </c:pt>
              </c:numCache>
            </c:numRef>
          </c:val>
          <c:smooth val="0"/>
          <c:extLst>
            <c:ext xmlns:c16="http://schemas.microsoft.com/office/drawing/2014/chart" uri="{C3380CC4-5D6E-409C-BE32-E72D297353CC}">
              <c16:uniqueId val="{00000002-9AB6-4280-969B-B943A6939F98}"/>
            </c:ext>
          </c:extLst>
        </c:ser>
        <c:ser>
          <c:idx val="1"/>
          <c:order val="1"/>
          <c:spPr>
            <a:ln w="28575" cap="rnd">
              <a:solidFill>
                <a:schemeClr val="accent2"/>
              </a:solidFill>
              <a:round/>
            </a:ln>
            <a:effectLst/>
          </c:spPr>
          <c:marker>
            <c:symbol val="none"/>
          </c:marker>
          <c:cat>
            <c:strRef>
              <c:f>NDL!$A$4:$A$18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NDL!$U$4:$U$18</c:f>
              <c:numCache>
                <c:formatCode>0.0%</c:formatCode>
                <c:ptCount val="15"/>
                <c:pt idx="1">
                  <c:v>0.505</c:v>
                </c:pt>
                <c:pt idx="2">
                  <c:v>0.46</c:v>
                </c:pt>
                <c:pt idx="3">
                  <c:v>0.46</c:v>
                </c:pt>
                <c:pt idx="4">
                  <c:v>0.46</c:v>
                </c:pt>
                <c:pt idx="5">
                  <c:v>0.46</c:v>
                </c:pt>
                <c:pt idx="6">
                  <c:v>0.47</c:v>
                </c:pt>
                <c:pt idx="7">
                  <c:v>0.48</c:v>
                </c:pt>
                <c:pt idx="8">
                  <c:v>0.48</c:v>
                </c:pt>
                <c:pt idx="9">
                  <c:v>0.44</c:v>
                </c:pt>
                <c:pt idx="10">
                  <c:v>0.27</c:v>
                </c:pt>
                <c:pt idx="11">
                  <c:v>0.215</c:v>
                </c:pt>
                <c:pt idx="12">
                  <c:v>0.30304568597231885</c:v>
                </c:pt>
                <c:pt idx="13">
                  <c:v>0.38222222222222224</c:v>
                </c:pt>
                <c:pt idx="14">
                  <c:v>0.5407142857142857</c:v>
                </c:pt>
              </c:numCache>
            </c:numRef>
          </c:val>
          <c:smooth val="0"/>
          <c:extLst>
            <c:ext xmlns:c16="http://schemas.microsoft.com/office/drawing/2014/chart" uri="{C3380CC4-5D6E-409C-BE32-E72D297353CC}">
              <c16:uniqueId val="{00000003-9AB6-4280-969B-B943A6939F98}"/>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6">
                  <a:lumMod val="40000"/>
                  <a:lumOff val="60000"/>
                </a:schemeClr>
              </a:solidFill>
              <a:prstDash val="dash"/>
              <a:round/>
            </a:ln>
            <a:effectLst/>
          </c:spPr>
          <c:marker>
            <c:symbol val="none"/>
          </c:marker>
          <c:cat>
            <c:strRef>
              <c:f>BRA!$A$4:$A$18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BRA!$T$4:$T$18</c:f>
              <c:numCache>
                <c:formatCode>0.0%</c:formatCode>
                <c:ptCount val="15"/>
                <c:pt idx="1">
                  <c:v>0.48921796000000001</c:v>
                </c:pt>
                <c:pt idx="2">
                  <c:v>0.48921796000000001</c:v>
                </c:pt>
                <c:pt idx="3">
                  <c:v>0.48097889999999999</c:v>
                </c:pt>
                <c:pt idx="4">
                  <c:v>0.44749116</c:v>
                </c:pt>
                <c:pt idx="5">
                  <c:v>0.46344125000000003</c:v>
                </c:pt>
                <c:pt idx="6">
                  <c:v>0.46875623</c:v>
                </c:pt>
                <c:pt idx="7">
                  <c:v>0.4378783</c:v>
                </c:pt>
                <c:pt idx="8">
                  <c:v>0.49957816999999999</c:v>
                </c:pt>
                <c:pt idx="9">
                  <c:v>0.45399179887375457</c:v>
                </c:pt>
                <c:pt idx="10">
                  <c:v>0.30034454999999999</c:v>
                </c:pt>
                <c:pt idx="11">
                  <c:v>0.22436049</c:v>
                </c:pt>
                <c:pt idx="12">
                  <c:v>0.21458076000000001</c:v>
                </c:pt>
                <c:pt idx="13">
                  <c:v>0.19708729</c:v>
                </c:pt>
                <c:pt idx="14">
                  <c:v>0.26</c:v>
                </c:pt>
              </c:numCache>
            </c:numRef>
          </c:val>
          <c:smooth val="0"/>
          <c:extLst>
            <c:ext xmlns:c16="http://schemas.microsoft.com/office/drawing/2014/chart" uri="{C3380CC4-5D6E-409C-BE32-E72D297353CC}">
              <c16:uniqueId val="{00000002-6A74-4E77-8DD8-2A175315F7E0}"/>
            </c:ext>
          </c:extLst>
        </c:ser>
        <c:ser>
          <c:idx val="1"/>
          <c:order val="1"/>
          <c:spPr>
            <a:ln w="28575" cap="rnd">
              <a:solidFill>
                <a:schemeClr val="accent6">
                  <a:lumMod val="75000"/>
                </a:schemeClr>
              </a:solidFill>
              <a:round/>
            </a:ln>
            <a:effectLst/>
          </c:spPr>
          <c:marker>
            <c:symbol val="none"/>
          </c:marker>
          <c:cat>
            <c:strRef>
              <c:f>BRA!$A$4:$A$18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BRA!$U$4:$U$18</c:f>
              <c:numCache>
                <c:formatCode>0.0%</c:formatCode>
                <c:ptCount val="15"/>
                <c:pt idx="1">
                  <c:v>0.48921796000000001</c:v>
                </c:pt>
                <c:pt idx="2">
                  <c:v>0.48921796000000001</c:v>
                </c:pt>
                <c:pt idx="3">
                  <c:v>0.48097889999999999</c:v>
                </c:pt>
                <c:pt idx="4">
                  <c:v>0.44749116</c:v>
                </c:pt>
                <c:pt idx="5">
                  <c:v>0.46344125000000003</c:v>
                </c:pt>
                <c:pt idx="6">
                  <c:v>0.46875623</c:v>
                </c:pt>
                <c:pt idx="7">
                  <c:v>0.4378783</c:v>
                </c:pt>
                <c:pt idx="8">
                  <c:v>0.49957816999999999</c:v>
                </c:pt>
                <c:pt idx="9">
                  <c:v>0.45399179887375457</c:v>
                </c:pt>
                <c:pt idx="10">
                  <c:v>0.30034454999999999</c:v>
                </c:pt>
                <c:pt idx="11">
                  <c:v>0.22436049</c:v>
                </c:pt>
                <c:pt idx="12">
                  <c:v>0.21458076000000001</c:v>
                </c:pt>
                <c:pt idx="13">
                  <c:v>0.19708729</c:v>
                </c:pt>
                <c:pt idx="14">
                  <c:v>0.46619483088672209</c:v>
                </c:pt>
              </c:numCache>
            </c:numRef>
          </c:val>
          <c:smooth val="0"/>
          <c:extLst>
            <c:ext xmlns:c16="http://schemas.microsoft.com/office/drawing/2014/chart" uri="{C3380CC4-5D6E-409C-BE32-E72D297353CC}">
              <c16:uniqueId val="{00000003-6A74-4E77-8DD8-2A175315F7E0}"/>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rgbClr val="CC3399"/>
              </a:solidFill>
              <a:prstDash val="dash"/>
              <a:round/>
            </a:ln>
            <a:effectLst/>
          </c:spPr>
          <c:marker>
            <c:symbol val="none"/>
          </c:marker>
          <c:cat>
            <c:strRef>
              <c:f>ITA!$A$4:$A$18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ITA!$T$4:$T$18</c:f>
              <c:numCache>
                <c:formatCode>0.0%</c:formatCode>
                <c:ptCount val="15"/>
                <c:pt idx="1">
                  <c:v>0.42</c:v>
                </c:pt>
                <c:pt idx="2">
                  <c:v>0.42</c:v>
                </c:pt>
                <c:pt idx="3">
                  <c:v>0.42</c:v>
                </c:pt>
                <c:pt idx="4">
                  <c:v>0.42</c:v>
                </c:pt>
                <c:pt idx="5">
                  <c:v>0.43</c:v>
                </c:pt>
                <c:pt idx="6">
                  <c:v>0.45</c:v>
                </c:pt>
                <c:pt idx="7">
                  <c:v>0.47</c:v>
                </c:pt>
                <c:pt idx="8">
                  <c:v>0.49</c:v>
                </c:pt>
                <c:pt idx="9">
                  <c:v>0.5</c:v>
                </c:pt>
                <c:pt idx="10">
                  <c:v>0.43</c:v>
                </c:pt>
                <c:pt idx="11">
                  <c:v>0.36</c:v>
                </c:pt>
                <c:pt idx="12">
                  <c:v>0.3</c:v>
                </c:pt>
                <c:pt idx="13">
                  <c:v>0.24</c:v>
                </c:pt>
                <c:pt idx="14">
                  <c:v>0.26</c:v>
                </c:pt>
              </c:numCache>
            </c:numRef>
          </c:val>
          <c:smooth val="0"/>
          <c:extLst>
            <c:ext xmlns:c16="http://schemas.microsoft.com/office/drawing/2014/chart" uri="{C3380CC4-5D6E-409C-BE32-E72D297353CC}">
              <c16:uniqueId val="{00000002-8685-457E-BCA1-1D5C946DB8E6}"/>
            </c:ext>
          </c:extLst>
        </c:ser>
        <c:ser>
          <c:idx val="1"/>
          <c:order val="1"/>
          <c:spPr>
            <a:ln w="28575" cap="rnd">
              <a:solidFill>
                <a:srgbClr val="800080"/>
              </a:solidFill>
              <a:round/>
            </a:ln>
            <a:effectLst/>
          </c:spPr>
          <c:marker>
            <c:symbol val="none"/>
          </c:marker>
          <c:cat>
            <c:strRef>
              <c:f>ITA!$A$4:$A$18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ITA!$U$4:$U$18</c:f>
              <c:numCache>
                <c:formatCode>0.0%</c:formatCode>
                <c:ptCount val="15"/>
                <c:pt idx="1">
                  <c:v>0.42</c:v>
                </c:pt>
                <c:pt idx="2">
                  <c:v>0.42</c:v>
                </c:pt>
                <c:pt idx="3">
                  <c:v>0.42</c:v>
                </c:pt>
                <c:pt idx="4">
                  <c:v>0.42</c:v>
                </c:pt>
                <c:pt idx="5">
                  <c:v>0.43</c:v>
                </c:pt>
                <c:pt idx="6">
                  <c:v>0.45</c:v>
                </c:pt>
                <c:pt idx="7">
                  <c:v>0.47</c:v>
                </c:pt>
                <c:pt idx="8">
                  <c:v>0.49</c:v>
                </c:pt>
                <c:pt idx="9">
                  <c:v>0.5</c:v>
                </c:pt>
                <c:pt idx="10">
                  <c:v>0.43</c:v>
                </c:pt>
                <c:pt idx="11">
                  <c:v>0.36</c:v>
                </c:pt>
                <c:pt idx="12">
                  <c:v>0.3</c:v>
                </c:pt>
                <c:pt idx="13">
                  <c:v>0.25625310061829715</c:v>
                </c:pt>
                <c:pt idx="14">
                  <c:v>0.68500000000000005</c:v>
                </c:pt>
              </c:numCache>
            </c:numRef>
          </c:val>
          <c:smooth val="0"/>
          <c:extLst>
            <c:ext xmlns:c16="http://schemas.microsoft.com/office/drawing/2014/chart" uri="{C3380CC4-5D6E-409C-BE32-E72D297353CC}">
              <c16:uniqueId val="{00000003-8685-457E-BCA1-1D5C946DB8E6}"/>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22</xdr:col>
      <xdr:colOff>321616</xdr:colOff>
      <xdr:row>1</xdr:row>
      <xdr:rowOff>37601</xdr:rowOff>
    </xdr:from>
    <xdr:to>
      <xdr:col>29</xdr:col>
      <xdr:colOff>16565</xdr:colOff>
      <xdr:row>23</xdr:row>
      <xdr:rowOff>142401</xdr:rowOff>
    </xdr:to>
    <xdr:graphicFrame macro="">
      <xdr:nvGraphicFramePr>
        <xdr:cNvPr id="6" name="Graphique 5">
          <a:extLst>
            <a:ext uri="{FF2B5EF4-FFF2-40B4-BE49-F238E27FC236}">
              <a16:creationId xmlns:a16="http://schemas.microsoft.com/office/drawing/2014/main" id="{13E1C901-3768-48E0-BBEA-254CCA101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22</xdr:col>
      <xdr:colOff>429085</xdr:colOff>
      <xdr:row>0</xdr:row>
      <xdr:rowOff>180778</xdr:rowOff>
    </xdr:from>
    <xdr:to>
      <xdr:col>28</xdr:col>
      <xdr:colOff>196632</xdr:colOff>
      <xdr:row>24</xdr:row>
      <xdr:rowOff>59671</xdr:rowOff>
    </xdr:to>
    <xdr:graphicFrame macro="">
      <xdr:nvGraphicFramePr>
        <xdr:cNvPr id="2" name="Graphique 1">
          <a:extLst>
            <a:ext uri="{FF2B5EF4-FFF2-40B4-BE49-F238E27FC236}">
              <a16:creationId xmlns:a16="http://schemas.microsoft.com/office/drawing/2014/main" id="{5D9D0E77-B0AD-44CE-8B97-9491BB519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22</xdr:col>
      <xdr:colOff>299413</xdr:colOff>
      <xdr:row>1</xdr:row>
      <xdr:rowOff>28181</xdr:rowOff>
    </xdr:from>
    <xdr:to>
      <xdr:col>28</xdr:col>
      <xdr:colOff>78849</xdr:colOff>
      <xdr:row>24</xdr:row>
      <xdr:rowOff>37796</xdr:rowOff>
    </xdr:to>
    <xdr:graphicFrame macro="">
      <xdr:nvGraphicFramePr>
        <xdr:cNvPr id="2" name="Graphique 1">
          <a:extLst>
            <a:ext uri="{FF2B5EF4-FFF2-40B4-BE49-F238E27FC236}">
              <a16:creationId xmlns:a16="http://schemas.microsoft.com/office/drawing/2014/main" id="{DA8C2AE7-FB04-4103-B723-2BFDA7F685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22</xdr:col>
      <xdr:colOff>339681</xdr:colOff>
      <xdr:row>1</xdr:row>
      <xdr:rowOff>8473</xdr:rowOff>
    </xdr:from>
    <xdr:to>
      <xdr:col>28</xdr:col>
      <xdr:colOff>122928</xdr:colOff>
      <xdr:row>24</xdr:row>
      <xdr:rowOff>18088</xdr:rowOff>
    </xdr:to>
    <xdr:graphicFrame macro="">
      <xdr:nvGraphicFramePr>
        <xdr:cNvPr id="2" name="Graphique 1">
          <a:extLst>
            <a:ext uri="{FF2B5EF4-FFF2-40B4-BE49-F238E27FC236}">
              <a16:creationId xmlns:a16="http://schemas.microsoft.com/office/drawing/2014/main" id="{5C4B1CA9-B5D2-4FD7-A954-872A4DF937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22</xdr:col>
      <xdr:colOff>364592</xdr:colOff>
      <xdr:row>1</xdr:row>
      <xdr:rowOff>27229</xdr:rowOff>
    </xdr:from>
    <xdr:to>
      <xdr:col>28</xdr:col>
      <xdr:colOff>155459</xdr:colOff>
      <xdr:row>24</xdr:row>
      <xdr:rowOff>34939</xdr:rowOff>
    </xdr:to>
    <xdr:graphicFrame macro="">
      <xdr:nvGraphicFramePr>
        <xdr:cNvPr id="2" name="Graphique 1">
          <a:extLst>
            <a:ext uri="{FF2B5EF4-FFF2-40B4-BE49-F238E27FC236}">
              <a16:creationId xmlns:a16="http://schemas.microsoft.com/office/drawing/2014/main" id="{85300771-29F8-4788-B9AD-60944ECCC2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E67E3-ED89-40FD-A6A8-5FC44FD01F6F}">
  <dimension ref="A2:C61"/>
  <sheetViews>
    <sheetView zoomScale="115" zoomScaleNormal="115" workbookViewId="0"/>
  </sheetViews>
  <sheetFormatPr baseColWidth="10" defaultRowHeight="14.4"/>
  <cols>
    <col min="1" max="1" width="12.44140625" customWidth="1"/>
  </cols>
  <sheetData>
    <row r="2" spans="1:1">
      <c r="A2" s="44" t="s">
        <v>183</v>
      </c>
    </row>
    <row r="4" spans="1:1" ht="21">
      <c r="A4" s="57" t="s">
        <v>84</v>
      </c>
    </row>
    <row r="6" spans="1:1">
      <c r="A6" t="s">
        <v>240</v>
      </c>
    </row>
    <row r="8" spans="1:1">
      <c r="A8" s="49" t="s">
        <v>120</v>
      </c>
    </row>
    <row r="9" spans="1:1">
      <c r="A9" s="49" t="s">
        <v>121</v>
      </c>
    </row>
    <row r="10" spans="1:1">
      <c r="A10" s="49" t="s">
        <v>239</v>
      </c>
    </row>
    <row r="11" spans="1:1">
      <c r="A11" s="49" t="s">
        <v>216</v>
      </c>
    </row>
    <row r="12" spans="1:1">
      <c r="A12" s="49" t="s">
        <v>122</v>
      </c>
    </row>
    <row r="13" spans="1:1">
      <c r="A13" s="56" t="s">
        <v>123</v>
      </c>
    </row>
    <row r="14" spans="1:1">
      <c r="A14" s="49" t="s">
        <v>159</v>
      </c>
    </row>
    <row r="16" spans="1:1" ht="21">
      <c r="A16" s="57" t="s">
        <v>111</v>
      </c>
    </row>
    <row r="17" spans="1:3" ht="15.6" customHeight="1">
      <c r="A17" s="57"/>
    </row>
    <row r="18" spans="1:3">
      <c r="A18" t="s">
        <v>112</v>
      </c>
    </row>
    <row r="20" spans="1:3">
      <c r="B20" t="s">
        <v>184</v>
      </c>
    </row>
    <row r="21" spans="1:3">
      <c r="B21" t="s">
        <v>114</v>
      </c>
    </row>
    <row r="23" spans="1:3">
      <c r="B23" t="s">
        <v>185</v>
      </c>
    </row>
    <row r="25" spans="1:3">
      <c r="C25" s="44" t="s">
        <v>173</v>
      </c>
    </row>
    <row r="26" spans="1:3" s="86" customFormat="1">
      <c r="C26" s="56" t="s">
        <v>292</v>
      </c>
    </row>
    <row r="27" spans="1:3" s="86" customFormat="1">
      <c r="C27" s="56" t="s">
        <v>293</v>
      </c>
    </row>
    <row r="28" spans="1:3" s="86" customFormat="1">
      <c r="C28" s="56" t="s">
        <v>294</v>
      </c>
    </row>
    <row r="29" spans="1:3" s="86" customFormat="1">
      <c r="C29" s="56"/>
    </row>
    <row r="30" spans="1:3" s="86" customFormat="1">
      <c r="C30" s="44" t="s">
        <v>291</v>
      </c>
    </row>
    <row r="31" spans="1:3">
      <c r="C31" t="s">
        <v>171</v>
      </c>
    </row>
    <row r="32" spans="1:3" s="86" customFormat="1">
      <c r="C32" s="86" t="s">
        <v>176</v>
      </c>
    </row>
    <row r="33" spans="2:3" s="86" customFormat="1">
      <c r="C33" s="86" t="s">
        <v>288</v>
      </c>
    </row>
    <row r="34" spans="2:3" s="86" customFormat="1">
      <c r="C34" s="86" t="s">
        <v>175</v>
      </c>
    </row>
    <row r="35" spans="2:3" s="86" customFormat="1">
      <c r="C35" s="86" t="s">
        <v>172</v>
      </c>
    </row>
    <row r="36" spans="2:3" s="86" customFormat="1"/>
    <row r="38" spans="2:3">
      <c r="C38" t="s">
        <v>174</v>
      </c>
    </row>
    <row r="39" spans="2:3">
      <c r="C39" s="56" t="s">
        <v>289</v>
      </c>
    </row>
    <row r="40" spans="2:3">
      <c r="C40" t="s">
        <v>160</v>
      </c>
    </row>
    <row r="42" spans="2:3">
      <c r="B42" t="s">
        <v>194</v>
      </c>
    </row>
    <row r="43" spans="2:3">
      <c r="B43" s="56" t="s">
        <v>195</v>
      </c>
    </row>
    <row r="44" spans="2:3" s="86" customFormat="1">
      <c r="B44" s="56"/>
    </row>
    <row r="45" spans="2:3" s="86" customFormat="1">
      <c r="B45" s="86" t="s">
        <v>193</v>
      </c>
    </row>
    <row r="46" spans="2:3">
      <c r="B46" t="s">
        <v>192</v>
      </c>
    </row>
    <row r="47" spans="2:3" s="86" customFormat="1">
      <c r="B47" s="86" t="s">
        <v>290</v>
      </c>
    </row>
    <row r="48" spans="2:3">
      <c r="B48" t="s">
        <v>321</v>
      </c>
    </row>
    <row r="49" spans="1:2" s="86" customFormat="1">
      <c r="B49" s="86" t="s">
        <v>322</v>
      </c>
    </row>
    <row r="50" spans="1:2" s="86" customFormat="1"/>
    <row r="51" spans="1:2">
      <c r="A51" t="s">
        <v>113</v>
      </c>
    </row>
    <row r="53" spans="1:2" ht="21">
      <c r="A53" s="57" t="s">
        <v>177</v>
      </c>
    </row>
    <row r="55" spans="1:2">
      <c r="A55" t="s">
        <v>179</v>
      </c>
    </row>
    <row r="56" spans="1:2">
      <c r="A56" t="s">
        <v>178</v>
      </c>
    </row>
    <row r="57" spans="1:2">
      <c r="A57" t="s">
        <v>180</v>
      </c>
    </row>
    <row r="59" spans="1:2" ht="21">
      <c r="A59" s="57" t="s">
        <v>182</v>
      </c>
    </row>
    <row r="61" spans="1:2">
      <c r="A61" t="s">
        <v>181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2F3BD-2B74-4271-922F-DB105769CAD1}">
  <sheetPr codeName="Feuil6">
    <tabColor theme="4" tint="-0.249977111117893"/>
  </sheetPr>
  <dimension ref="A1:Z34"/>
  <sheetViews>
    <sheetView tabSelected="1" zoomScaleNormal="100" workbookViewId="0">
      <selection activeCell="L10" sqref="L10"/>
    </sheetView>
  </sheetViews>
  <sheetFormatPr baseColWidth="10" defaultRowHeight="14.4"/>
  <cols>
    <col min="1" max="2" width="11.5546875" customWidth="1"/>
    <col min="3" max="3" width="11.5546875" style="86" customWidth="1"/>
    <col min="4" max="9" width="11.5546875" customWidth="1"/>
    <col min="10" max="11" width="11.5546875" style="86" customWidth="1"/>
    <col min="12" max="12" width="11.5546875" style="86"/>
    <col min="13" max="14" width="11.5546875" style="86" customWidth="1"/>
    <col min="15" max="16" width="11.5546875" customWidth="1"/>
    <col min="17" max="19" width="11.5546875" style="86" customWidth="1"/>
    <col min="20" max="22" width="11.5546875" customWidth="1"/>
  </cols>
  <sheetData>
    <row r="1" spans="1:26" s="29" customFormat="1" ht="15.6" customHeight="1">
      <c r="A1" s="30"/>
      <c r="B1" s="30"/>
      <c r="C1" s="30"/>
      <c r="D1" s="30"/>
      <c r="E1" s="30"/>
      <c r="F1" s="30"/>
      <c r="G1" s="30"/>
      <c r="H1" s="30"/>
      <c r="I1" s="30"/>
      <c r="J1" s="30"/>
      <c r="K1" s="30"/>
      <c r="L1" s="30"/>
      <c r="M1" s="30"/>
      <c r="N1" s="30"/>
      <c r="O1" s="30"/>
      <c r="P1" s="30"/>
      <c r="Q1" s="30"/>
      <c r="R1" s="30"/>
      <c r="S1" s="30"/>
      <c r="T1" s="30"/>
      <c r="U1" s="30"/>
      <c r="V1" s="30"/>
    </row>
    <row r="2" spans="1:26" s="29" customFormat="1" ht="14.4" customHeight="1">
      <c r="B2" s="195" t="s">
        <v>151</v>
      </c>
      <c r="C2" s="195"/>
      <c r="D2" s="195"/>
      <c r="E2" s="195"/>
      <c r="F2" s="195"/>
      <c r="G2" s="195"/>
      <c r="H2" s="197" t="s">
        <v>143</v>
      </c>
      <c r="I2" s="197"/>
      <c r="J2" s="197"/>
      <c r="K2" s="197"/>
      <c r="L2" s="198" t="s">
        <v>148</v>
      </c>
      <c r="M2" s="198"/>
      <c r="N2" s="198"/>
      <c r="O2" s="198"/>
      <c r="P2" s="198"/>
      <c r="Q2" s="198"/>
      <c r="R2" s="198"/>
      <c r="S2" s="198"/>
      <c r="T2" s="198"/>
      <c r="U2" s="198"/>
      <c r="V2" s="198"/>
      <c r="W2" s="199"/>
      <c r="X2" s="199"/>
      <c r="Y2" s="199"/>
    </row>
    <row r="3" spans="1:26" ht="43.2" customHeight="1">
      <c r="A3" s="40" t="s">
        <v>13</v>
      </c>
      <c r="B3" s="46" t="s">
        <v>197</v>
      </c>
      <c r="C3" s="46" t="s">
        <v>102</v>
      </c>
      <c r="D3" s="78" t="s">
        <v>23</v>
      </c>
      <c r="E3" s="78" t="s">
        <v>22</v>
      </c>
      <c r="F3" s="43" t="s">
        <v>63</v>
      </c>
      <c r="G3" s="43" t="s">
        <v>64</v>
      </c>
      <c r="H3" s="76" t="s">
        <v>68</v>
      </c>
      <c r="I3" s="168" t="s">
        <v>318</v>
      </c>
      <c r="J3" s="168" t="s">
        <v>319</v>
      </c>
      <c r="K3" s="168" t="s">
        <v>317</v>
      </c>
      <c r="L3" s="157" t="s">
        <v>320</v>
      </c>
      <c r="M3" s="78" t="s">
        <v>23</v>
      </c>
      <c r="N3" s="78" t="s">
        <v>22</v>
      </c>
      <c r="O3" s="46" t="s">
        <v>200</v>
      </c>
      <c r="P3" s="40" t="s">
        <v>198</v>
      </c>
      <c r="Q3" s="40" t="s">
        <v>199</v>
      </c>
      <c r="R3" s="40" t="s">
        <v>155</v>
      </c>
      <c r="S3" s="40" t="s">
        <v>196</v>
      </c>
      <c r="T3" s="46" t="s">
        <v>145</v>
      </c>
      <c r="U3" s="40" t="s">
        <v>144</v>
      </c>
      <c r="V3" s="46" t="s">
        <v>201</v>
      </c>
      <c r="W3" s="43"/>
      <c r="X3" s="43"/>
      <c r="Y3" s="43"/>
      <c r="Z3" s="45"/>
    </row>
    <row r="4" spans="1:26" ht="14.4" customHeight="1">
      <c r="A4" s="39" t="s">
        <v>24</v>
      </c>
      <c r="B4" s="109">
        <f>'Bach et al. (2025)'!N4-'Bach et al. (2025)'!N5</f>
        <v>3783411</v>
      </c>
      <c r="C4" s="25">
        <f>('Bach et al. (2025)'!Q4-'Bach et al. (2025)'!Q5)/100</f>
        <v>1.5000000000000568E-3</v>
      </c>
      <c r="D4" s="53"/>
      <c r="E4" s="53"/>
      <c r="G4" s="8"/>
      <c r="H4" s="77"/>
      <c r="I4" s="77"/>
      <c r="J4" s="77"/>
      <c r="K4" s="77"/>
      <c r="L4" s="158"/>
      <c r="M4" s="77"/>
      <c r="N4" s="77"/>
      <c r="P4" s="5"/>
      <c r="Q4" s="5"/>
      <c r="R4" s="5"/>
      <c r="S4" s="5"/>
      <c r="T4" s="65"/>
      <c r="U4" s="66"/>
      <c r="W4" s="38"/>
      <c r="X4" s="41"/>
      <c r="Y4" s="35"/>
    </row>
    <row r="5" spans="1:26" s="86" customFormat="1" ht="14.4" customHeight="1">
      <c r="A5" s="39" t="s">
        <v>25</v>
      </c>
      <c r="B5" s="109">
        <f>'Bach et al. (2025)'!N5-'Bach et al. (2025)'!N6</f>
        <v>3783612</v>
      </c>
      <c r="C5" s="25">
        <f>('Bach et al. (2025)'!Q5-'Bach et al. (2025)'!Q6)/100</f>
        <v>2.0999999999999942E-2</v>
      </c>
      <c r="D5" s="53"/>
      <c r="E5" s="53"/>
      <c r="F5" s="21">
        <f>'Bozio et al. (2020)'!C4</f>
        <v>0.27</v>
      </c>
      <c r="G5" s="8"/>
      <c r="H5" s="77"/>
      <c r="I5" s="77"/>
      <c r="J5" s="77"/>
      <c r="K5" s="77"/>
      <c r="L5" s="158"/>
      <c r="M5" s="77"/>
      <c r="N5" s="77"/>
      <c r="P5" s="5"/>
      <c r="Q5" s="5"/>
      <c r="R5" s="5"/>
      <c r="S5" s="5"/>
      <c r="T5" s="65">
        <f t="shared" ref="T5:T17" si="0">F5</f>
        <v>0.27</v>
      </c>
      <c r="U5" s="66">
        <f>T5</f>
        <v>0.27</v>
      </c>
      <c r="W5" s="38"/>
      <c r="X5" s="41"/>
      <c r="Y5" s="35"/>
    </row>
    <row r="6" spans="1:26" s="86" customFormat="1" ht="14.4" customHeight="1">
      <c r="A6" s="39" t="s">
        <v>26</v>
      </c>
      <c r="B6" s="109">
        <f>'Bach et al. (2025)'!N6-'Bach et al. (2025)'!N7</f>
        <v>3783029</v>
      </c>
      <c r="C6" s="25">
        <f>('Bach et al. (2025)'!Q6-'Bach et al. (2025)'!Q7)/100</f>
        <v>3.7099999999999939E-2</v>
      </c>
      <c r="D6" s="53"/>
      <c r="E6" s="53"/>
      <c r="F6" s="21">
        <f>'Bozio et al. (2020)'!C5</f>
        <v>0.28000000000000003</v>
      </c>
      <c r="G6" s="8"/>
      <c r="H6" s="77"/>
      <c r="I6" s="77"/>
      <c r="J6" s="77"/>
      <c r="K6" s="77"/>
      <c r="L6" s="158"/>
      <c r="M6" s="77"/>
      <c r="N6" s="77"/>
      <c r="P6" s="5"/>
      <c r="Q6" s="5"/>
      <c r="R6" s="5"/>
      <c r="S6" s="5"/>
      <c r="T6" s="65">
        <f t="shared" si="0"/>
        <v>0.28000000000000003</v>
      </c>
      <c r="U6" s="66">
        <f t="shared" ref="U6:U8" si="1">T6</f>
        <v>0.28000000000000003</v>
      </c>
      <c r="W6" s="38"/>
      <c r="X6" s="41"/>
      <c r="Y6" s="35"/>
    </row>
    <row r="7" spans="1:26" s="86" customFormat="1" ht="14.4" customHeight="1">
      <c r="A7" s="39" t="s">
        <v>27</v>
      </c>
      <c r="B7" s="109">
        <f>'Bach et al. (2025)'!N7-'Bach et al. (2025)'!N8</f>
        <v>3783555</v>
      </c>
      <c r="C7" s="25">
        <f>('Bach et al. (2025)'!Q7-'Bach et al. (2025)'!Q8)/100</f>
        <v>4.8599999999999997E-2</v>
      </c>
      <c r="D7" s="53"/>
      <c r="E7" s="53"/>
      <c r="F7" s="21">
        <f>'Bozio et al. (2020)'!C6</f>
        <v>0.31</v>
      </c>
      <c r="G7" s="8"/>
      <c r="H7" s="77"/>
      <c r="I7" s="77"/>
      <c r="J7" s="77"/>
      <c r="K7" s="77"/>
      <c r="L7" s="158"/>
      <c r="M7" s="77"/>
      <c r="N7" s="77"/>
      <c r="P7" s="5"/>
      <c r="Q7" s="5"/>
      <c r="R7" s="5"/>
      <c r="S7" s="5"/>
      <c r="T7" s="65">
        <f t="shared" si="0"/>
        <v>0.31</v>
      </c>
      <c r="U7" s="66">
        <f t="shared" si="1"/>
        <v>0.31</v>
      </c>
      <c r="W7" s="38"/>
      <c r="X7" s="41"/>
      <c r="Y7" s="35"/>
    </row>
    <row r="8" spans="1:26" s="86" customFormat="1" ht="14.4" customHeight="1">
      <c r="A8" s="39" t="s">
        <v>28</v>
      </c>
      <c r="B8" s="109">
        <f>'Bach et al. (2025)'!N8-'Bach et al. (2025)'!N9</f>
        <v>3783954</v>
      </c>
      <c r="C8" s="25">
        <f>('Bach et al. (2025)'!Q8-'Bach et al. (2025)'!Q9)/100</f>
        <v>6.2000000000000027E-2</v>
      </c>
      <c r="D8" s="53"/>
      <c r="E8" s="53"/>
      <c r="F8" s="21">
        <f>'Bozio et al. (2020)'!C7</f>
        <v>0.33</v>
      </c>
      <c r="G8" s="8"/>
      <c r="H8" s="77"/>
      <c r="I8" s="77"/>
      <c r="J8" s="77"/>
      <c r="K8" s="77"/>
      <c r="L8" s="158"/>
      <c r="M8" s="77"/>
      <c r="N8" s="77"/>
      <c r="P8" s="5"/>
      <c r="Q8" s="5"/>
      <c r="R8" s="5"/>
      <c r="S8" s="5"/>
      <c r="T8" s="65">
        <f t="shared" si="0"/>
        <v>0.33</v>
      </c>
      <c r="U8" s="66">
        <f t="shared" si="1"/>
        <v>0.33</v>
      </c>
      <c r="W8" s="38"/>
      <c r="X8" s="41"/>
      <c r="Y8" s="35"/>
    </row>
    <row r="9" spans="1:26" ht="14.4" customHeight="1">
      <c r="A9" s="39" t="s">
        <v>29</v>
      </c>
      <c r="B9" s="109">
        <f>'Bach et al. (2025)'!N9-'Bach et al. (2025)'!N10</f>
        <v>3782935</v>
      </c>
      <c r="C9" s="25">
        <f>('Bach et al. (2025)'!Q9-'Bach et al. (2025)'!Q10)/100</f>
        <v>7.3599999999999999E-2</v>
      </c>
      <c r="D9" s="53"/>
      <c r="E9" s="53"/>
      <c r="F9" s="21">
        <f>'Bozio et al. (2020)'!C8</f>
        <v>0.35</v>
      </c>
      <c r="G9" s="8"/>
      <c r="H9" s="77"/>
      <c r="I9" s="77"/>
      <c r="J9" s="77"/>
      <c r="K9" s="77"/>
      <c r="L9" s="158"/>
      <c r="M9" s="77"/>
      <c r="N9" s="77"/>
      <c r="P9" s="5"/>
      <c r="Q9" s="5"/>
      <c r="R9" s="5"/>
      <c r="S9" s="5"/>
      <c r="T9" s="65">
        <f t="shared" si="0"/>
        <v>0.35</v>
      </c>
      <c r="U9" s="66">
        <f>T9</f>
        <v>0.35</v>
      </c>
      <c r="W9" s="38"/>
      <c r="X9" s="41"/>
      <c r="Y9" s="35"/>
    </row>
    <row r="10" spans="1:26" s="86" customFormat="1" ht="14.4" customHeight="1">
      <c r="A10" s="39" t="s">
        <v>30</v>
      </c>
      <c r="B10" s="109">
        <f>'Bach et al. (2025)'!N10-'Bach et al. (2025)'!N11</f>
        <v>3783286</v>
      </c>
      <c r="C10" s="25">
        <f>('Bach et al. (2025)'!Q10-'Bach et al. (2025)'!Q11)/100</f>
        <v>9.1500000000000054E-2</v>
      </c>
      <c r="D10" s="53"/>
      <c r="E10" s="53"/>
      <c r="F10" s="21">
        <f>'Bozio et al. (2020)'!C9</f>
        <v>0.38</v>
      </c>
      <c r="G10" s="8"/>
      <c r="H10" s="77"/>
      <c r="I10" s="77"/>
      <c r="J10" s="77"/>
      <c r="K10" s="77"/>
      <c r="L10" s="158"/>
      <c r="M10" s="77"/>
      <c r="N10" s="77"/>
      <c r="P10" s="5"/>
      <c r="Q10" s="5"/>
      <c r="R10" s="5"/>
      <c r="S10" s="5"/>
      <c r="T10" s="65">
        <f t="shared" si="0"/>
        <v>0.38</v>
      </c>
      <c r="U10" s="66">
        <f t="shared" ref="U10:U12" si="2">T10</f>
        <v>0.38</v>
      </c>
      <c r="W10" s="38"/>
      <c r="X10" s="41"/>
      <c r="Y10" s="35"/>
    </row>
    <row r="11" spans="1:26" s="86" customFormat="1" ht="14.4" customHeight="1">
      <c r="A11" s="39" t="s">
        <v>31</v>
      </c>
      <c r="B11" s="109">
        <f>'Bach et al. (2025)'!N11-'Bach et al. (2025)'!N12</f>
        <v>3783032</v>
      </c>
      <c r="C11" s="25">
        <f>('Bach et al. (2025)'!Q11-'Bach et al. (2025)'!Q12)/100</f>
        <v>0.11699999999999995</v>
      </c>
      <c r="D11" s="53"/>
      <c r="E11" s="53"/>
      <c r="F11" s="21">
        <f>'Bozio et al. (2020)'!C10</f>
        <v>0.41</v>
      </c>
      <c r="G11" s="8"/>
      <c r="H11" s="77"/>
      <c r="I11" s="77"/>
      <c r="J11" s="77"/>
      <c r="K11" s="77"/>
      <c r="L11" s="158"/>
      <c r="M11" s="77"/>
      <c r="N11" s="77"/>
      <c r="P11" s="5"/>
      <c r="Q11" s="5"/>
      <c r="R11" s="5"/>
      <c r="S11" s="5"/>
      <c r="T11" s="65">
        <f t="shared" si="0"/>
        <v>0.41</v>
      </c>
      <c r="U11" s="66">
        <f t="shared" si="2"/>
        <v>0.41</v>
      </c>
      <c r="W11" s="38"/>
      <c r="X11" s="41"/>
      <c r="Y11" s="35"/>
    </row>
    <row r="12" spans="1:26" s="86" customFormat="1" ht="14.4" customHeight="1">
      <c r="A12" s="39" t="s">
        <v>32</v>
      </c>
      <c r="B12" s="109">
        <f>'Bach et al. (2025)'!N12-'Bach et al. (2025)'!N13</f>
        <v>3783370</v>
      </c>
      <c r="C12" s="25">
        <f>('Bach et al. (2025)'!Q12-'Bach et al. (2025)'!Q13)/100</f>
        <v>0.15860000000000007</v>
      </c>
      <c r="D12" s="53"/>
      <c r="E12" s="53"/>
      <c r="F12" s="21">
        <f>'Bozio et al. (2020)'!C11</f>
        <v>0.43</v>
      </c>
      <c r="G12" s="8"/>
      <c r="H12" s="77"/>
      <c r="I12" s="77"/>
      <c r="J12" s="77"/>
      <c r="K12" s="77"/>
      <c r="L12" s="158"/>
      <c r="M12" s="77"/>
      <c r="N12" s="77"/>
      <c r="P12" s="5"/>
      <c r="Q12" s="5"/>
      <c r="R12" s="5"/>
      <c r="S12" s="5"/>
      <c r="T12" s="65">
        <f t="shared" si="0"/>
        <v>0.43</v>
      </c>
      <c r="U12" s="66">
        <f t="shared" si="2"/>
        <v>0.43</v>
      </c>
      <c r="W12" s="38"/>
      <c r="X12" s="41"/>
      <c r="Y12" s="35"/>
    </row>
    <row r="13" spans="1:26" ht="14.4" customHeight="1">
      <c r="A13" s="39" t="s">
        <v>33</v>
      </c>
      <c r="B13" s="109">
        <f>'Bach et al. (2025)'!N13-'Bach et al. (2025)'!N15</f>
        <v>3404985</v>
      </c>
      <c r="C13" s="25">
        <f>('Bach et al. (2025)'!Q13-'Bach et al. (2025)'!Q15)/100</f>
        <v>0.25079999999999997</v>
      </c>
      <c r="D13" s="53"/>
      <c r="E13" s="53"/>
      <c r="F13" s="21">
        <f>AVERAGE('Bozio et al. (2020)'!C12:C13)</f>
        <v>0.46499999999999997</v>
      </c>
      <c r="G13" s="8"/>
      <c r="H13" s="77"/>
      <c r="I13" s="77"/>
      <c r="J13" s="77"/>
      <c r="K13" s="77"/>
      <c r="L13" s="158"/>
      <c r="M13" s="77"/>
      <c r="N13" s="77"/>
      <c r="P13" s="5"/>
      <c r="Q13" s="5"/>
      <c r="R13" s="5"/>
      <c r="S13" s="5"/>
      <c r="T13" s="65">
        <f t="shared" si="0"/>
        <v>0.46499999999999997</v>
      </c>
      <c r="U13" s="66">
        <f>T13</f>
        <v>0.46499999999999997</v>
      </c>
      <c r="W13" s="38"/>
      <c r="X13" s="41"/>
      <c r="Y13" s="35"/>
    </row>
    <row r="14" spans="1:26" ht="14.4" customHeight="1">
      <c r="A14" s="39" t="s">
        <v>34</v>
      </c>
      <c r="B14" s="23">
        <f>'Bach et al. (2025)'!N15 - 'Bach et al. (2025)'!N16</f>
        <v>340500</v>
      </c>
      <c r="C14" s="25">
        <f>('Bach et al. (2025)'!Q15-'Bach et al. (2025)'!Q16)/100</f>
        <v>7.6399999999999996E-2</v>
      </c>
      <c r="D14" s="52">
        <f>('Bach et al. (2025)'!N15*'Bach et al. (2025)'!P15 - 'Bach et al. (2025)'!P16*'Bach et al. (2025)'!N16)/('Bach et al. (2025)'!N15-'Bach et al. (2025)'!N16)</f>
        <v>279445.99118942732</v>
      </c>
      <c r="E14" s="52">
        <f>'Bach et al. (2025)'!O15</f>
        <v>180000</v>
      </c>
      <c r="F14" s="74">
        <f xml:space="preserve"> SUMPRODUCT('Bach et al. (2025)'!J13:J21,'Bach et al. (2025)'!K13:K21)/SUM('Bach et al. (2025)'!K13:K21) / 100 + AVERAGE('Bozio et al. (2020)'!D14:D15)</f>
        <v>0.49008434414668545</v>
      </c>
      <c r="G14" s="8">
        <f>(SUMPRODUCT('Bach et al. (2025)'!C13:C21,'Bach et al. (2025)'!K13:K21)/SUM('Bach et al. (2025)'!K13:K21)+SUMPRODUCT('Bach et al. (2025)'!D13:D21,'Bach et al. (2025)'!K13:K21)/SUM('Bach et al. (2025)'!K13:K21)+SUMPRODUCT('Bach et al. (2025)'!F13:F21,'Bach et al. (2025)'!K13:K21)/SUM('Bach et al. (2025)'!K13:K21))/100</f>
        <v>0.22700366713681241</v>
      </c>
      <c r="H14" s="97">
        <v>0.13</v>
      </c>
      <c r="I14" s="97">
        <f>WID!O5</f>
        <v>3.1988820813529939E-2</v>
      </c>
      <c r="J14" s="97">
        <f>WID!O36</f>
        <v>2.3686217993555081E-2</v>
      </c>
      <c r="K14" s="97">
        <f>WID!O$66</f>
        <v>5.452234777918008E-3</v>
      </c>
      <c r="L14" s="159">
        <f>H14*G14</f>
        <v>2.9510476727785614E-2</v>
      </c>
      <c r="M14" s="166">
        <f t="shared" ref="M14:N18" si="3">D14*(1+I14)^9</f>
        <v>370999.0679554565</v>
      </c>
      <c r="N14" s="166">
        <f t="shared" si="3"/>
        <v>222215.43031424173</v>
      </c>
      <c r="O14" s="90">
        <f>(N14/H14)/1000000</f>
        <v>1.7093494639557054</v>
      </c>
      <c r="P14" s="99">
        <f>M14/(M14-N14)</f>
        <v>2.4935475018436133</v>
      </c>
      <c r="Q14" s="99">
        <f>P14*(1-(N14/N15)^(P14-1))</f>
        <v>2.2288296809307693</v>
      </c>
      <c r="R14" s="100">
        <f>MIN(1,MAX((M$22^(-Q14+1)-O15^(-Q14+1))/(O14^(-Q14+1)-O15^(-Q14+1)),0))</f>
        <v>0</v>
      </c>
      <c r="S14" s="169">
        <f>MIN(1,MAX((M$22^(-Q14)-O15^(-Q14))/(O14^(-Q14)-O15^(-Q14)),0))*B14*(1+K14)^9</f>
        <v>0</v>
      </c>
      <c r="T14" s="65">
        <f t="shared" si="0"/>
        <v>0.49008434414668545</v>
      </c>
      <c r="U14" s="66">
        <f>F14+MAX(0,M$23/H14-G14)*R14</f>
        <v>0.49008434414668545</v>
      </c>
      <c r="V14" s="171">
        <f>(U14-T14)*M14*B14*(1+K14)^9/1000000</f>
        <v>0</v>
      </c>
      <c r="W14" s="38"/>
      <c r="X14" s="41"/>
      <c r="Y14" s="35"/>
    </row>
    <row r="15" spans="1:26" ht="14.4" customHeight="1">
      <c r="A15" s="39" t="s">
        <v>35</v>
      </c>
      <c r="B15" s="23">
        <f>'Bach et al. (2025)'!N16 - 'Bach et al. (2025)'!N17</f>
        <v>34050</v>
      </c>
      <c r="C15" s="25">
        <f>('Bach et al. (2025)'!Q16-'Bach et al. (2025)'!Q17)/100</f>
        <v>2.8800000000000003E-2</v>
      </c>
      <c r="D15" s="52">
        <f>('Bach et al. (2025)'!N16*'Bach et al. (2025)'!P16 - 'Bach et al. (2025)'!P17*'Bach et al. (2025)'!N17)/('Bach et al. (2025)'!N16-'Bach et al. (2025)'!N17)</f>
        <v>1052864.3171806168</v>
      </c>
      <c r="E15" s="52">
        <f>'Bach et al. (2025)'!O16</f>
        <v>626000</v>
      </c>
      <c r="F15" s="74">
        <f xml:space="preserve"> SUMPRODUCT('Bach et al. (2025)'!J22:J30, 'Bach et al. (2025)'!K22:K30)/ SUM('Bach et al. (2025)'!K22:K30) / 100 + 'Bozio et al. (2020)'!D16</f>
        <v>0.51746336996336995</v>
      </c>
      <c r="G15" s="8">
        <f>(SUMPRODUCT('Bach et al. (2025)'!C22:C30,'Bach et al. (2025)'!K22:K30)/SUM('Bach et al. (2025)'!K22:K30)+SUMPRODUCT('Bach et al. (2025)'!D22:D30,'Bach et al. (2025)'!K22:K30)/SUM('Bach et al. (2025)'!K22:K30)+SUMPRODUCT('Bach et al. (2025)'!F22:F30,'Bach et al. (2025)'!K22:K30)/SUM('Bach et al. (2025)'!K22:K30))/100</f>
        <v>0.21809890109890109</v>
      </c>
      <c r="H15" s="97">
        <v>0.12</v>
      </c>
      <c r="I15" s="97">
        <f>WID!O6</f>
        <v>5.1621534096552013E-2</v>
      </c>
      <c r="J15" s="97">
        <f>WID!O37</f>
        <v>5.3136388737166973E-2</v>
      </c>
      <c r="K15" s="97">
        <f>WID!O$66</f>
        <v>5.452234777918008E-3</v>
      </c>
      <c r="L15" s="159">
        <f t="shared" ref="L15:L18" si="4">H15*G15</f>
        <v>2.6171868131868132E-2</v>
      </c>
      <c r="M15" s="166">
        <f t="shared" si="3"/>
        <v>1656180.4068797808</v>
      </c>
      <c r="N15" s="166">
        <f t="shared" si="3"/>
        <v>997552.82991401909</v>
      </c>
      <c r="O15" s="90">
        <f t="shared" ref="O15:O18" si="5">(N15/H15)/1000000</f>
        <v>8.3129402492834927</v>
      </c>
      <c r="P15" s="99">
        <f>M15/(M15-N15)</f>
        <v>2.5145931704069477</v>
      </c>
      <c r="Q15" s="99">
        <f t="shared" ref="Q15:Q17" si="6">P15*(1-(N15/N16)^(P15-1))</f>
        <v>2.2606245337993567</v>
      </c>
      <c r="R15" s="100">
        <f>MIN(1,MAX((M$22^(-Q15+1)-O16^(-Q15+1))/(O15^(-Q15+1)-O16^(-Q15+1)),0))</f>
        <v>0</v>
      </c>
      <c r="S15" s="169">
        <f>MIN(1,MAX((M$22^(-Q15)-O16^(-Q15))/(O15^(-Q15)-O16^(-Q15)),0))*B15*(1+K15)^9</f>
        <v>0</v>
      </c>
      <c r="T15" s="65">
        <f>F15</f>
        <v>0.51746336996336995</v>
      </c>
      <c r="U15" s="66">
        <f>F15+MAX(0,M$23/H15-G15)*R15</f>
        <v>0.51746336996336995</v>
      </c>
      <c r="V15" s="171">
        <f>(U15-T15)*M15*B15*(1+K15)^9/1000000</f>
        <v>0</v>
      </c>
      <c r="W15" s="38"/>
      <c r="X15" s="41"/>
      <c r="Y15" s="35"/>
    </row>
    <row r="16" spans="1:26" ht="14.4" customHeight="1">
      <c r="A16" s="39" t="s">
        <v>14</v>
      </c>
      <c r="B16" s="23">
        <f>'Bach et al. (2025)'!N17 - 'Bach et al. (2025)'!N18</f>
        <v>3405</v>
      </c>
      <c r="C16" s="25">
        <f>('Bach et al. (2025)'!Q17-'Bach et al. (2025)'!Q18)/100</f>
        <v>1.34E-2</v>
      </c>
      <c r="D16" s="55">
        <f>('Bach et al. (2025)'!N17*'Bach et al. (2025)'!P17 - 'Bach et al. (2025)'!P18*'Bach et al. (2025)'!N18)/('Bach et al. (2025)'!N17-'Bach et al. (2025)'!N18)</f>
        <v>4892164.7577092508</v>
      </c>
      <c r="E16" s="52">
        <f>'Bach et al. (2025)'!O17</f>
        <v>2592000</v>
      </c>
      <c r="F16" s="21">
        <f xml:space="preserve"> SUMPRODUCT('Bach et al. (2025)'!J31:J39,'Bach et al. (2025)'!K31:K39)/SUM('Bach et al. (2025)'!K31:K39) / 100 +  SUMPRODUCT('Bach et al. (2025)'!C31:C39,'Bach et al. (2025)'!K31:K39)/SUM('Bach et al. (2025)'!K31:K39)*('Bozio et al. (2020)'!D16/'Bozio et al. (2020)'!E16)/100</f>
        <v>0.48142846846846848</v>
      </c>
      <c r="G16" s="21">
        <f>(SUMPRODUCT('Bach et al. (2025)'!C31:C39,'Bach et al. (2025)'!K31:K39)/SUM('Bach et al. (2025)'!K31:K39)+SUMPRODUCT('Bach et al. (2025)'!D31:D39,'Bach et al. (2025)'!K31:K39)/SUM('Bach et al. (2025)'!K31:K39)+SUMPRODUCT('Bach et al. (2025)'!F31:F39,'Bach et al. (2025)'!K31:K39)/SUM('Bach et al. (2025)'!K31:K39))/100</f>
        <v>0.14858918918918917</v>
      </c>
      <c r="H16" s="97">
        <v>0.09</v>
      </c>
      <c r="I16" s="97">
        <f>WID!O7</f>
        <v>6.7228318747607929E-2</v>
      </c>
      <c r="J16" s="97">
        <f>WID!O38</f>
        <v>6.406053093993247E-2</v>
      </c>
      <c r="K16" s="97">
        <f>WID!O$66</f>
        <v>5.452234777918008E-3</v>
      </c>
      <c r="L16" s="159">
        <f t="shared" si="4"/>
        <v>1.3373027027027026E-2</v>
      </c>
      <c r="M16" s="166">
        <f t="shared" si="3"/>
        <v>8786524.8313944284</v>
      </c>
      <c r="N16" s="166">
        <f t="shared" si="3"/>
        <v>4532439.3935598843</v>
      </c>
      <c r="O16" s="90">
        <f t="shared" si="5"/>
        <v>50.360437706220942</v>
      </c>
      <c r="P16" s="99">
        <f>M16/(M16-N16)</f>
        <v>2.0654321498223203</v>
      </c>
      <c r="Q16" s="99">
        <f t="shared" si="6"/>
        <v>1.8302844816851287</v>
      </c>
      <c r="R16" s="100">
        <f>MIN(1,MAX((M$22^(-Q16+1)-O17^(-Q16+1))/(O16^(-Q16+1)-O17^(-Q16+1)),0))</f>
        <v>0.46792985951673266</v>
      </c>
      <c r="S16" s="169">
        <f>MIN(1,MAX((M$22^(-Q16)-O17^(-Q16))/(O16^(-Q16)-O17^(-Q16)),0))*B16*(1+K16)^9</f>
        <v>956.16813288225774</v>
      </c>
      <c r="T16" s="65">
        <f t="shared" si="0"/>
        <v>0.48142846846846848</v>
      </c>
      <c r="U16" s="66">
        <f>F16+MAX(0,M$23/H16-G16)*R16</f>
        <v>0.51588356327140661</v>
      </c>
      <c r="V16" s="171">
        <f t="shared" ref="V15:V18" si="7">(U16-T16)*M16*B16*(1+K16)^9/1000000</f>
        <v>1082.5318921438611</v>
      </c>
      <c r="W16" s="38"/>
      <c r="X16" s="41"/>
      <c r="Y16" s="35"/>
    </row>
    <row r="17" spans="1:25" s="86" customFormat="1" ht="14.4" customHeight="1">
      <c r="A17" s="39" t="s">
        <v>215</v>
      </c>
      <c r="B17" s="23">
        <f>'Bach et al. (2025)'!N18 - 'Bach et al. (2025)'!N19</f>
        <v>303</v>
      </c>
      <c r="C17" s="25">
        <f>('Bach et al. (2025)'!Q18-'Bach et al. (2025)'!Q19)/100</f>
        <v>6.5999999999999991E-3</v>
      </c>
      <c r="D17" s="55">
        <f>('Bach et al. (2025)'!N18*'Bach et al. (2025)'!P18 - 'Bach et al. (2025)'!P19*'Bach et al. (2025)'!N19)/('Bach et al. (2025)'!N18-'Bach et al. (2025)'!N19)</f>
        <v>27015277.227722771</v>
      </c>
      <c r="E17" s="52">
        <f>'Bach et al. (2025)'!O18</f>
        <v>14876000</v>
      </c>
      <c r="F17" s="21">
        <f xml:space="preserve"> AVERAGE('Bach et al. (2025)'!J40:J44) / 100 + AVERAGE('Bach et al. (2025)'!C40:C44)*('Bozio et al. (2020)'!D16/'Bozio et al. (2020)'!E16)/100</f>
        <v>0.33972000000000002</v>
      </c>
      <c r="G17" s="21">
        <f xml:space="preserve"> (AVERAGE('Bach et al. (2025)'!C40:C44) + AVERAGE('Bach et al. (2025)'!D40:D44) + AVERAGE('Bach et al. (2025)'!F40:F44))/100</f>
        <v>6.6100000000000006E-2</v>
      </c>
      <c r="H17" s="97">
        <v>0.09</v>
      </c>
      <c r="I17" s="97">
        <f>WID!O8</f>
        <v>0.10834128077179117</v>
      </c>
      <c r="J17" s="97">
        <f>WID!O39</f>
        <v>9.9163811673651514E-2</v>
      </c>
      <c r="K17" s="97">
        <f>WID!O$66</f>
        <v>5.452234777918008E-3</v>
      </c>
      <c r="L17" s="159">
        <f t="shared" si="4"/>
        <v>5.9490000000000003E-3</v>
      </c>
      <c r="M17" s="166">
        <f t="shared" si="3"/>
        <v>68182199.988809556</v>
      </c>
      <c r="N17" s="166">
        <f t="shared" si="3"/>
        <v>34837578.696328811</v>
      </c>
      <c r="O17" s="90">
        <f t="shared" si="5"/>
        <v>387.0842077369868</v>
      </c>
      <c r="P17" s="99">
        <f>M17/(M17-N17)</f>
        <v>2.0447735600519397</v>
      </c>
      <c r="Q17" s="99">
        <f t="shared" si="6"/>
        <v>1.5809387611677876</v>
      </c>
      <c r="R17" s="100">
        <f>MIN(1,MAX((M$22^(-Q17+1)-O18^(-Q17+1))/(O17^(-Q17+1)-O18^(-Q17+1)),0))</f>
        <v>1</v>
      </c>
      <c r="S17" s="169">
        <f>MIN(1,MAX((M$22^(-Q17)-O18^(-Q17))/(O17^(-Q17)-O18^(-Q17)),0))*B17*(1+K17)^9</f>
        <v>318.19666399993014</v>
      </c>
      <c r="T17" s="65">
        <f t="shared" si="0"/>
        <v>0.33972000000000002</v>
      </c>
      <c r="U17" s="66">
        <f>F17+MAX(0,M$23/H17-G17)*R17</f>
        <v>0.49584222222222224</v>
      </c>
      <c r="V17" s="171">
        <f>(U17-T17)*M17*B17*(1+K17)^9/1000000</f>
        <v>3387.1260322913913</v>
      </c>
      <c r="W17" s="38"/>
      <c r="X17" s="41"/>
      <c r="Y17" s="35"/>
    </row>
    <row r="18" spans="1:25" ht="14.4" customHeight="1">
      <c r="A18" s="39" t="s">
        <v>217</v>
      </c>
      <c r="B18" s="23">
        <f>'Bach et al. (2025)'!N19</f>
        <v>75</v>
      </c>
      <c r="C18" s="25">
        <f>'Bach et al. (2025)'!Q19/100</f>
        <v>1.3100000000000001E-2</v>
      </c>
      <c r="D18" s="75">
        <f>'Bach et al. (2025)'!P19</f>
        <v>217289000</v>
      </c>
      <c r="E18" s="52">
        <f>'Bach et al. (2025)'!O19</f>
        <v>61540000</v>
      </c>
      <c r="F18" s="21">
        <f>'Bach et al. (2025)'!J45 / 100 + 'Bach et al. (2025)'!C45*('Bozio et al. (2020)'!D16/'Bozio et al. (2020)'!E16)/100</f>
        <v>0.26035999999999998</v>
      </c>
      <c r="G18" s="21">
        <f xml:space="preserve"> ('Bach et al. (2025)'!C45 + 'Bach et al. (2025)'!D45 + 'Bach et al. (2025)'!F45 )/ 100</f>
        <v>1.9500000000000003E-2</v>
      </c>
      <c r="H18" s="97">
        <v>7.0000000000000007E-2</v>
      </c>
      <c r="I18" s="97">
        <f>WID!O8</f>
        <v>0.10834128077179117</v>
      </c>
      <c r="J18" s="97">
        <f>WID!O39</f>
        <v>9.9163811673651514E-2</v>
      </c>
      <c r="K18" s="97">
        <f>WID!O$66</f>
        <v>5.452234777918008E-3</v>
      </c>
      <c r="L18" s="159">
        <f t="shared" si="4"/>
        <v>1.3650000000000003E-3</v>
      </c>
      <c r="M18" s="167">
        <f t="shared" si="3"/>
        <v>548402369.83262217</v>
      </c>
      <c r="N18" s="167">
        <f t="shared" si="3"/>
        <v>144118351.23501444</v>
      </c>
      <c r="O18" s="90">
        <f t="shared" si="5"/>
        <v>2058.8335890716344</v>
      </c>
      <c r="P18" s="99">
        <f>M18/(M18-N18)</f>
        <v>1.3564779823227651</v>
      </c>
      <c r="Q18" s="99"/>
      <c r="R18" s="100">
        <f>IF(M$22&lt;=O18, 1, (O18/M$22)^(P18-1))</f>
        <v>1</v>
      </c>
      <c r="S18" s="170">
        <f>IF(M$22&lt;=O18, 1, (O18/M$22)^P18)*B18*(1+K18)^9</f>
        <v>78.761550495032225</v>
      </c>
      <c r="T18" s="65">
        <v>0.26</v>
      </c>
      <c r="U18" s="66">
        <f>T18+MAX(0,M$23/H18-G18)*R18</f>
        <v>0.52621428571428575</v>
      </c>
      <c r="V18" s="171">
        <f t="shared" si="7"/>
        <v>11498.599218227495</v>
      </c>
      <c r="W18" s="38"/>
      <c r="X18" s="41"/>
      <c r="Y18" s="35"/>
    </row>
    <row r="19" spans="1:25" ht="14.4" customHeight="1">
      <c r="A19" s="39"/>
      <c r="G19" s="35"/>
      <c r="H19" s="95"/>
      <c r="Q19" s="98"/>
      <c r="R19" s="98"/>
      <c r="S19" s="73">
        <f>SUM(S14:S18)</f>
        <v>1353.1263473772201</v>
      </c>
      <c r="V19" s="73">
        <f>SUM(V14:V18)</f>
        <v>15968.257142662747</v>
      </c>
      <c r="W19" s="38"/>
      <c r="X19" s="41"/>
      <c r="Y19" s="35"/>
    </row>
    <row r="20" spans="1:25" ht="14.4" customHeight="1">
      <c r="B20" s="6" t="s">
        <v>109</v>
      </c>
      <c r="C20" s="6"/>
      <c r="D20" s="6"/>
      <c r="E20" s="6"/>
      <c r="F20" s="6"/>
      <c r="G20" s="6"/>
      <c r="H20" s="96"/>
      <c r="V20" s="47"/>
      <c r="W20" s="38"/>
      <c r="X20" s="41"/>
      <c r="Y20" s="34"/>
    </row>
    <row r="21" spans="1:25" ht="14.4" customHeight="1">
      <c r="B21" t="s">
        <v>154</v>
      </c>
      <c r="G21" s="35"/>
      <c r="L21" s="196" t="s">
        <v>69</v>
      </c>
      <c r="M21" s="196"/>
      <c r="T21" s="196" t="s">
        <v>234</v>
      </c>
      <c r="U21" s="196"/>
      <c r="V21" s="196"/>
      <c r="W21" s="38"/>
      <c r="X21" s="41"/>
      <c r="Y21" s="34"/>
    </row>
    <row r="22" spans="1:25" ht="14.4" customHeight="1">
      <c r="G22" s="35"/>
      <c r="L22" s="39" t="s">
        <v>66</v>
      </c>
      <c r="M22" s="3">
        <v>100</v>
      </c>
      <c r="T22" s="122">
        <f>+V19</f>
        <v>15968.257142662747</v>
      </c>
      <c r="U22" s="5">
        <v>0.02</v>
      </c>
      <c r="V22" s="5">
        <v>0.03</v>
      </c>
      <c r="W22" s="38"/>
      <c r="X22" s="41"/>
      <c r="Y22" s="34"/>
    </row>
    <row r="23" spans="1:25" ht="14.4" customHeight="1">
      <c r="D23" s="32"/>
      <c r="E23" s="32"/>
      <c r="F23" s="32"/>
      <c r="G23" s="35"/>
      <c r="L23" s="39" t="s">
        <v>67</v>
      </c>
      <c r="M23" s="9">
        <v>0.02</v>
      </c>
      <c r="T23" s="23">
        <v>100</v>
      </c>
      <c r="U23" s="67">
        <f t="dataTable" ref="U23:V24" dt2D="1" dtr="1" r1="M23" r2="M22"/>
        <v>15968.257142662747</v>
      </c>
      <c r="V23" s="67">
        <v>26182.806920688985</v>
      </c>
      <c r="W23" s="38"/>
      <c r="X23" s="41"/>
      <c r="Y23" s="34"/>
    </row>
    <row r="24" spans="1:25" ht="14.4" customHeight="1">
      <c r="D24" s="3"/>
      <c r="E24" s="3"/>
      <c r="F24" s="10"/>
      <c r="G24" s="33"/>
      <c r="T24" s="23">
        <v>1000</v>
      </c>
      <c r="U24" s="67">
        <v>12574.903435261855</v>
      </c>
      <c r="V24" s="67">
        <v>19511.333302631236</v>
      </c>
      <c r="W24" s="41"/>
      <c r="X24" s="41"/>
      <c r="Y24" s="34"/>
    </row>
    <row r="25" spans="1:25" ht="14.4" customHeight="1">
      <c r="D25" s="9"/>
      <c r="E25" s="9"/>
      <c r="F25" s="9"/>
      <c r="G25" s="33"/>
      <c r="W25" s="41"/>
      <c r="X25" s="41"/>
      <c r="Y25" s="34"/>
    </row>
    <row r="26" spans="1:25">
      <c r="A26" s="37"/>
      <c r="B26" s="36"/>
      <c r="C26" s="36"/>
      <c r="D26" s="36"/>
      <c r="E26" s="36"/>
      <c r="F26" s="36"/>
      <c r="G26" s="33"/>
      <c r="W26" s="41"/>
      <c r="X26" s="41"/>
      <c r="Y26" s="34"/>
    </row>
    <row r="27" spans="1:25">
      <c r="A27" s="44"/>
      <c r="B27" s="44"/>
      <c r="C27" s="44"/>
      <c r="D27" s="44"/>
      <c r="E27" s="44"/>
      <c r="F27" s="44"/>
      <c r="G27" s="44"/>
      <c r="H27" s="44"/>
      <c r="I27" s="44"/>
      <c r="J27" s="44"/>
      <c r="K27" s="44"/>
      <c r="L27" s="44"/>
      <c r="M27" s="44"/>
      <c r="N27" s="44"/>
      <c r="O27" s="44"/>
      <c r="P27" s="44"/>
      <c r="Q27" s="44"/>
      <c r="R27" s="44"/>
      <c r="S27" s="44"/>
      <c r="T27" s="44"/>
      <c r="U27" s="44"/>
      <c r="V27" s="44"/>
    </row>
    <row r="28" spans="1:25">
      <c r="D28" s="82"/>
    </row>
    <row r="30" spans="1:25">
      <c r="A30" s="42"/>
      <c r="B30" s="44"/>
      <c r="C30" s="228"/>
      <c r="D30" s="44"/>
      <c r="E30" s="44"/>
      <c r="F30" s="44"/>
      <c r="G30" s="44"/>
      <c r="H30" s="44"/>
      <c r="I30" s="44"/>
      <c r="J30" s="44"/>
      <c r="K30" s="44"/>
      <c r="L30" s="44"/>
      <c r="M30" s="44"/>
      <c r="N30" s="44"/>
      <c r="O30" s="44"/>
      <c r="P30" s="44"/>
      <c r="Q30" s="44"/>
      <c r="R30" s="44"/>
      <c r="S30" s="44"/>
      <c r="T30" s="44"/>
      <c r="U30" s="44"/>
      <c r="V30" s="44"/>
    </row>
    <row r="31" spans="1:25">
      <c r="A31" s="44"/>
      <c r="B31" s="44"/>
      <c r="C31" s="44"/>
      <c r="D31" s="44"/>
      <c r="E31" s="44"/>
      <c r="F31" s="44"/>
      <c r="G31" s="44"/>
      <c r="H31" s="44"/>
      <c r="I31" s="44"/>
      <c r="J31" s="44"/>
      <c r="K31" s="44"/>
      <c r="L31" s="44"/>
      <c r="M31" s="44"/>
      <c r="N31" s="44"/>
      <c r="O31" s="44"/>
      <c r="P31" s="44"/>
      <c r="Q31" s="44"/>
      <c r="R31" s="44"/>
      <c r="S31" s="44"/>
      <c r="T31" s="44"/>
      <c r="U31" s="44"/>
      <c r="V31" s="44"/>
    </row>
    <row r="32" spans="1:25">
      <c r="A32" s="44"/>
      <c r="B32" s="44"/>
      <c r="C32" s="44"/>
      <c r="D32" s="44"/>
      <c r="E32" s="44"/>
      <c r="F32" s="44"/>
      <c r="G32" s="44"/>
      <c r="V32" s="44"/>
    </row>
    <row r="33" spans="1:22">
      <c r="A33" s="44"/>
      <c r="B33" s="44"/>
      <c r="C33" s="44"/>
      <c r="D33" s="44"/>
      <c r="E33" s="44"/>
      <c r="F33" s="44"/>
      <c r="G33" s="44"/>
      <c r="H33" s="48"/>
      <c r="I33" s="48"/>
      <c r="J33" s="48"/>
      <c r="K33" s="48"/>
      <c r="L33" s="48"/>
      <c r="M33" s="48"/>
      <c r="N33" s="48"/>
      <c r="O33" s="48"/>
      <c r="P33" s="48"/>
      <c r="Q33" s="48"/>
      <c r="R33" s="48"/>
      <c r="S33" s="48"/>
      <c r="T33" s="48"/>
      <c r="U33" s="48"/>
      <c r="V33" s="44"/>
    </row>
    <row r="34" spans="1:22">
      <c r="H34" s="44"/>
      <c r="I34" s="44"/>
      <c r="J34" s="44"/>
      <c r="K34" s="44"/>
      <c r="L34" s="44"/>
      <c r="M34" s="44"/>
      <c r="N34" s="44"/>
      <c r="O34" s="44"/>
      <c r="P34" s="44"/>
      <c r="Q34" s="44"/>
      <c r="R34" s="44"/>
      <c r="S34" s="44"/>
      <c r="T34" s="44"/>
      <c r="U34" s="44"/>
    </row>
  </sheetData>
  <mergeCells count="6">
    <mergeCell ref="W2:Y2"/>
    <mergeCell ref="B2:G2"/>
    <mergeCell ref="T21:V21"/>
    <mergeCell ref="H2:K2"/>
    <mergeCell ref="L2:V2"/>
    <mergeCell ref="L21:M21"/>
  </mergeCells>
  <pageMargins left="0.7" right="0.7" top="0.75" bottom="0.75" header="0.3" footer="0.3"/>
  <pageSetup paperSize="9" orientation="portrait" r:id="rId1"/>
  <ignoredErrors>
    <ignoredError sqref="G4 G9 G13 F13 F18 F17 F14:F16" formulaRange="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33BE4-AA32-4C69-9C41-A44C9BCF9157}">
  <sheetPr>
    <tabColor rgb="FFC00000"/>
  </sheetPr>
  <dimension ref="A1:V34"/>
  <sheetViews>
    <sheetView zoomScaleNormal="100" workbookViewId="0">
      <selection activeCell="P26" sqref="P26"/>
    </sheetView>
  </sheetViews>
  <sheetFormatPr baseColWidth="10" defaultRowHeight="14.4"/>
  <cols>
    <col min="2" max="2" width="11.5546875" customWidth="1"/>
    <col min="3" max="3" width="11.5546875" style="86" customWidth="1"/>
    <col min="4" max="6" width="11.5546875" customWidth="1"/>
    <col min="7" max="7" width="11.5546875" style="86" customWidth="1"/>
    <col min="9" max="9" width="11.5546875" style="86"/>
    <col min="11" max="12" width="11.5546875" style="86"/>
    <col min="14" max="15" width="11.5546875" style="86"/>
    <col min="17" max="17" width="11.5546875" style="86"/>
    <col min="19" max="19" width="11.5546875" style="86"/>
  </cols>
  <sheetData>
    <row r="1" spans="1:22" ht="15.6">
      <c r="L1" s="30"/>
    </row>
    <row r="2" spans="1:22">
      <c r="A2" s="29"/>
      <c r="B2" s="195" t="s">
        <v>147</v>
      </c>
      <c r="C2" s="195"/>
      <c r="D2" s="195"/>
      <c r="E2" s="195"/>
      <c r="F2" s="195"/>
      <c r="G2" s="195"/>
      <c r="H2" s="197" t="s">
        <v>143</v>
      </c>
      <c r="I2" s="197"/>
      <c r="J2" s="197"/>
      <c r="K2" s="197"/>
      <c r="L2" s="198" t="s">
        <v>148</v>
      </c>
      <c r="M2" s="198"/>
      <c r="N2" s="198"/>
      <c r="O2" s="198"/>
      <c r="P2" s="198"/>
      <c r="Q2" s="198"/>
      <c r="R2" s="198"/>
      <c r="S2" s="198"/>
      <c r="T2" s="198"/>
      <c r="U2" s="198"/>
      <c r="V2" s="198"/>
    </row>
    <row r="3" spans="1:22" ht="43.2" customHeight="1">
      <c r="A3" s="40" t="s">
        <v>13</v>
      </c>
      <c r="B3" s="46" t="s">
        <v>197</v>
      </c>
      <c r="C3" s="46" t="s">
        <v>102</v>
      </c>
      <c r="D3" s="78" t="s">
        <v>23</v>
      </c>
      <c r="E3" s="78" t="s">
        <v>22</v>
      </c>
      <c r="F3" s="43" t="s">
        <v>63</v>
      </c>
      <c r="G3" s="43" t="s">
        <v>64</v>
      </c>
      <c r="H3" s="76" t="s">
        <v>68</v>
      </c>
      <c r="I3" s="168" t="s">
        <v>318</v>
      </c>
      <c r="J3" s="168" t="s">
        <v>319</v>
      </c>
      <c r="K3" s="168" t="s">
        <v>317</v>
      </c>
      <c r="L3" s="157" t="s">
        <v>320</v>
      </c>
      <c r="M3" s="78" t="s">
        <v>23</v>
      </c>
      <c r="N3" s="78" t="s">
        <v>22</v>
      </c>
      <c r="O3" s="106" t="s">
        <v>200</v>
      </c>
      <c r="P3" s="40" t="s">
        <v>198</v>
      </c>
      <c r="Q3" s="40" t="s">
        <v>199</v>
      </c>
      <c r="R3" s="40" t="s">
        <v>155</v>
      </c>
      <c r="S3" s="40" t="s">
        <v>196</v>
      </c>
      <c r="T3" s="106" t="s">
        <v>145</v>
      </c>
      <c r="U3" s="40" t="s">
        <v>144</v>
      </c>
      <c r="V3" s="106" t="s">
        <v>201</v>
      </c>
    </row>
    <row r="4" spans="1:22" ht="14.4" customHeight="1">
      <c r="A4" s="39" t="s">
        <v>24</v>
      </c>
      <c r="B4" s="109">
        <f>SUM('Piketty, Saez, Zucman (2018)'!C4:C13)</f>
        <v>16329141</v>
      </c>
      <c r="C4" s="25">
        <f>SUM('Piketty, Saez, Zucman (2018)'!E4:E13)</f>
        <v>1.0550000122748315E-2</v>
      </c>
      <c r="E4" s="63"/>
      <c r="F4" s="8">
        <f>SUMPRODUCT('Piketty, Saez, Zucman (2018)'!H4:H13, 'Piketty, Saez, Zucman (2018)'!$F4:$F13)/SUM('Piketty, Saez, Zucman (2018)'!$F4:$F13)</f>
        <v>0.2643237869811238</v>
      </c>
      <c r="G4" s="8"/>
      <c r="H4" s="8"/>
      <c r="I4" s="8"/>
      <c r="J4" s="8"/>
      <c r="K4" s="8"/>
      <c r="L4" s="158"/>
      <c r="M4" s="77"/>
      <c r="N4" s="77"/>
      <c r="P4" s="5"/>
      <c r="Q4" s="5"/>
      <c r="R4" s="5"/>
      <c r="S4" s="5"/>
      <c r="T4" s="65"/>
      <c r="U4" s="66"/>
      <c r="V4" s="86"/>
    </row>
    <row r="5" spans="1:22" s="86" customFormat="1">
      <c r="A5" s="39" t="s">
        <v>25</v>
      </c>
      <c r="B5" s="109">
        <f>SUM('Piketty, Saez, Zucman (2018)'!C14:C23)</f>
        <v>16331018</v>
      </c>
      <c r="C5" s="25">
        <f>SUM('Piketty, Saez, Zucman (2018)'!E14:E23)</f>
        <v>1.7220000037923455E-2</v>
      </c>
      <c r="E5" s="63"/>
      <c r="F5" s="8">
        <f>SUMPRODUCT('Piketty, Saez, Zucman (2018)'!H14:H23, 'Piketty, Saez, Zucman (2018)'!$F14:$F23)/SUM('Piketty, Saez, Zucman (2018)'!$F14:$F23)</f>
        <v>0.23915495268939158</v>
      </c>
      <c r="G5" s="8"/>
      <c r="H5" s="5"/>
      <c r="I5" s="5"/>
      <c r="J5" s="5"/>
      <c r="K5" s="5"/>
      <c r="L5" s="158"/>
      <c r="M5" s="77"/>
      <c r="N5" s="77"/>
      <c r="P5" s="5"/>
      <c r="Q5" s="5"/>
      <c r="R5" s="5"/>
      <c r="S5" s="5"/>
      <c r="T5" s="60">
        <f t="shared" ref="T5:T17" si="0">F5</f>
        <v>0.23915495268939158</v>
      </c>
      <c r="U5" s="62">
        <f>T5</f>
        <v>0.23915495268939158</v>
      </c>
    </row>
    <row r="6" spans="1:22" s="86" customFormat="1">
      <c r="A6" s="39" t="s">
        <v>26</v>
      </c>
      <c r="B6" s="103">
        <f>SUM('Piketty, Saez, Zucman (2018)'!C24:C33)</f>
        <v>16329728</v>
      </c>
      <c r="C6" s="111">
        <f>SUM('Piketty, Saez, Zucman (2018)'!E24:E33)</f>
        <v>2.4019999895244837E-2</v>
      </c>
      <c r="D6" s="63"/>
      <c r="E6" s="63"/>
      <c r="F6" s="8">
        <f>SUMPRODUCT('Piketty, Saez, Zucman (2018)'!H24:H33, 'Piketty, Saez, Zucman (2018)'!$F24:$F33)/SUM('Piketty, Saez, Zucman (2018)'!$F24:$F33)</f>
        <v>0.25425502450722759</v>
      </c>
      <c r="H6" s="5"/>
      <c r="I6" s="5"/>
      <c r="J6" s="5"/>
      <c r="K6" s="5"/>
      <c r="L6" s="158"/>
      <c r="M6" s="77"/>
      <c r="N6" s="77"/>
      <c r="P6" s="5"/>
      <c r="Q6" s="5"/>
      <c r="R6" s="5"/>
      <c r="S6" s="5"/>
      <c r="T6" s="60">
        <f t="shared" si="0"/>
        <v>0.25425502450722759</v>
      </c>
      <c r="U6" s="62">
        <f t="shared" ref="U6:U8" si="1">T6</f>
        <v>0.25425502450722759</v>
      </c>
    </row>
    <row r="7" spans="1:22" s="86" customFormat="1">
      <c r="A7" s="39" t="s">
        <v>27</v>
      </c>
      <c r="B7" s="103">
        <f>SUM('Piketty, Saez, Zucman (2018)'!C34:C43)</f>
        <v>16331093</v>
      </c>
      <c r="C7" s="111">
        <f>SUM('Piketty, Saez, Zucman (2018)'!E34:E43)</f>
        <v>3.2919999677687883E-2</v>
      </c>
      <c r="D7" s="63"/>
      <c r="E7" s="63"/>
      <c r="F7" s="8">
        <f>SUMPRODUCT('Piketty, Saez, Zucman (2018)'!H34:H43, 'Piketty, Saez, Zucman (2018)'!$F34:$F43)/SUM('Piketty, Saez, Zucman (2018)'!$F34:$F43)</f>
        <v>0.25874279663847394</v>
      </c>
      <c r="G7" s="8"/>
      <c r="H7" s="8"/>
      <c r="I7" s="8"/>
      <c r="J7" s="5"/>
      <c r="K7" s="5"/>
      <c r="L7" s="158"/>
      <c r="M7" s="77"/>
      <c r="N7" s="77"/>
      <c r="P7" s="5"/>
      <c r="Q7" s="5"/>
      <c r="R7" s="5"/>
      <c r="S7" s="5"/>
      <c r="T7" s="60">
        <f t="shared" si="0"/>
        <v>0.25874279663847394</v>
      </c>
      <c r="U7" s="62">
        <f t="shared" si="1"/>
        <v>0.25874279663847394</v>
      </c>
    </row>
    <row r="8" spans="1:22" s="86" customFormat="1">
      <c r="A8" s="39" t="s">
        <v>28</v>
      </c>
      <c r="B8" s="103">
        <f>SUM('Piketty, Saez, Zucman (2018)'!C44:C53)</f>
        <v>16330010</v>
      </c>
      <c r="C8" s="111">
        <f>SUM('Piketty, Saez, Zucman (2018)'!E44:E53)</f>
        <v>4.3160000583156943E-2</v>
      </c>
      <c r="D8" s="63"/>
      <c r="E8" s="63"/>
      <c r="F8" s="8">
        <f>SUMPRODUCT('Piketty, Saez, Zucman (2018)'!H44:H53, 'Piketty, Saez, Zucman (2018)'!$F44:$F53)/SUM('Piketty, Saez, Zucman (2018)'!$F44:$F53)</f>
        <v>0.26364736777138803</v>
      </c>
      <c r="G8" s="8"/>
      <c r="H8" s="5"/>
      <c r="I8" s="5"/>
      <c r="J8" s="5"/>
      <c r="K8" s="5"/>
      <c r="L8" s="158"/>
      <c r="M8" s="77"/>
      <c r="N8" s="77"/>
      <c r="P8" s="5"/>
      <c r="Q8" s="5"/>
      <c r="R8" s="5"/>
      <c r="S8" s="5"/>
      <c r="T8" s="60">
        <f t="shared" si="0"/>
        <v>0.26364736777138803</v>
      </c>
      <c r="U8" s="62">
        <f t="shared" si="1"/>
        <v>0.26364736777138803</v>
      </c>
    </row>
    <row r="9" spans="1:22">
      <c r="A9" s="39" t="s">
        <v>29</v>
      </c>
      <c r="B9" s="103">
        <f>SUM('Piketty, Saez, Zucman (2018)'!C54:C63)</f>
        <v>16330018</v>
      </c>
      <c r="C9" s="111">
        <f>SUM('Piketty, Saez, Zucman (2018)'!E54:E63)</f>
        <v>5.5990000255405903E-2</v>
      </c>
      <c r="D9" s="112"/>
      <c r="E9" s="63"/>
      <c r="F9" s="8">
        <f>SUMPRODUCT('Piketty, Saez, Zucman (2018)'!H54:H63, 'Piketty, Saez, Zucman (2018)'!$F54:$F63)/SUM('Piketty, Saez, Zucman (2018)'!$F54:$F63)</f>
        <v>0.27047732013979231</v>
      </c>
      <c r="G9" s="8"/>
      <c r="H9" s="5"/>
      <c r="I9" s="5"/>
      <c r="J9" s="5"/>
      <c r="K9" s="5"/>
      <c r="L9" s="158"/>
      <c r="M9" s="77"/>
      <c r="N9" s="77"/>
      <c r="P9" s="5"/>
      <c r="Q9" s="5"/>
      <c r="R9" s="5"/>
      <c r="S9" s="5"/>
      <c r="T9" s="60">
        <f t="shared" si="0"/>
        <v>0.27047732013979231</v>
      </c>
      <c r="U9" s="62">
        <f>T9</f>
        <v>0.27047732013979231</v>
      </c>
      <c r="V9" s="86"/>
    </row>
    <row r="10" spans="1:22" s="86" customFormat="1">
      <c r="A10" s="39" t="s">
        <v>30</v>
      </c>
      <c r="B10" s="103">
        <f>SUM('Piketty, Saez, Zucman (2018)'!C64:C73)</f>
        <v>16331661</v>
      </c>
      <c r="C10" s="111">
        <f>SUM('Piketty, Saez, Zucman (2018)'!E64:E73)</f>
        <v>7.504000049084425E-2</v>
      </c>
      <c r="D10" s="112"/>
      <c r="E10" s="63"/>
      <c r="F10" s="8">
        <f>SUMPRODUCT('Piketty, Saez, Zucman (2018)'!H64:H73, 'Piketty, Saez, Zucman (2018)'!$F64:$F73)/SUM('Piketty, Saez, Zucman (2018)'!$F64:$F73)</f>
        <v>0.28528463802486209</v>
      </c>
      <c r="G10" s="8"/>
      <c r="H10" s="5"/>
      <c r="I10" s="5"/>
      <c r="J10" s="5"/>
      <c r="K10" s="5"/>
      <c r="L10" s="158"/>
      <c r="M10" s="77"/>
      <c r="N10" s="77"/>
      <c r="P10" s="5"/>
      <c r="Q10" s="5"/>
      <c r="R10" s="5"/>
      <c r="S10" s="5"/>
      <c r="T10" s="60">
        <f t="shared" si="0"/>
        <v>0.28528463802486209</v>
      </c>
      <c r="U10" s="62">
        <f t="shared" ref="U10:U12" si="2">T10</f>
        <v>0.28528463802486209</v>
      </c>
    </row>
    <row r="11" spans="1:22" s="86" customFormat="1">
      <c r="A11" s="39" t="s">
        <v>31</v>
      </c>
      <c r="B11" s="103">
        <f>SUM('Piketty, Saez, Zucman (2018)'!C74:C83)</f>
        <v>16329289</v>
      </c>
      <c r="C11" s="111">
        <f>SUM('Piketty, Saez, Zucman (2018)'!E74:E83)</f>
        <v>0.10425000078976154</v>
      </c>
      <c r="D11" s="112"/>
      <c r="E11" s="63"/>
      <c r="F11" s="8">
        <f>SUMPRODUCT('Piketty, Saez, Zucman (2018)'!H74:H83, 'Piketty, Saez, Zucman (2018)'!$F74:$F83)/SUM('Piketty, Saez, Zucman (2018)'!$F74:$F83)</f>
        <v>0.29118119107585216</v>
      </c>
      <c r="G11" s="8"/>
      <c r="H11" s="5"/>
      <c r="I11" s="5"/>
      <c r="J11" s="5"/>
      <c r="K11" s="5"/>
      <c r="L11" s="158"/>
      <c r="M11" s="77"/>
      <c r="N11" s="77"/>
      <c r="P11" s="5"/>
      <c r="Q11" s="5"/>
      <c r="R11" s="5"/>
      <c r="S11" s="5"/>
      <c r="T11" s="60">
        <f t="shared" si="0"/>
        <v>0.29118119107585216</v>
      </c>
      <c r="U11" s="62">
        <f t="shared" si="2"/>
        <v>0.29118119107585216</v>
      </c>
    </row>
    <row r="12" spans="1:22" s="86" customFormat="1">
      <c r="A12" s="39" t="s">
        <v>32</v>
      </c>
      <c r="B12" s="90">
        <f>SUM('Piketty, Saez, Zucman (2018)'!C84:C93)</f>
        <v>16331338</v>
      </c>
      <c r="C12" s="91">
        <f>SUM('Piketty, Saez, Zucman (2018)'!E84:E93)</f>
        <v>0.15435000136494637</v>
      </c>
      <c r="D12" s="112"/>
      <c r="E12" s="63"/>
      <c r="F12" s="8">
        <f>SUMPRODUCT('Piketty, Saez, Zucman (2018)'!H84:H93, 'Piketty, Saez, Zucman (2018)'!$F84:$F93)/SUM('Piketty, Saez, Zucman (2018)'!$F84:$F93)</f>
        <v>0.29565389859794372</v>
      </c>
      <c r="G12" s="8"/>
      <c r="H12" s="5"/>
      <c r="I12" s="5"/>
      <c r="J12" s="5"/>
      <c r="K12" s="5"/>
      <c r="L12" s="158"/>
      <c r="M12" s="77"/>
      <c r="N12" s="77"/>
      <c r="P12" s="5"/>
      <c r="Q12" s="5"/>
      <c r="R12" s="5"/>
      <c r="S12" s="5"/>
      <c r="T12" s="60">
        <f t="shared" si="0"/>
        <v>0.29565389859794372</v>
      </c>
      <c r="U12" s="62">
        <f t="shared" si="2"/>
        <v>0.29565389859794372</v>
      </c>
    </row>
    <row r="13" spans="1:22">
      <c r="A13" s="39" t="s">
        <v>33</v>
      </c>
      <c r="B13" s="103">
        <f>SUM('Piketty, Saez, Zucman (2018)'!C94:C102)</f>
        <v>14697899</v>
      </c>
      <c r="C13" s="111">
        <f>SUM('Piketty, Saez, Zucman (2018)'!E94:E102)</f>
        <v>0.28209000080823898</v>
      </c>
      <c r="D13" s="63"/>
      <c r="E13" s="63"/>
      <c r="F13" s="8">
        <f>SUMPRODUCT('Piketty, Saez, Zucman (2018)'!H94:H102, 'Piketty, Saez, Zucman (2018)'!$F94:$F102)/SUM('Piketty, Saez, Zucman (2018)'!$F94:$F102)</f>
        <v>0.2960802780956443</v>
      </c>
      <c r="G13" s="8"/>
      <c r="H13" s="5"/>
      <c r="I13" s="5"/>
      <c r="J13" s="5"/>
      <c r="K13" s="5"/>
      <c r="L13" s="158"/>
      <c r="M13" s="77"/>
      <c r="N13" s="77"/>
      <c r="P13" s="5"/>
      <c r="Q13" s="5"/>
      <c r="R13" s="5"/>
      <c r="S13" s="5"/>
      <c r="T13" s="60">
        <f t="shared" si="0"/>
        <v>0.2960802780956443</v>
      </c>
      <c r="U13" s="62">
        <f>T13</f>
        <v>0.2960802780956443</v>
      </c>
      <c r="V13" s="86"/>
    </row>
    <row r="14" spans="1:22">
      <c r="A14" s="39" t="s">
        <v>34</v>
      </c>
      <c r="B14" s="103">
        <f>SUM('Piketty, Saez, Zucman (2018)'!C103:C111)</f>
        <v>1469767</v>
      </c>
      <c r="C14" s="111">
        <f>SUM('Piketty, Saez, Zucman (2018)'!E103:E111)</f>
        <v>0.11147999949753284</v>
      </c>
      <c r="D14" s="63">
        <f>AVERAGE('Piketty, Saez, Zucman (2018)'!$F103:$F111)</f>
        <v>1384903</v>
      </c>
      <c r="E14" s="63">
        <f>'Piketty, Saez, Zucman (2018)'!D103</f>
        <v>803000</v>
      </c>
      <c r="F14" s="21">
        <f>SUMPRODUCT('Piketty, Saez, Zucman (2018)'!H103:H111, 'Piketty, Saez, Zucman (2018)'!$F103:$F111)/SUM('Piketty, Saez, Zucman (2018)'!$F103:$F111)</f>
        <v>0.3164467108150214</v>
      </c>
      <c r="G14" s="21">
        <f>SUMPRODUCT('Piketty, Saez, Zucman (2018)'!L103:L111, 'Piketty, Saez, Zucman (2018)'!$F103:$F111)/SUM('Piketty, Saez, Zucman (2018)'!$F103:$F111)</f>
        <v>0.19810348438194011</v>
      </c>
      <c r="H14" s="97">
        <v>0.13</v>
      </c>
      <c r="I14" s="97">
        <f>WID!O10</f>
        <v>5.3230665114281539E-2</v>
      </c>
      <c r="J14" s="21">
        <f>WID!O41</f>
        <v>4.5142211981690661E-2</v>
      </c>
      <c r="K14" s="21">
        <f>WID!O$67</f>
        <v>7.7574348370168522E-3</v>
      </c>
      <c r="L14" s="159">
        <f>H14*G14</f>
        <v>2.5753452969652216E-2</v>
      </c>
      <c r="M14" s="166">
        <f>D14*(1+I14)^6</f>
        <v>1890428.8104959778</v>
      </c>
      <c r="N14" s="166">
        <f>E14*(1+J14)^6</f>
        <v>1046569.0264140472</v>
      </c>
      <c r="O14" s="90">
        <f>(N14/H14)/1000000</f>
        <v>8.0505309724157481</v>
      </c>
      <c r="P14" s="99">
        <f>M14/(M14-N14)</f>
        <v>2.2402167352395543</v>
      </c>
      <c r="Q14" s="99">
        <f>P14*(1-(N14/N15)^(P14-1))</f>
        <v>1.9167689349029706</v>
      </c>
      <c r="R14" s="100">
        <f>MIN(1,MAX((M$22^(-Q14+1)-O15^(-Q14+1))/(O14^(-Q14+1)-O15^(-Q14+1)),0))</f>
        <v>0</v>
      </c>
      <c r="S14" s="169">
        <f>MIN(1,MAX((M$22^(-Q14)-O15^(-Q14))/(O14^(-Q14)-O15^(-Q14)),0))*B14*(1+K14)^6</f>
        <v>0</v>
      </c>
      <c r="T14" s="60">
        <f t="shared" si="0"/>
        <v>0.3164467108150214</v>
      </c>
      <c r="U14" s="62">
        <f>F14+MAX(0,M$23/H14-G14)*R14</f>
        <v>0.3164467108150214</v>
      </c>
      <c r="V14" s="171">
        <f>(U14-T14)*M14*B14*(1+K14)^6/1000000</f>
        <v>0</v>
      </c>
    </row>
    <row r="15" spans="1:22">
      <c r="A15" s="39" t="s">
        <v>35</v>
      </c>
      <c r="B15" s="103">
        <f>SUM('Piketty, Saez, Zucman (2018)'!C112:C120)</f>
        <v>146974</v>
      </c>
      <c r="C15" s="111">
        <f>SUM('Piketty, Saez, Zucman (2018)'!E112:E120)</f>
        <v>4.9140000017359853E-2</v>
      </c>
      <c r="D15" s="63">
        <f>AVERAGE('Piketty, Saez, Zucman (2018)'!$F112:$F120)</f>
        <v>6105038.777777778</v>
      </c>
      <c r="E15" s="63">
        <f>'Piketty, Saez, Zucman (2018)'!D112</f>
        <v>3470000</v>
      </c>
      <c r="F15" s="21">
        <f>SUMPRODUCT('Piketty, Saez, Zucman (2018)'!H112:H120, 'Piketty, Saez, Zucman (2018)'!$F112:$F120)/SUM('Piketty, Saez, Zucman (2018)'!$F112:$F120)</f>
        <v>0.35944871230125769</v>
      </c>
      <c r="G15" s="21">
        <f>SUMPRODUCT('Piketty, Saez, Zucman (2018)'!L112:L120, 'Piketty, Saez, Zucman (2018)'!$F112:$F120)/SUM('Piketty, Saez, Zucman (2018)'!$F112:$F120)</f>
        <v>0.23848058606305322</v>
      </c>
      <c r="H15" s="97">
        <v>0.12</v>
      </c>
      <c r="I15" s="97">
        <f>WID!O11</f>
        <v>6.9676855940272286E-2</v>
      </c>
      <c r="J15" s="21">
        <f>WID!O42</f>
        <v>6.2156516965497399E-2</v>
      </c>
      <c r="K15" s="21">
        <f>WID!O$67</f>
        <v>7.7574348370168522E-3</v>
      </c>
      <c r="L15" s="159">
        <f t="shared" ref="L15:L18" si="3">H15*G15</f>
        <v>2.8617670327566385E-2</v>
      </c>
      <c r="M15" s="166">
        <f t="shared" ref="M15:M18" si="4">D15*(1+I15)^6</f>
        <v>9145427.7391208913</v>
      </c>
      <c r="N15" s="166">
        <f t="shared" ref="N15:N18" si="5">E15*(1+J15)^6</f>
        <v>4982652.3136558766</v>
      </c>
      <c r="O15" s="90">
        <f t="shared" ref="O15:O18" si="6">(N15/H15)/1000000</f>
        <v>41.522102613798978</v>
      </c>
      <c r="P15" s="99">
        <f>M15/(M15-N15)</f>
        <v>2.1969543884532938</v>
      </c>
      <c r="Q15" s="99">
        <f t="shared" ref="Q15:Q17" si="7">P15*(1-(N15/N16)^(P15-1))</f>
        <v>1.853473155877303</v>
      </c>
      <c r="R15" s="100">
        <f>MIN(1,MAX((M$22^(-Q15+1)-O16^(-Q15+1))/(O15^(-Q15+1)-O16^(-Q15+1)),0))</f>
        <v>0.33343920486663092</v>
      </c>
      <c r="S15" s="169">
        <f t="shared" ref="S15:S17" si="8">MIN(1,MAX((M$22^(-Q15)-O16^(-Q15))/(O15^(-Q15)-O16^(-Q15)),0))*B15*(1+K15)^6</f>
        <v>25947.160110397355</v>
      </c>
      <c r="T15" s="60">
        <f t="shared" si="0"/>
        <v>0.35944871230125769</v>
      </c>
      <c r="U15" s="62">
        <f>F15+MAX(0,M$23/H15-G15)*R15</f>
        <v>0.35944871230125769</v>
      </c>
      <c r="V15" s="171">
        <f t="shared" ref="V15:V18" si="9">(U15-T15)*M15*B15*(1+K15)^6/1000000</f>
        <v>0</v>
      </c>
    </row>
    <row r="16" spans="1:22">
      <c r="A16" s="39" t="s">
        <v>14</v>
      </c>
      <c r="B16" s="103">
        <f>SUM('Piketty, Saez, Zucman (2018)'!C121:C129)</f>
        <v>14558</v>
      </c>
      <c r="C16" s="111">
        <f>SUM('Piketty, Saez, Zucman (2018)'!E121:E129)</f>
        <v>2.0940000074915588E-2</v>
      </c>
      <c r="D16" s="98">
        <f>AVERAGE('Piketty, Saez, Zucman (2018)'!$F121:$F129)</f>
        <v>26546126.444444444</v>
      </c>
      <c r="E16" s="63">
        <f>'Piketty, Saez, Zucman (2018)'!D121</f>
        <v>15000000</v>
      </c>
      <c r="F16" s="21">
        <f>SUMPRODUCT('Piketty, Saez, Zucman (2018)'!H121:H129, 'Piketty, Saez, Zucman (2018)'!$F121:$F129)/SUM('Piketty, Saez, Zucman (2018)'!$F121:$F129)</f>
        <v>0.39375864569321983</v>
      </c>
      <c r="G16" s="21">
        <f>SUMPRODUCT('Piketty, Saez, Zucman (2018)'!L121:L129, 'Piketty, Saez, Zucman (2018)'!$F121:$F129)/SUM('Piketty, Saez, Zucman (2018)'!$F121:$F129)</f>
        <v>0.26188246405066939</v>
      </c>
      <c r="H16" s="97">
        <v>0.09</v>
      </c>
      <c r="I16" s="97">
        <f>WID!O12</f>
        <v>8.4639075850964085E-2</v>
      </c>
      <c r="J16" s="21">
        <f>WID!O43</f>
        <v>7.7571484349869602E-2</v>
      </c>
      <c r="K16" s="21">
        <f>WID!O$67</f>
        <v>7.7574348370168522E-3</v>
      </c>
      <c r="L16" s="159">
        <f t="shared" si="3"/>
        <v>2.3569421764560245E-2</v>
      </c>
      <c r="M16" s="166">
        <f t="shared" si="4"/>
        <v>43222774.179308124</v>
      </c>
      <c r="N16" s="166">
        <f t="shared" si="5"/>
        <v>23483769.021341067</v>
      </c>
      <c r="O16" s="90">
        <f t="shared" si="6"/>
        <v>260.93076690378962</v>
      </c>
      <c r="P16" s="99">
        <f>M16/(M16-N16)</f>
        <v>2.1897139107774408</v>
      </c>
      <c r="Q16" s="99">
        <f t="shared" si="7"/>
        <v>1.8898777798295316</v>
      </c>
      <c r="R16" s="100">
        <f>MIN(1,MAX((M$22^(-Q16+1)-O17^(-Q16+1))/(O16^(-Q16+1)-O17^(-Q16+1)),0))</f>
        <v>1</v>
      </c>
      <c r="S16" s="169">
        <f t="shared" si="8"/>
        <v>15248.874157409242</v>
      </c>
      <c r="T16" s="60">
        <f t="shared" si="0"/>
        <v>0.39375864569321983</v>
      </c>
      <c r="U16" s="62">
        <f>F16+MAX(0,M$23/H16-G16)*R16</f>
        <v>0.39375864569321983</v>
      </c>
      <c r="V16" s="171">
        <f t="shared" si="9"/>
        <v>0</v>
      </c>
    </row>
    <row r="17" spans="1:22" s="86" customFormat="1">
      <c r="A17" s="39" t="s">
        <v>215</v>
      </c>
      <c r="B17" s="103">
        <f>'Piketty, Saez, Zucman (2018)'!C130</f>
        <v>1379</v>
      </c>
      <c r="C17" s="111">
        <f>'Piketty, Saez, Zucman (2018)'!E130</f>
        <v>6.6499998793005943E-3</v>
      </c>
      <c r="D17" s="98">
        <f>'Piketty, Saez, Zucman (2018)'!F130</f>
        <v>88108712</v>
      </c>
      <c r="E17" s="63">
        <f>'Piketty, Saez, Zucman (2018)'!D130</f>
        <v>68400000</v>
      </c>
      <c r="F17" s="21">
        <f>'Piketty, Saez, Zucman (2018)'!H130</f>
        <v>0.36016398668289185</v>
      </c>
      <c r="G17" s="21">
        <f>'Piketty, Saez, Zucman (2018)'!L130</f>
        <v>0.21704509854316711</v>
      </c>
      <c r="H17" s="97">
        <v>0.09</v>
      </c>
      <c r="I17" s="97">
        <f>WID!O13</f>
        <v>0.10965318286575365</v>
      </c>
      <c r="J17" s="21">
        <f>WID!O44</f>
        <v>0.1055707795385401</v>
      </c>
      <c r="K17" s="21">
        <f>WID!O$67</f>
        <v>7.7574348370168522E-3</v>
      </c>
      <c r="L17" s="159">
        <f t="shared" si="3"/>
        <v>1.953405886888504E-2</v>
      </c>
      <c r="M17" s="166">
        <f t="shared" si="4"/>
        <v>164491110.2122215</v>
      </c>
      <c r="N17" s="166">
        <f t="shared" si="5"/>
        <v>124903731.13785081</v>
      </c>
      <c r="O17" s="90">
        <f t="shared" si="6"/>
        <v>1387.8192348650091</v>
      </c>
      <c r="P17" s="99">
        <f>M17/(M17-N17)</f>
        <v>4.1551402001936228</v>
      </c>
      <c r="Q17" s="99">
        <f t="shared" si="7"/>
        <v>3.3508375824214864</v>
      </c>
      <c r="R17" s="100">
        <f>MIN(1,MAX((M$22^(-Q17+1)-O18^(-Q17+1))/(O17^(-Q17+1)-O18^(-Q17+1)),0))</f>
        <v>1</v>
      </c>
      <c r="S17" s="169">
        <f t="shared" si="8"/>
        <v>1444.442743719422</v>
      </c>
      <c r="T17" s="60">
        <f t="shared" si="0"/>
        <v>0.36016398668289185</v>
      </c>
      <c r="U17" s="62">
        <f>F17+MAX(0,M$23/H17-G17)*R17</f>
        <v>0.36534111036194694</v>
      </c>
      <c r="V17" s="171">
        <f t="shared" si="9"/>
        <v>1230.0741829847134</v>
      </c>
    </row>
    <row r="18" spans="1:22">
      <c r="A18" s="39" t="s">
        <v>217</v>
      </c>
      <c r="B18" s="103">
        <f>'Piketty, Saez, Zucman (2018)'!C131</f>
        <v>411</v>
      </c>
      <c r="C18" s="111">
        <f>D18*B18/(D14*B14/C14)</f>
        <v>8.9128911210072936E-3</v>
      </c>
      <c r="D18" s="79">
        <f>'Balkir et al. (2025)'!D10</f>
        <v>395956675.74931878</v>
      </c>
      <c r="E18" s="79">
        <f>D18/3.44</f>
        <v>115103684.81084849</v>
      </c>
      <c r="F18" s="21">
        <f>'Balkir et al. (2025)'!F10</f>
        <v>0.27186661216479113</v>
      </c>
      <c r="G18" s="21">
        <f>'Balkir et al. (2025)'!G10*('Piketty, Saez, Zucman (2018)'!L130)/('Piketty, Saez, Zucman (2018)'!L130+'Piketty, Saez, Zucman (2018)'!K130)</f>
        <v>0.12278228109962637</v>
      </c>
      <c r="H18" s="97">
        <v>4.9000000000000002E-2</v>
      </c>
      <c r="I18" s="97">
        <f>WID!O13</f>
        <v>0.10965318286575365</v>
      </c>
      <c r="J18" s="21">
        <f>WID!O44</f>
        <v>0.1055707795385401</v>
      </c>
      <c r="K18" s="21">
        <f>WID!O$67</f>
        <v>7.7574348370168522E-3</v>
      </c>
      <c r="L18" s="159">
        <f t="shared" si="3"/>
        <v>6.016331773881692E-3</v>
      </c>
      <c r="M18" s="166">
        <f t="shared" si="4"/>
        <v>739215813.18707788</v>
      </c>
      <c r="N18" s="166">
        <f t="shared" si="5"/>
        <v>210188299.71623012</v>
      </c>
      <c r="O18" s="90">
        <f t="shared" si="6"/>
        <v>4289.5571370659209</v>
      </c>
      <c r="P18" s="99">
        <f>M18/(M18-N18)</f>
        <v>1.3973107151596429</v>
      </c>
      <c r="Q18" s="99"/>
      <c r="R18" s="100">
        <f>IF(M$22&lt;=O18, 1, (O18/M$22)^(P18-1))</f>
        <v>1</v>
      </c>
      <c r="S18" s="170">
        <f>IF(M$22&lt;=O18, 1, (O18/M$22)^P18)*B18*(1+K18)^6</f>
        <v>430.50469011507062</v>
      </c>
      <c r="T18" s="60">
        <v>0.26</v>
      </c>
      <c r="U18" s="62">
        <f>T18+MAX(0,M$23/H18-G18)*R18</f>
        <v>0.54538098420649606</v>
      </c>
      <c r="V18" s="171">
        <f t="shared" si="9"/>
        <v>90818.467098671987</v>
      </c>
    </row>
    <row r="19" spans="1:22">
      <c r="A19" s="39"/>
      <c r="H19" s="95"/>
      <c r="I19" s="95"/>
      <c r="P19" s="86"/>
      <c r="Q19" s="98"/>
      <c r="R19" s="98"/>
      <c r="S19" s="81">
        <f>SUM(S14:S18)</f>
        <v>43070.981701641089</v>
      </c>
      <c r="T19" s="86"/>
      <c r="U19" s="86"/>
      <c r="V19" s="73">
        <f>SUM(V14:V18)</f>
        <v>92048.541281656697</v>
      </c>
    </row>
    <row r="20" spans="1:22">
      <c r="B20" s="6" t="s">
        <v>223</v>
      </c>
      <c r="C20" s="6"/>
      <c r="D20" s="6"/>
      <c r="E20" s="6"/>
      <c r="F20" s="6"/>
      <c r="G20" s="6"/>
      <c r="H20" s="96"/>
      <c r="I20" s="96"/>
    </row>
    <row r="21" spans="1:22">
      <c r="B21" t="s">
        <v>156</v>
      </c>
      <c r="H21" s="7"/>
      <c r="I21" s="7"/>
      <c r="L21" s="196" t="s">
        <v>69</v>
      </c>
      <c r="M21" s="196"/>
      <c r="N21" s="10"/>
      <c r="O21" s="10"/>
      <c r="Q21" s="3"/>
      <c r="T21" s="196" t="s">
        <v>234</v>
      </c>
      <c r="U21" s="196"/>
      <c r="V21" s="196"/>
    </row>
    <row r="22" spans="1:22">
      <c r="B22" t="s">
        <v>157</v>
      </c>
      <c r="D22" s="32"/>
      <c r="E22" s="32"/>
      <c r="F22" s="32"/>
      <c r="G22" s="32"/>
      <c r="H22" s="7"/>
      <c r="I22" s="7"/>
      <c r="L22" s="39" t="s">
        <v>66</v>
      </c>
      <c r="M22" s="3">
        <v>100</v>
      </c>
      <c r="N22" s="3"/>
      <c r="O22" s="3"/>
      <c r="Q22" s="10"/>
      <c r="T22" s="122">
        <f>+V19</f>
        <v>92048.541281656697</v>
      </c>
      <c r="U22" s="5">
        <v>0.02</v>
      </c>
      <c r="V22" s="5">
        <v>0.03</v>
      </c>
    </row>
    <row r="23" spans="1:22">
      <c r="B23" t="s">
        <v>158</v>
      </c>
      <c r="D23" s="3"/>
      <c r="E23" s="3"/>
      <c r="F23" s="3"/>
      <c r="G23" s="3"/>
      <c r="H23" s="7"/>
      <c r="I23" s="7"/>
      <c r="L23" s="39" t="s">
        <v>67</v>
      </c>
      <c r="M23" s="10">
        <v>0.02</v>
      </c>
      <c r="N23" s="10"/>
      <c r="O23" s="10"/>
      <c r="T23" s="23">
        <v>100</v>
      </c>
      <c r="U23" s="67">
        <f t="dataTable" ref="U23:V24" dt2D="1" dtr="1" r1="M23" r2="M22"/>
        <v>92048.541281656697</v>
      </c>
      <c r="V23" s="67">
        <v>235895.4734288535</v>
      </c>
    </row>
    <row r="24" spans="1:22">
      <c r="D24" s="10"/>
      <c r="E24" s="10"/>
      <c r="F24" s="10"/>
      <c r="G24" s="10"/>
      <c r="H24" s="7"/>
      <c r="I24" s="7"/>
      <c r="T24" s="23">
        <v>1000</v>
      </c>
      <c r="U24" s="67">
        <v>92048.541281656697</v>
      </c>
      <c r="V24" s="67">
        <v>188050.90950371596</v>
      </c>
    </row>
    <row r="25" spans="1:22">
      <c r="H25" s="7"/>
      <c r="I25" s="7"/>
    </row>
    <row r="26" spans="1:22">
      <c r="H26" s="7"/>
      <c r="I26" s="7"/>
    </row>
    <row r="27" spans="1:22">
      <c r="L27" s="44"/>
    </row>
    <row r="30" spans="1:22">
      <c r="L30" s="44"/>
    </row>
    <row r="31" spans="1:22">
      <c r="L31" s="44"/>
    </row>
    <row r="33" spans="12:12">
      <c r="L33" s="48"/>
    </row>
    <row r="34" spans="12:12">
      <c r="L34" s="44"/>
    </row>
  </sheetData>
  <mergeCells count="5">
    <mergeCell ref="B2:G2"/>
    <mergeCell ref="T21:V21"/>
    <mergeCell ref="L2:V2"/>
    <mergeCell ref="L21:M21"/>
    <mergeCell ref="H2:K2"/>
  </mergeCells>
  <pageMargins left="0.7" right="0.7" top="0.75" bottom="0.75" header="0.3" footer="0.3"/>
  <pageSetup paperSize="9" orientation="portrait" r:id="rId1"/>
  <ignoredErrors>
    <ignoredError sqref="B4:C16 F4:F18 G14:G16 C17 D14:D16" formulaRange="1"/>
  </ignoredError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5188E-3A99-448A-8F7F-E68564FA703B}">
  <sheetPr>
    <tabColor theme="5"/>
  </sheetPr>
  <dimension ref="A1:V34"/>
  <sheetViews>
    <sheetView zoomScaleNormal="100" workbookViewId="0">
      <selection activeCell="P22" sqref="P22"/>
    </sheetView>
  </sheetViews>
  <sheetFormatPr baseColWidth="10" defaultRowHeight="14.4"/>
  <cols>
    <col min="2" max="2" width="11.5546875" customWidth="1"/>
    <col min="3" max="3" width="11.5546875" style="86" customWidth="1"/>
    <col min="4" max="6" width="11.5546875" customWidth="1"/>
    <col min="9" max="10" width="11.5546875" style="86"/>
    <col min="12" max="12" width="11.5546875" style="86"/>
    <col min="15" max="17" width="11.5546875" style="86"/>
    <col min="19" max="19" width="11.5546875" style="86"/>
  </cols>
  <sheetData>
    <row r="1" spans="1:22" ht="15.6">
      <c r="L1" s="30"/>
    </row>
    <row r="2" spans="1:22" ht="14.4" customHeight="1">
      <c r="A2" s="29"/>
      <c r="B2" s="195" t="s">
        <v>150</v>
      </c>
      <c r="C2" s="195"/>
      <c r="D2" s="195"/>
      <c r="E2" s="195"/>
      <c r="F2" s="195"/>
      <c r="G2" s="195"/>
      <c r="H2" s="197" t="s">
        <v>143</v>
      </c>
      <c r="I2" s="197"/>
      <c r="J2" s="197"/>
      <c r="K2" s="197"/>
      <c r="L2" s="198" t="s">
        <v>149</v>
      </c>
      <c r="M2" s="198"/>
      <c r="N2" s="198"/>
      <c r="O2" s="198"/>
      <c r="P2" s="198"/>
      <c r="Q2" s="198"/>
      <c r="R2" s="198"/>
      <c r="S2" s="198"/>
      <c r="T2" s="198"/>
      <c r="U2" s="198"/>
      <c r="V2" s="198"/>
    </row>
    <row r="3" spans="1:22" ht="43.2">
      <c r="A3" s="40" t="s">
        <v>13</v>
      </c>
      <c r="B3" s="46" t="s">
        <v>197</v>
      </c>
      <c r="C3" s="46" t="s">
        <v>102</v>
      </c>
      <c r="D3" s="78" t="s">
        <v>23</v>
      </c>
      <c r="E3" s="78" t="s">
        <v>22</v>
      </c>
      <c r="F3" s="43" t="s">
        <v>63</v>
      </c>
      <c r="G3" s="43" t="s">
        <v>64</v>
      </c>
      <c r="H3" s="76" t="s">
        <v>68</v>
      </c>
      <c r="I3" s="168" t="s">
        <v>318</v>
      </c>
      <c r="J3" s="168" t="s">
        <v>319</v>
      </c>
      <c r="K3" s="168" t="s">
        <v>317</v>
      </c>
      <c r="L3" s="157" t="s">
        <v>320</v>
      </c>
      <c r="M3" s="78" t="s">
        <v>23</v>
      </c>
      <c r="N3" s="78" t="s">
        <v>22</v>
      </c>
      <c r="O3" s="106" t="s">
        <v>200</v>
      </c>
      <c r="P3" s="40" t="s">
        <v>198</v>
      </c>
      <c r="Q3" s="40" t="s">
        <v>199</v>
      </c>
      <c r="R3" s="40" t="s">
        <v>155</v>
      </c>
      <c r="S3" s="40" t="s">
        <v>196</v>
      </c>
      <c r="T3" s="106" t="s">
        <v>145</v>
      </c>
      <c r="U3" s="40" t="s">
        <v>144</v>
      </c>
      <c r="V3" s="106" t="s">
        <v>201</v>
      </c>
    </row>
    <row r="4" spans="1:22">
      <c r="A4" s="39" t="s">
        <v>24</v>
      </c>
      <c r="B4" s="115">
        <f>'Bruil et al. (2025)'!J5/5</f>
        <v>1333236.8</v>
      </c>
      <c r="C4" s="21">
        <f>'Bruil et al. (2025)'!$M$5*('Bach et al. (2025)'!Q4-'Bach et al. (2025)'!Q5)/('Bach et al. (2025)'!$Q$4-'Bach et al. (2025)'!$Q$9)</f>
        <v>1.8948296122209887E-3</v>
      </c>
      <c r="D4" s="63"/>
      <c r="E4" s="63"/>
      <c r="G4" s="8"/>
      <c r="H4" s="23"/>
      <c r="I4" s="23"/>
      <c r="J4" s="23"/>
      <c r="K4" s="23"/>
      <c r="L4" s="158"/>
      <c r="M4" s="77"/>
      <c r="N4" s="77"/>
      <c r="P4" s="5"/>
      <c r="Q4" s="5"/>
      <c r="R4" s="5"/>
      <c r="S4" s="5"/>
      <c r="T4" s="65"/>
      <c r="U4" s="66"/>
      <c r="V4" s="86"/>
    </row>
    <row r="5" spans="1:22" s="86" customFormat="1">
      <c r="A5" s="39" t="s">
        <v>25</v>
      </c>
      <c r="B5" s="115">
        <f>'Bruil et al. (2025)'!J5/5</f>
        <v>1333236.8</v>
      </c>
      <c r="C5" s="21">
        <f>'Bruil et al. (2025)'!$M$5*('Bach et al. (2025)'!Q5-'Bach et al. (2025)'!Q6)/('Bach et al. (2025)'!$Q$4-'Bach et al. (2025)'!$Q$9)</f>
        <v>2.6527614571092768E-2</v>
      </c>
      <c r="D5" s="63"/>
      <c r="E5" s="63"/>
      <c r="F5" s="21">
        <f>'Bruil et al. (2025)'!G4</f>
        <v>0.505</v>
      </c>
      <c r="G5" s="8"/>
      <c r="H5" s="23"/>
      <c r="I5" s="23"/>
      <c r="J5" s="23"/>
      <c r="K5" s="23"/>
      <c r="L5" s="158"/>
      <c r="M5" s="77"/>
      <c r="N5" s="77"/>
      <c r="P5" s="5"/>
      <c r="Q5" s="5"/>
      <c r="R5" s="5"/>
      <c r="S5" s="5"/>
      <c r="T5" s="114">
        <f t="shared" ref="T5:T17" si="0">F5</f>
        <v>0.505</v>
      </c>
      <c r="U5" s="61">
        <f>T5</f>
        <v>0.505</v>
      </c>
    </row>
    <row r="6" spans="1:22" s="86" customFormat="1">
      <c r="A6" s="39" t="s">
        <v>26</v>
      </c>
      <c r="B6" s="115">
        <f>'Bruil et al. (2025)'!J5/5</f>
        <v>1333236.8</v>
      </c>
      <c r="C6" s="21">
        <f>'Bruil et al. (2025)'!$M$5*('Bach et al. (2025)'!Q6-'Bach et al. (2025)'!Q7)/('Bach et al. (2025)'!$Q$4-'Bach et al. (2025)'!$Q$9)</f>
        <v>4.68654524089306E-2</v>
      </c>
      <c r="D6" s="63"/>
      <c r="E6" s="63"/>
      <c r="F6" s="21">
        <f>'Bruil et al. (2025)'!G5</f>
        <v>0.46</v>
      </c>
      <c r="G6" s="8"/>
      <c r="H6" s="23"/>
      <c r="I6" s="23"/>
      <c r="J6" s="23"/>
      <c r="K6" s="23"/>
      <c r="L6" s="158"/>
      <c r="M6" s="77"/>
      <c r="N6" s="77"/>
      <c r="P6" s="5"/>
      <c r="Q6" s="5"/>
      <c r="R6" s="5"/>
      <c r="S6" s="5"/>
      <c r="T6" s="114">
        <f t="shared" si="0"/>
        <v>0.46</v>
      </c>
      <c r="U6" s="61">
        <f t="shared" ref="U6:U8" si="1">T6</f>
        <v>0.46</v>
      </c>
    </row>
    <row r="7" spans="1:22" s="86" customFormat="1">
      <c r="A7" s="39" t="s">
        <v>27</v>
      </c>
      <c r="B7" s="115">
        <f>'Bruil et al. (2025)'!J5/5</f>
        <v>1333236.8</v>
      </c>
      <c r="C7" s="21">
        <f>'Bruil et al. (2025)'!$M$5*('Bach et al. (2025)'!Q7-'Bach et al. (2025)'!Q8)/('Bach et al. (2025)'!$Q$4-'Bach et al. (2025)'!$Q$9)</f>
        <v>6.1392479435957707E-2</v>
      </c>
      <c r="D7" s="63"/>
      <c r="E7" s="63"/>
      <c r="F7" s="21">
        <f>'Bruil et al. (2025)'!G6</f>
        <v>0.46</v>
      </c>
      <c r="G7" s="8"/>
      <c r="H7" s="23"/>
      <c r="I7" s="23"/>
      <c r="J7" s="23"/>
      <c r="K7" s="23"/>
      <c r="L7" s="158"/>
      <c r="M7" s="77"/>
      <c r="N7" s="77"/>
      <c r="P7" s="5"/>
      <c r="Q7" s="5"/>
      <c r="R7" s="5"/>
      <c r="S7" s="5"/>
      <c r="T7" s="114">
        <f t="shared" si="0"/>
        <v>0.46</v>
      </c>
      <c r="U7" s="61">
        <f t="shared" si="1"/>
        <v>0.46</v>
      </c>
    </row>
    <row r="8" spans="1:22" s="86" customFormat="1">
      <c r="A8" s="39" t="s">
        <v>28</v>
      </c>
      <c r="B8" s="115">
        <f>'Bruil et al. (2025)'!J5/5</f>
        <v>1333236.8</v>
      </c>
      <c r="C8" s="21">
        <f>'Bruil et al. (2025)'!$M$5*('Bach et al. (2025)'!Q8-'Bach et al. (2025)'!Q9)/('Bach et al. (2025)'!$Q$4-'Bach et al. (2025)'!$Q$9)</f>
        <v>7.8319623971797939E-2</v>
      </c>
      <c r="D8" s="63"/>
      <c r="E8" s="63"/>
      <c r="F8" s="21">
        <f>'Bruil et al. (2025)'!G7</f>
        <v>0.46</v>
      </c>
      <c r="G8" s="8"/>
      <c r="H8" s="23"/>
      <c r="I8" s="23"/>
      <c r="J8" s="23"/>
      <c r="K8" s="23"/>
      <c r="L8" s="158"/>
      <c r="M8" s="77"/>
      <c r="N8" s="77"/>
      <c r="P8" s="5"/>
      <c r="Q8" s="5"/>
      <c r="R8" s="5"/>
      <c r="S8" s="5"/>
      <c r="T8" s="114">
        <f t="shared" si="0"/>
        <v>0.46</v>
      </c>
      <c r="U8" s="61">
        <f t="shared" si="1"/>
        <v>0.46</v>
      </c>
    </row>
    <row r="9" spans="1:22">
      <c r="A9" s="39" t="s">
        <v>29</v>
      </c>
      <c r="B9" s="115">
        <f>'Bruil et al. (2025)'!J6/4</f>
        <v>1333236.75</v>
      </c>
      <c r="C9" s="21">
        <f>'Bruil et al. (2025)'!$M$6*('Bach et al. (2025)'!Q9-'Bach et al. (2025)'!Q10)/('Bach et al. (2025)'!$Q$9-'Bach et al. (2025)'!$Q$13)</f>
        <v>7.231404583616971E-2</v>
      </c>
      <c r="D9" s="63"/>
      <c r="E9" s="63"/>
      <c r="F9" s="21">
        <f>'Bruil et al. (2025)'!G8</f>
        <v>0.46</v>
      </c>
      <c r="G9" s="8"/>
      <c r="H9" s="23"/>
      <c r="I9" s="23"/>
      <c r="J9" s="23"/>
      <c r="K9" s="23"/>
      <c r="L9" s="158"/>
      <c r="M9" s="77"/>
      <c r="N9" s="77"/>
      <c r="P9" s="5"/>
      <c r="Q9" s="5"/>
      <c r="R9" s="5"/>
      <c r="S9" s="5"/>
      <c r="T9" s="114">
        <f t="shared" si="0"/>
        <v>0.46</v>
      </c>
      <c r="U9" s="61">
        <f>T9</f>
        <v>0.46</v>
      </c>
      <c r="V9" s="86"/>
    </row>
    <row r="10" spans="1:22" s="86" customFormat="1">
      <c r="A10" s="39" t="s">
        <v>30</v>
      </c>
      <c r="B10" s="115">
        <f>'Bruil et al. (2025)'!J6/4</f>
        <v>1333236.75</v>
      </c>
      <c r="C10" s="21">
        <f>'Bruil et al. (2025)'!$M$6*('Bach et al. (2025)'!Q10-'Bach et al. (2025)'!Q11)/('Bach et al. (2025)'!$Q$9-'Bach et al. (2025)'!$Q$13)</f>
        <v>8.9901293396868656E-2</v>
      </c>
      <c r="D10" s="63"/>
      <c r="E10" s="63"/>
      <c r="F10" s="21">
        <f>'Bruil et al. (2025)'!G9</f>
        <v>0.47</v>
      </c>
      <c r="G10" s="8"/>
      <c r="H10" s="23"/>
      <c r="I10" s="23"/>
      <c r="J10" s="23"/>
      <c r="K10" s="23"/>
      <c r="L10" s="158"/>
      <c r="M10" s="77"/>
      <c r="N10" s="77"/>
      <c r="P10" s="5"/>
      <c r="Q10" s="5"/>
      <c r="R10" s="5"/>
      <c r="S10" s="5"/>
      <c r="T10" s="114">
        <f t="shared" si="0"/>
        <v>0.47</v>
      </c>
      <c r="U10" s="61">
        <f t="shared" ref="U10:U12" si="2">T10</f>
        <v>0.47</v>
      </c>
    </row>
    <row r="11" spans="1:22" s="86" customFormat="1">
      <c r="A11" s="39" t="s">
        <v>31</v>
      </c>
      <c r="B11" s="115">
        <f>'Bruil et al. (2025)'!J6/4</f>
        <v>1333236.75</v>
      </c>
      <c r="C11" s="21">
        <f>'Bruil et al. (2025)'!$M$6*('Bach et al. (2025)'!Q11-'Bach et al. (2025)'!Q12)/('Bach et al. (2025)'!$Q$9-'Bach et al. (2025)'!$Q$13)</f>
        <v>0.11495575221238931</v>
      </c>
      <c r="D11" s="63"/>
      <c r="E11" s="63"/>
      <c r="F11" s="21">
        <f>'Bruil et al. (2025)'!G10</f>
        <v>0.48</v>
      </c>
      <c r="G11" s="8"/>
      <c r="H11" s="23"/>
      <c r="I11" s="23"/>
      <c r="J11" s="23"/>
      <c r="K11" s="23"/>
      <c r="L11" s="158"/>
      <c r="M11" s="77"/>
      <c r="N11" s="77"/>
      <c r="P11" s="5"/>
      <c r="Q11" s="5"/>
      <c r="R11" s="5"/>
      <c r="S11" s="5"/>
      <c r="T11" s="114">
        <f t="shared" si="0"/>
        <v>0.48</v>
      </c>
      <c r="U11" s="61">
        <f t="shared" si="2"/>
        <v>0.48</v>
      </c>
    </row>
    <row r="12" spans="1:22" s="86" customFormat="1">
      <c r="A12" s="39" t="s">
        <v>32</v>
      </c>
      <c r="B12" s="115">
        <f>'Bruil et al. (2025)'!J6/4</f>
        <v>1333236.75</v>
      </c>
      <c r="C12" s="21">
        <f>'Bruil et al. (2025)'!$M$6*('Bach et al. (2025)'!Q12-'Bach et al. (2025)'!Q13)/('Bach et al. (2025)'!$Q$9-'Bach et al. (2025)'!$Q$13)</f>
        <v>0.15582890855457229</v>
      </c>
      <c r="D12" s="63"/>
      <c r="E12" s="63"/>
      <c r="F12" s="21">
        <f>'Bruil et al. (2025)'!G11</f>
        <v>0.48</v>
      </c>
      <c r="G12" s="8"/>
      <c r="H12" s="23"/>
      <c r="I12" s="23"/>
      <c r="J12" s="23"/>
      <c r="K12" s="23"/>
      <c r="L12" s="158"/>
      <c r="M12" s="77"/>
      <c r="N12" s="77"/>
      <c r="P12" s="5"/>
      <c r="Q12" s="5"/>
      <c r="R12" s="5"/>
      <c r="S12" s="5"/>
      <c r="T12" s="114">
        <f t="shared" si="0"/>
        <v>0.48</v>
      </c>
      <c r="U12" s="61">
        <f t="shared" si="2"/>
        <v>0.48</v>
      </c>
    </row>
    <row r="13" spans="1:22">
      <c r="A13" s="39" t="s">
        <v>33</v>
      </c>
      <c r="B13" s="115">
        <f>'Bruil et al. (2025)'!J7-'Bruil et al. (2025)'!J8</f>
        <v>1199913</v>
      </c>
      <c r="C13" s="21">
        <f>'Bruil et al. (2025)'!M7-'Bruil et al. (2025)'!M8</f>
        <v>0.21199999999999999</v>
      </c>
      <c r="D13" s="63"/>
      <c r="E13" s="63"/>
      <c r="F13" s="21">
        <f>'Bruil et al. (2025)'!G12</f>
        <v>0.44</v>
      </c>
      <c r="G13" s="8"/>
      <c r="H13" s="23"/>
      <c r="I13" s="23"/>
      <c r="J13" s="23"/>
      <c r="K13" s="23"/>
      <c r="L13" s="158"/>
      <c r="M13" s="77"/>
      <c r="N13" s="77"/>
      <c r="P13" s="5"/>
      <c r="Q13" s="5"/>
      <c r="R13" s="5"/>
      <c r="S13" s="5"/>
      <c r="T13" s="114">
        <f t="shared" si="0"/>
        <v>0.44</v>
      </c>
      <c r="U13" s="61">
        <f>T13</f>
        <v>0.44</v>
      </c>
      <c r="V13" s="86"/>
    </row>
    <row r="14" spans="1:22">
      <c r="A14" s="39" t="s">
        <v>34</v>
      </c>
      <c r="B14" s="115">
        <f>'Bruil et al. (2025)'!J8-'Bruil et al. (2025)'!J9</f>
        <v>119991</v>
      </c>
      <c r="C14" s="21">
        <f>'Bruil et al. (2025)'!M8-'Bruil et al. (2025)'!M9</f>
        <v>7.9999999999999988E-2</v>
      </c>
      <c r="D14" s="63">
        <f>('Bruil et al. (2025)'!L8*'Bruil et al. (2025)'!J8-'Bruil et al. (2025)'!L9*'Bruil et al. (2025)'!J9)/('Bruil et al. (2025)'!J8-'Bruil et al. (2025)'!J9)</f>
        <v>395560.72587110702</v>
      </c>
      <c r="E14" s="63">
        <f>'Bruil et al. (2025)'!K8</f>
        <v>226162</v>
      </c>
      <c r="F14" s="21">
        <f>'Bruil et al. (2025)'!G13</f>
        <v>0.27</v>
      </c>
      <c r="G14" s="21">
        <f>'Bruil et al. (2025)'!C13</f>
        <v>0.12</v>
      </c>
      <c r="H14" s="97">
        <v>0.13</v>
      </c>
      <c r="I14" s="97">
        <f>WID!O15</f>
        <v>5.2374180986976215E-2</v>
      </c>
      <c r="J14" s="97">
        <f>WID!O46</f>
        <v>5.2430927660569226E-2</v>
      </c>
      <c r="K14" s="21">
        <f>WID!O$68</f>
        <v>1.0294291033525527E-2</v>
      </c>
      <c r="L14" s="159">
        <f>H14*G14</f>
        <v>1.5599999999999999E-2</v>
      </c>
      <c r="M14" s="166">
        <f>D14*(1+I14)^9</f>
        <v>626245.79966620111</v>
      </c>
      <c r="N14" s="166">
        <f>E14*(1+J14)^9</f>
        <v>358230.08450106235</v>
      </c>
      <c r="O14" s="90">
        <f>(N14/H14)/1000000</f>
        <v>2.7556160346235563</v>
      </c>
      <c r="P14" s="99">
        <f>M14/(M14-N14)</f>
        <v>2.3366010432647117</v>
      </c>
      <c r="Q14" s="99">
        <f>P14*(1-(N14/N15)^(P14-1))</f>
        <v>1.9986133128952874</v>
      </c>
      <c r="R14" s="100">
        <f>MIN(1,MAX((M$22^(-Q14+1)-O15^(-Q14+1))/(O14^(-Q14+1)-O15^(-Q14+1)),0))</f>
        <v>0</v>
      </c>
      <c r="S14" s="169">
        <f>MIN(1,MAX((M$22^(-Q14)-O15^(-Q14))/(O14^(-Q14)-O15^(-Q14)),0))*B14*(1+K14)^9</f>
        <v>0</v>
      </c>
      <c r="T14" s="114">
        <f t="shared" si="0"/>
        <v>0.27</v>
      </c>
      <c r="U14" s="61">
        <f>F14+MAX(0,M$23/H14-G14)*R14</f>
        <v>0.27</v>
      </c>
      <c r="V14" s="171">
        <f>(U14-T14)*M14*B14*(1+K14)^9/1000000</f>
        <v>0</v>
      </c>
    </row>
    <row r="15" spans="1:22">
      <c r="A15" s="39" t="s">
        <v>35</v>
      </c>
      <c r="B15" s="115">
        <f>'Bruil et al. (2025)'!J9-'Bruil et al. (2025)'!J10</f>
        <v>11999</v>
      </c>
      <c r="C15" s="21">
        <f>'Bruil et al. (2025)'!M9-'Bruil et al. (2025)'!M10</f>
        <v>3.5999999999999997E-2</v>
      </c>
      <c r="D15" s="63">
        <f>('Bruil et al. (2025)'!L9*'Bruil et al. (2025)'!J9-'Bruil et al. (2025)'!L10*'Bruil et al. (2025)'!J10)/('Bruil et al. (2025)'!J9-'Bruil et al. (2025)'!J10)</f>
        <v>1780094.097341445</v>
      </c>
      <c r="E15" s="63">
        <f>'Bruil et al. (2025)'!K9</f>
        <v>1023879</v>
      </c>
      <c r="F15" s="21">
        <f>'Bruil et al. (2025)'!G14</f>
        <v>0.215</v>
      </c>
      <c r="G15" s="21">
        <f>'Bruil et al. (2025)'!C14</f>
        <v>7.0000000000000007E-2</v>
      </c>
      <c r="H15" s="97">
        <v>0.12</v>
      </c>
      <c r="I15" s="97">
        <f>WID!O16</f>
        <v>4.4324266203125129E-2</v>
      </c>
      <c r="J15" s="97">
        <f>WID!O47</f>
        <v>4.5024033244391193E-2</v>
      </c>
      <c r="K15" s="21">
        <f>WID!O$68</f>
        <v>1.0294291033525527E-2</v>
      </c>
      <c r="L15" s="159">
        <f t="shared" ref="L15:L18" si="3">H15*G15</f>
        <v>8.4000000000000012E-3</v>
      </c>
      <c r="M15" s="166">
        <f t="shared" ref="M15:M18" si="4">D15*(1+I15)^9</f>
        <v>2630033.5321973893</v>
      </c>
      <c r="N15" s="166">
        <f t="shared" ref="N15:N18" si="5">E15*(1+J15)^9</f>
        <v>1521896.5796325987</v>
      </c>
      <c r="O15" s="90">
        <f t="shared" ref="O15:O18" si="6">(N15/H15)/1000000</f>
        <v>12.682471496938323</v>
      </c>
      <c r="P15" s="99">
        <f>M15/(M15-N15)</f>
        <v>2.3733831148849953</v>
      </c>
      <c r="Q15" s="99">
        <f t="shared" ref="Q15:Q17" si="7">P15*(1-(N15/N16)^(P15-1))</f>
        <v>2.0478618170217007</v>
      </c>
      <c r="R15" s="100">
        <f>MIN(1,MAX((M$22^(-Q15+1)-O16^(-Q15+1))/(O15^(-Q15+1)-O16^(-Q15+1)),0))</f>
        <v>0</v>
      </c>
      <c r="S15" s="169">
        <f t="shared" ref="S15:S17" si="8">MIN(1,MAX((M$22^(-Q15)-O16^(-Q15))/(O15^(-Q15)-O16^(-Q15)),0))*B15*(1+K15)^9</f>
        <v>0</v>
      </c>
      <c r="T15" s="114">
        <f t="shared" si="0"/>
        <v>0.215</v>
      </c>
      <c r="U15" s="61">
        <f>F15+MAX(0,M$23/H15-G15)*R15</f>
        <v>0.215</v>
      </c>
      <c r="V15" s="171">
        <f t="shared" ref="V15:V18" si="9">(U15-T15)*M15*B15*(1+K15)^9/1000000</f>
        <v>0</v>
      </c>
    </row>
    <row r="16" spans="1:22">
      <c r="A16" s="39" t="s">
        <v>14</v>
      </c>
      <c r="B16" s="115">
        <f>'Bruil et al. (2025)'!J10-'Bruil et al. (2025)'!J11</f>
        <v>1200</v>
      </c>
      <c r="C16" s="21">
        <f>'Bruil et al. (2025)'!M10-'Bruil et al. (2025)'!M11</f>
        <v>1.6E-2</v>
      </c>
      <c r="D16" s="63">
        <f>('Bruil et al. (2025)'!L10*'Bruil et al. (2025)'!J10-'Bruil et al. (2025)'!L11*'Bruil et al. (2025)'!J11)/('Bruil et al. (2025)'!J10-'Bruil et al. (2025)'!J11)</f>
        <v>7606596.0483333329</v>
      </c>
      <c r="E16" s="63">
        <f>'Bruil et al. (2025)'!K10</f>
        <v>4372218</v>
      </c>
      <c r="F16" s="21">
        <f>'Bruil et al. (2025)'!G15</f>
        <v>0.19</v>
      </c>
      <c r="G16" s="21">
        <f>'Bruil et al. (2025)'!C15</f>
        <v>4.4999999999999998E-2</v>
      </c>
      <c r="H16" s="97">
        <v>0.09</v>
      </c>
      <c r="I16" s="97">
        <f>WID!O17</f>
        <v>4.6466517123606277E-2</v>
      </c>
      <c r="J16" s="97">
        <f>WID!O48</f>
        <v>4.4427469339446857E-2</v>
      </c>
      <c r="K16" s="21">
        <f>WID!O$68</f>
        <v>1.0294291033525527E-2</v>
      </c>
      <c r="L16" s="159">
        <f t="shared" si="3"/>
        <v>4.0499999999999998E-3</v>
      </c>
      <c r="M16" s="166">
        <f t="shared" si="4"/>
        <v>11447703.904953305</v>
      </c>
      <c r="N16" s="166">
        <f t="shared" si="5"/>
        <v>6465563.4560158988</v>
      </c>
      <c r="O16" s="90">
        <f t="shared" si="6"/>
        <v>71.839593955732212</v>
      </c>
      <c r="P16" s="99">
        <f>M16/(M16-N16)</f>
        <v>2.2977481310055961</v>
      </c>
      <c r="Q16" s="99">
        <f t="shared" si="7"/>
        <v>1.930749442962638</v>
      </c>
      <c r="R16" s="100">
        <f>MIN(1,MAX((M$22^(-Q16+1)-O17^(-Q16+1))/(O16^(-Q16+1)-O17^(-Q16+1)),0))</f>
        <v>0.63787534404443236</v>
      </c>
      <c r="S16" s="169">
        <f t="shared" si="8"/>
        <v>651.47092205062825</v>
      </c>
      <c r="T16" s="114">
        <f t="shared" si="0"/>
        <v>0.19</v>
      </c>
      <c r="U16" s="61">
        <f>F16+MAX(0,M$23/H16-G16)*R16</f>
        <v>0.30304568597231885</v>
      </c>
      <c r="V16" s="171">
        <f t="shared" si="9"/>
        <v>1702.8826373652109</v>
      </c>
    </row>
    <row r="17" spans="1:22" s="86" customFormat="1">
      <c r="A17" s="39" t="s">
        <v>215</v>
      </c>
      <c r="B17" s="115">
        <f>'Bruil et al. (2025)'!J11-'Bruil et al. (2025)'!J12</f>
        <v>120</v>
      </c>
      <c r="C17" s="21">
        <f>'Bruil et al. (2025)'!M11-'Bruil et al. (2025)'!M12</f>
        <v>6.000000000000001E-3</v>
      </c>
      <c r="D17" s="63">
        <f>('Bruil et al. (2025)'!L11*'Bruil et al. (2025)'!J11-'Bruil et al. (2025)'!L12*'Bruil et al. (2025)'!J12)/('Bruil et al. (2025)'!J11-'Bruil et al. (2025)'!J12)</f>
        <v>32324144.550000001</v>
      </c>
      <c r="E17" s="63">
        <f>'Bruil et al. (2025)'!K11</f>
        <v>18828918</v>
      </c>
      <c r="F17" s="21">
        <f>'Bruil et al. (2025)'!G16</f>
        <v>0.185</v>
      </c>
      <c r="G17" s="21">
        <f>'Bruil et al. (2025)'!C16</f>
        <v>2.5000000000000001E-2</v>
      </c>
      <c r="H17" s="97">
        <v>0.09</v>
      </c>
      <c r="I17" s="97">
        <f>WID!O18</f>
        <v>3.6261401702052831E-2</v>
      </c>
      <c r="J17" s="97">
        <f>WID!O49</f>
        <v>3.9027330446761654E-2</v>
      </c>
      <c r="K17" s="21">
        <f>WID!O$68</f>
        <v>1.0294291033525527E-2</v>
      </c>
      <c r="L17" s="159">
        <f t="shared" si="3"/>
        <v>2.2499999999999998E-3</v>
      </c>
      <c r="M17" s="166">
        <f t="shared" si="4"/>
        <v>44540074.414910331</v>
      </c>
      <c r="N17" s="166">
        <f t="shared" si="5"/>
        <v>26574683.821830183</v>
      </c>
      <c r="O17" s="90">
        <f t="shared" si="6"/>
        <v>295.27426468700207</v>
      </c>
      <c r="P17" s="99">
        <f>M17/(M17-N17)</f>
        <v>2.4792154773448751</v>
      </c>
      <c r="Q17" s="99">
        <f t="shared" si="7"/>
        <v>2.2331689541972684</v>
      </c>
      <c r="R17" s="100">
        <f>MIN(1,MAX((M$22^(-Q17+1)-O18^(-Q17+1))/(O17^(-Q17+1)-O18^(-Q17+1)),0))</f>
        <v>1</v>
      </c>
      <c r="S17" s="169">
        <f t="shared" si="8"/>
        <v>131.58680314765448</v>
      </c>
      <c r="T17" s="114">
        <f t="shared" si="0"/>
        <v>0.185</v>
      </c>
      <c r="U17" s="61">
        <f>F17+MAX(0,M$23/H17-G17)*R17</f>
        <v>0.38222222222222224</v>
      </c>
      <c r="V17" s="171">
        <f t="shared" si="9"/>
        <v>1155.8969619427357</v>
      </c>
    </row>
    <row r="18" spans="1:22">
      <c r="A18" s="39" t="s">
        <v>217</v>
      </c>
      <c r="B18" s="115">
        <f>'Bruil et al. (2025)'!J12</f>
        <v>14</v>
      </c>
      <c r="C18" s="21">
        <f>'Bruil et al. (2025)'!M12</f>
        <v>3.0000000000000001E-3</v>
      </c>
      <c r="D18" s="79">
        <f>'Bruil et al. (2025)'!L12</f>
        <v>111562388</v>
      </c>
      <c r="E18" s="63">
        <f>'Bruil et al. (2025)'!K12</f>
        <v>89761129</v>
      </c>
      <c r="F18" s="21">
        <f>'Bruil et al. (2025)'!G17</f>
        <v>0.16</v>
      </c>
      <c r="G18" s="21">
        <f>'Bruil et al. (2025)'!C17</f>
        <v>5.0000000000000001E-3</v>
      </c>
      <c r="H18" s="97">
        <v>7.0000000000000007E-2</v>
      </c>
      <c r="I18" s="97">
        <f>WID!O18</f>
        <v>3.6261401702052831E-2</v>
      </c>
      <c r="J18" s="97">
        <f>WID!O49</f>
        <v>3.9027330446761654E-2</v>
      </c>
      <c r="K18" s="21">
        <f>WID!O$68</f>
        <v>1.0294291033525527E-2</v>
      </c>
      <c r="L18" s="159">
        <f t="shared" si="3"/>
        <v>3.5000000000000005E-4</v>
      </c>
      <c r="M18" s="166">
        <f t="shared" si="4"/>
        <v>153724008.24835128</v>
      </c>
      <c r="N18" s="166">
        <f t="shared" si="5"/>
        <v>126686707.25877675</v>
      </c>
      <c r="O18" s="90">
        <f t="shared" si="6"/>
        <v>1809.8101036968105</v>
      </c>
      <c r="P18" s="99">
        <f>M18/(M18-N18)</f>
        <v>5.6856269901950149</v>
      </c>
      <c r="Q18" s="99"/>
      <c r="R18" s="100">
        <f>IF(M$22&lt;=O18, 1, (O18/M$22)^(P18-1))</f>
        <v>1</v>
      </c>
      <c r="S18" s="170">
        <f>IF(M$22&lt;=O18, 1, (O18/M$22)^P18)*B18*(1+K18)^9</f>
        <v>15.351793700559689</v>
      </c>
      <c r="T18" s="114">
        <v>0.26</v>
      </c>
      <c r="U18" s="61">
        <f>T18+MAX(0,M$23/H18-G18)*R18</f>
        <v>0.5407142857142857</v>
      </c>
      <c r="V18" s="171">
        <f t="shared" si="9"/>
        <v>662.46866410754785</v>
      </c>
    </row>
    <row r="19" spans="1:22">
      <c r="A19" s="39"/>
      <c r="G19" s="35"/>
      <c r="H19" s="95"/>
      <c r="I19" s="95"/>
      <c r="J19" s="95"/>
      <c r="S19" s="101">
        <f>SUM(S14:S18)</f>
        <v>798.40951889884241</v>
      </c>
      <c r="V19" s="51">
        <f>SUM(V14:V18)</f>
        <v>3521.2482634154944</v>
      </c>
    </row>
    <row r="20" spans="1:22">
      <c r="B20" s="6" t="s">
        <v>110</v>
      </c>
      <c r="C20" s="6"/>
      <c r="D20" s="6"/>
      <c r="E20" s="6"/>
      <c r="F20" s="6"/>
      <c r="G20" s="6"/>
      <c r="H20" s="96"/>
      <c r="I20" s="96"/>
      <c r="J20" s="96"/>
    </row>
    <row r="21" spans="1:22">
      <c r="B21" t="s">
        <v>227</v>
      </c>
      <c r="G21" s="35"/>
      <c r="L21" s="196" t="s">
        <v>69</v>
      </c>
      <c r="M21" s="196"/>
      <c r="O21" s="3"/>
      <c r="P21" s="3"/>
      <c r="Q21" s="3"/>
      <c r="T21" s="196" t="s">
        <v>234</v>
      </c>
      <c r="U21" s="196"/>
      <c r="V21" s="196"/>
    </row>
    <row r="22" spans="1:22">
      <c r="B22" t="s">
        <v>226</v>
      </c>
      <c r="D22" s="32"/>
      <c r="E22" s="32"/>
      <c r="F22" s="32"/>
      <c r="G22" s="35"/>
      <c r="L22" s="39" t="s">
        <v>66</v>
      </c>
      <c r="M22" s="3">
        <v>100</v>
      </c>
      <c r="O22" s="10"/>
      <c r="P22" s="10"/>
      <c r="Q22" s="10"/>
      <c r="T22" s="122">
        <f>+V19</f>
        <v>3521.2482634154944</v>
      </c>
      <c r="U22" s="5">
        <v>0.02</v>
      </c>
      <c r="V22" s="5">
        <v>0.03</v>
      </c>
    </row>
    <row r="23" spans="1:22">
      <c r="D23" s="3"/>
      <c r="E23" s="3"/>
      <c r="F23" s="3"/>
      <c r="G23" s="35"/>
      <c r="L23" s="39" t="s">
        <v>67</v>
      </c>
      <c r="M23" s="10">
        <v>0.02</v>
      </c>
      <c r="T23" s="23">
        <v>100</v>
      </c>
      <c r="U23" s="67">
        <f t="dataTable" ref="U23:V24" dt2D="1" dtr="1" r1="M23" r2="M22"/>
        <v>3521.2482634154944</v>
      </c>
      <c r="V23" s="67">
        <v>5577.2300168038455</v>
      </c>
    </row>
    <row r="24" spans="1:22">
      <c r="D24" s="10"/>
      <c r="E24" s="10"/>
      <c r="F24" s="10"/>
      <c r="G24" s="33"/>
      <c r="T24" s="23">
        <v>1000</v>
      </c>
      <c r="U24" s="67">
        <v>811.66150448684255</v>
      </c>
      <c r="V24" s="67">
        <v>1232.8479891332852</v>
      </c>
    </row>
    <row r="27" spans="1:22">
      <c r="L27" s="44"/>
    </row>
    <row r="30" spans="1:22">
      <c r="L30" s="44"/>
    </row>
    <row r="31" spans="1:22">
      <c r="L31" s="44"/>
    </row>
    <row r="33" spans="12:12">
      <c r="L33" s="48"/>
    </row>
    <row r="34" spans="12:12">
      <c r="L34" s="44"/>
    </row>
  </sheetData>
  <mergeCells count="5">
    <mergeCell ref="L21:M21"/>
    <mergeCell ref="B2:G2"/>
    <mergeCell ref="H2:K2"/>
    <mergeCell ref="T21:V21"/>
    <mergeCell ref="L2:V2"/>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C97FE-0BF4-4C8A-932D-485C69046A3F}">
  <sheetPr codeName="Feuil4">
    <tabColor theme="9" tint="-0.249977111117893"/>
  </sheetPr>
  <dimension ref="A1:V37"/>
  <sheetViews>
    <sheetView zoomScaleNormal="100" workbookViewId="0">
      <selection activeCell="F27" sqref="F27"/>
    </sheetView>
  </sheetViews>
  <sheetFormatPr baseColWidth="10" defaultRowHeight="14.4"/>
  <cols>
    <col min="3" max="3" width="11.5546875" style="86"/>
    <col min="4" max="5" width="11.5546875" customWidth="1"/>
    <col min="9" max="10" width="11.5546875" style="86"/>
    <col min="12" max="12" width="11.5546875" style="86"/>
    <col min="15" max="17" width="11.5546875" style="86"/>
    <col min="19" max="19" width="11.5546875" style="86"/>
  </cols>
  <sheetData>
    <row r="1" spans="1:22" ht="15.6">
      <c r="L1" s="30"/>
    </row>
    <row r="2" spans="1:22">
      <c r="A2" s="29"/>
      <c r="B2" s="195" t="s">
        <v>147</v>
      </c>
      <c r="C2" s="195"/>
      <c r="D2" s="195"/>
      <c r="E2" s="195"/>
      <c r="F2" s="195"/>
      <c r="G2" s="195"/>
      <c r="H2" s="197" t="s">
        <v>143</v>
      </c>
      <c r="I2" s="197"/>
      <c r="J2" s="197"/>
      <c r="K2" s="197"/>
      <c r="L2" s="198" t="s">
        <v>148</v>
      </c>
      <c r="M2" s="198"/>
      <c r="N2" s="198"/>
      <c r="O2" s="198"/>
      <c r="P2" s="198"/>
      <c r="Q2" s="198"/>
      <c r="R2" s="198"/>
      <c r="S2" s="198"/>
      <c r="T2" s="198"/>
      <c r="U2" s="198"/>
      <c r="V2" s="198"/>
    </row>
    <row r="3" spans="1:22" ht="43.2">
      <c r="A3" s="40" t="s">
        <v>13</v>
      </c>
      <c r="B3" s="46" t="s">
        <v>197</v>
      </c>
      <c r="C3" s="46" t="s">
        <v>102</v>
      </c>
      <c r="D3" s="78" t="s">
        <v>23</v>
      </c>
      <c r="E3" s="78" t="s">
        <v>22</v>
      </c>
      <c r="F3" s="43" t="s">
        <v>63</v>
      </c>
      <c r="G3" s="43" t="s">
        <v>64</v>
      </c>
      <c r="H3" s="76" t="s">
        <v>68</v>
      </c>
      <c r="I3" s="168" t="s">
        <v>318</v>
      </c>
      <c r="J3" s="168" t="s">
        <v>319</v>
      </c>
      <c r="K3" s="168" t="s">
        <v>317</v>
      </c>
      <c r="L3" s="157" t="s">
        <v>320</v>
      </c>
      <c r="M3" s="78" t="s">
        <v>23</v>
      </c>
      <c r="N3" s="78" t="s">
        <v>22</v>
      </c>
      <c r="O3" s="106" t="s">
        <v>200</v>
      </c>
      <c r="P3" s="40" t="s">
        <v>198</v>
      </c>
      <c r="Q3" s="40" t="s">
        <v>199</v>
      </c>
      <c r="R3" s="40" t="s">
        <v>155</v>
      </c>
      <c r="S3" s="40" t="s">
        <v>196</v>
      </c>
      <c r="T3" s="106" t="s">
        <v>145</v>
      </c>
      <c r="U3" s="40" t="s">
        <v>144</v>
      </c>
      <c r="V3" s="106" t="s">
        <v>201</v>
      </c>
    </row>
    <row r="4" spans="1:22">
      <c r="A4" s="39" t="s">
        <v>24</v>
      </c>
      <c r="B4" s="103">
        <f>'Palomo et al. (2025)'!L6-'Palomo et al. (2025)'!L7</f>
        <v>15175031.799999997</v>
      </c>
      <c r="C4" s="25">
        <f>'Palomo et al. (2025)'!Q4-'Palomo et al. (2025)'!Q5</f>
        <v>1.5000000000000568E-3</v>
      </c>
      <c r="D4" s="4"/>
      <c r="E4" s="36"/>
      <c r="F4" s="36"/>
      <c r="G4" s="8"/>
      <c r="H4" s="23"/>
      <c r="I4" s="23"/>
      <c r="J4" s="23"/>
      <c r="K4" s="23"/>
      <c r="L4" s="158"/>
      <c r="M4" s="77"/>
      <c r="N4" s="77"/>
      <c r="P4" s="5"/>
      <c r="Q4" s="5"/>
      <c r="R4" s="5"/>
      <c r="S4" s="5"/>
      <c r="T4" s="65"/>
      <c r="U4" s="66"/>
      <c r="V4" s="86"/>
    </row>
    <row r="5" spans="1:22" s="86" customFormat="1">
      <c r="A5" s="39" t="s">
        <v>25</v>
      </c>
      <c r="B5" s="103">
        <f>'Palomo et al. (2025)'!L6-'Palomo et al. (2025)'!L7</f>
        <v>15175031.799999997</v>
      </c>
      <c r="C5" s="25">
        <f>('Palomo et al. (2025)'!Q5-'Palomo et al. (2025)'!Q6)*('Bach et al. (2025)'!Q5-'Bach et al. (2025)'!Q6)/('Bach et al. (2025)'!Q5-'Bach et al. (2025)'!Q7)</f>
        <v>1.2525373617271121E-2</v>
      </c>
      <c r="D5" s="4"/>
      <c r="E5" s="36"/>
      <c r="F5" s="36">
        <f>'Palomo et al. (2025)'!C5</f>
        <v>0.48921796000000001</v>
      </c>
      <c r="G5" s="8"/>
      <c r="H5" s="23"/>
      <c r="I5" s="23"/>
      <c r="J5" s="23"/>
      <c r="K5" s="23"/>
      <c r="L5" s="158"/>
      <c r="M5" s="77"/>
      <c r="N5" s="77"/>
      <c r="P5" s="5"/>
      <c r="Q5" s="5"/>
      <c r="R5" s="5"/>
      <c r="S5" s="5"/>
      <c r="T5" s="59">
        <f t="shared" ref="T5:T17" si="0">F5</f>
        <v>0.48921796000000001</v>
      </c>
      <c r="U5" s="58">
        <f>T5</f>
        <v>0.48921796000000001</v>
      </c>
    </row>
    <row r="6" spans="1:22" s="86" customFormat="1">
      <c r="A6" s="39" t="s">
        <v>26</v>
      </c>
      <c r="B6" s="103">
        <f>'Palomo et al. (2025)'!L6-'Palomo et al. (2025)'!L7</f>
        <v>15175031.799999997</v>
      </c>
      <c r="C6" s="25">
        <f>('Palomo et al. (2025)'!Q5-'Palomo et al. (2025)'!Q6)*('Bach et al. (2025)'!Q6-'Bach et al. (2025)'!Q7)/('Bach et al. (2025)'!Q5-'Bach et al. (2025)'!Q7)</f>
        <v>2.2128160057178999E-2</v>
      </c>
      <c r="D6" s="4"/>
      <c r="E6" s="36"/>
      <c r="F6" s="36">
        <f>'Palomo et al. (2025)'!C5</f>
        <v>0.48921796000000001</v>
      </c>
      <c r="G6" s="8"/>
      <c r="H6" s="23"/>
      <c r="I6" s="23"/>
      <c r="J6" s="23"/>
      <c r="K6" s="23"/>
      <c r="L6" s="158"/>
      <c r="M6" s="77"/>
      <c r="N6" s="77"/>
      <c r="P6" s="5"/>
      <c r="Q6" s="5"/>
      <c r="R6" s="5"/>
      <c r="S6" s="5"/>
      <c r="T6" s="59">
        <f t="shared" si="0"/>
        <v>0.48921796000000001</v>
      </c>
      <c r="U6" s="58">
        <f t="shared" ref="U6:U8" si="1">T6</f>
        <v>0.48921796000000001</v>
      </c>
    </row>
    <row r="7" spans="1:22" s="86" customFormat="1">
      <c r="A7" s="39" t="s">
        <v>27</v>
      </c>
      <c r="B7" s="103">
        <f>'Palomo et al. (2025)'!L6-'Palomo et al. (2025)'!L7</f>
        <v>15175031.799999997</v>
      </c>
      <c r="C7" s="25">
        <f>'Palomo et al. (2025)'!Q6-'Palomo et al. (2025)'!Q7</f>
        <v>3.4106318017713799E-2</v>
      </c>
      <c r="D7" s="4"/>
      <c r="E7" s="36"/>
      <c r="F7" s="36">
        <f>'Palomo et al. (2025)'!C6</f>
        <v>0.48097889999999999</v>
      </c>
      <c r="G7" s="8"/>
      <c r="H7" s="23"/>
      <c r="I7" s="23"/>
      <c r="J7" s="23"/>
      <c r="K7" s="23"/>
      <c r="L7" s="158"/>
      <c r="M7" s="77"/>
      <c r="N7" s="77"/>
      <c r="P7" s="5"/>
      <c r="Q7" s="5"/>
      <c r="R7" s="5"/>
      <c r="S7" s="5"/>
      <c r="T7" s="59">
        <f t="shared" si="0"/>
        <v>0.48097889999999999</v>
      </c>
      <c r="U7" s="58">
        <f t="shared" si="1"/>
        <v>0.48097889999999999</v>
      </c>
    </row>
    <row r="8" spans="1:22" s="86" customFormat="1">
      <c r="A8" s="39" t="s">
        <v>28</v>
      </c>
      <c r="B8" s="103">
        <f>'Palomo et al. (2025)'!L7-'Palomo et al. (2025)'!L8</f>
        <v>15175031.799999997</v>
      </c>
      <c r="C8" s="25">
        <f>'Palomo et al. (2025)'!Q7-'Palomo et al. (2025)'!Q8</f>
        <v>4.1189000285706823E-2</v>
      </c>
      <c r="D8" s="4"/>
      <c r="E8" s="36"/>
      <c r="F8" s="36">
        <f>'Palomo et al. (2025)'!C7</f>
        <v>0.44749116</v>
      </c>
      <c r="G8" s="8"/>
      <c r="H8" s="23"/>
      <c r="I8" s="23"/>
      <c r="J8" s="23"/>
      <c r="K8" s="23"/>
      <c r="L8" s="158"/>
      <c r="M8" s="77"/>
      <c r="N8" s="77"/>
      <c r="P8" s="5"/>
      <c r="Q8" s="5"/>
      <c r="R8" s="5"/>
      <c r="S8" s="5"/>
      <c r="T8" s="59">
        <f t="shared" si="0"/>
        <v>0.44749116</v>
      </c>
      <c r="U8" s="58">
        <f t="shared" si="1"/>
        <v>0.44749116</v>
      </c>
    </row>
    <row r="9" spans="1:22">
      <c r="A9" s="39" t="s">
        <v>29</v>
      </c>
      <c r="B9" s="103">
        <f>'Palomo et al. (2025)'!L8-'Palomo et al. (2025)'!L9</f>
        <v>15175031.799999997</v>
      </c>
      <c r="C9" s="25">
        <f>'Palomo et al. (2025)'!Q8-'Palomo et al. (2025)'!Q9</f>
        <v>4.9900362328251124E-2</v>
      </c>
      <c r="D9" s="4"/>
      <c r="E9" s="36"/>
      <c r="F9" s="36">
        <f>'Palomo et al. (2025)'!C8</f>
        <v>0.46344125000000003</v>
      </c>
      <c r="G9" s="8"/>
      <c r="H9" s="23"/>
      <c r="I9" s="23"/>
      <c r="J9" s="23"/>
      <c r="K9" s="23"/>
      <c r="L9" s="158"/>
      <c r="M9" s="77"/>
      <c r="N9" s="77"/>
      <c r="P9" s="5"/>
      <c r="Q9" s="5"/>
      <c r="R9" s="5"/>
      <c r="S9" s="5"/>
      <c r="T9" s="59">
        <f t="shared" si="0"/>
        <v>0.46344125000000003</v>
      </c>
      <c r="U9" s="58">
        <f>T9</f>
        <v>0.46344125000000003</v>
      </c>
      <c r="V9" s="86"/>
    </row>
    <row r="10" spans="1:22" s="86" customFormat="1">
      <c r="A10" s="39" t="s">
        <v>30</v>
      </c>
      <c r="B10" s="103">
        <f>'Palomo et al. (2025)'!L9-'Palomo et al. (2025)'!L10</f>
        <v>15175031.800000004</v>
      </c>
      <c r="C10" s="25">
        <f>'Palomo et al. (2025)'!Q9-'Palomo et al. (2025)'!Q10</f>
        <v>6.2538191215812611E-2</v>
      </c>
      <c r="D10" s="4"/>
      <c r="E10" s="36"/>
      <c r="F10" s="36">
        <f>'Palomo et al. (2025)'!C9</f>
        <v>0.46875623</v>
      </c>
      <c r="G10" s="8"/>
      <c r="H10" s="23"/>
      <c r="I10" s="23"/>
      <c r="J10" s="23"/>
      <c r="K10" s="23"/>
      <c r="L10" s="158"/>
      <c r="M10" s="77"/>
      <c r="N10" s="77"/>
      <c r="P10" s="5"/>
      <c r="Q10" s="5"/>
      <c r="R10" s="5"/>
      <c r="S10" s="5"/>
      <c r="T10" s="59">
        <f t="shared" si="0"/>
        <v>0.46875623</v>
      </c>
      <c r="U10" s="58">
        <f t="shared" ref="U10:U12" si="2">T10</f>
        <v>0.46875623</v>
      </c>
    </row>
    <row r="11" spans="1:22" s="86" customFormat="1">
      <c r="A11" s="39" t="s">
        <v>31</v>
      </c>
      <c r="B11" s="103">
        <f>'Palomo et al. (2025)'!L10-'Palomo et al. (2025)'!L11</f>
        <v>15687814.399999999</v>
      </c>
      <c r="C11" s="25">
        <f>'Palomo et al. (2025)'!Q10-'Palomo et al. (2025)'!Q11</f>
        <v>5.6502346876563192E-2</v>
      </c>
      <c r="D11" s="4"/>
      <c r="E11" s="36"/>
      <c r="F11" s="36">
        <f>'Palomo et al. (2025)'!C10</f>
        <v>0.4378783</v>
      </c>
      <c r="G11" s="8"/>
      <c r="H11" s="23"/>
      <c r="I11" s="23"/>
      <c r="J11" s="23"/>
      <c r="K11" s="23"/>
      <c r="L11" s="158"/>
      <c r="M11" s="77"/>
      <c r="N11" s="77"/>
      <c r="P11" s="5"/>
      <c r="Q11" s="5"/>
      <c r="R11" s="5"/>
      <c r="S11" s="5"/>
      <c r="T11" s="59">
        <f t="shared" si="0"/>
        <v>0.4378783</v>
      </c>
      <c r="U11" s="58">
        <f t="shared" si="2"/>
        <v>0.4378783</v>
      </c>
    </row>
    <row r="12" spans="1:22" s="86" customFormat="1">
      <c r="A12" s="39" t="s">
        <v>32</v>
      </c>
      <c r="B12" s="103">
        <f>'Palomo et al. (2025)'!L11-'Palomo et al. (2025)'!L12</f>
        <v>14918641</v>
      </c>
      <c r="C12" s="25">
        <f>'Palomo et al. (2025)'!Q11-'Palomo et al. (2025)'!Q12</f>
        <v>0.13112194988832682</v>
      </c>
      <c r="D12" s="4"/>
      <c r="E12" s="36"/>
      <c r="F12" s="36">
        <f>'Palomo et al. (2025)'!C11</f>
        <v>0.49957816999999999</v>
      </c>
      <c r="G12" s="8"/>
      <c r="H12" s="23"/>
      <c r="I12" s="23"/>
      <c r="J12" s="23"/>
      <c r="K12" s="23"/>
      <c r="L12" s="158"/>
      <c r="M12" s="77"/>
      <c r="N12" s="77"/>
      <c r="P12" s="5"/>
      <c r="Q12" s="5"/>
      <c r="R12" s="5"/>
      <c r="S12" s="5"/>
      <c r="T12" s="59">
        <f t="shared" si="0"/>
        <v>0.49957816999999999</v>
      </c>
      <c r="U12" s="58">
        <f t="shared" si="2"/>
        <v>0.49957816999999999</v>
      </c>
    </row>
    <row r="13" spans="1:22">
      <c r="A13" s="39" t="s">
        <v>33</v>
      </c>
      <c r="B13" s="103">
        <f>'Palomo et al. (2025)'!L12-'Palomo et al. (2025)'!L14</f>
        <v>13426770</v>
      </c>
      <c r="C13" s="25">
        <f>'Palomo et al. (2025)'!Q12-'Palomo et al. (2025)'!Q14</f>
        <v>0.33229162752041924</v>
      </c>
      <c r="D13" s="4"/>
      <c r="E13" s="36"/>
      <c r="F13" s="36">
        <f>('Palomo et al. (2025)'!C12*('Palomo et al. (2025)'!Q12-'Palomo et al. (2025)'!Q13)+'Palomo et al. (2025)'!C13*('Palomo et al. (2025)'!Q13-'Palomo et al. (2025)'!Q14))/('Palomo et al. (2025)'!Q12-'Palomo et al. (2025)'!Q14)</f>
        <v>0.45399179887375457</v>
      </c>
      <c r="G13" s="8"/>
      <c r="H13" s="23"/>
      <c r="I13" s="23"/>
      <c r="J13" s="23"/>
      <c r="K13" s="23"/>
      <c r="L13" s="158"/>
      <c r="M13" s="77"/>
      <c r="N13" s="77"/>
      <c r="P13" s="5"/>
      <c r="Q13" s="5"/>
      <c r="R13" s="5"/>
      <c r="S13" s="5"/>
      <c r="T13" s="59">
        <f t="shared" si="0"/>
        <v>0.45399179887375457</v>
      </c>
      <c r="U13" s="58">
        <f>T13</f>
        <v>0.45399179887375457</v>
      </c>
      <c r="V13" s="86"/>
    </row>
    <row r="14" spans="1:22">
      <c r="A14" s="39" t="s">
        <v>34</v>
      </c>
      <c r="B14" s="103">
        <f>'Palomo et al. (2025)'!L14-'Palomo et al. (2025)'!L15</f>
        <v>1342683</v>
      </c>
      <c r="C14" s="25">
        <f>'Palomo et al. (2025)'!Q14-'Palomo et al. (2025)'!Q15</f>
        <v>0.13925628779884913</v>
      </c>
      <c r="D14" s="4">
        <f>('Palomo et al. (2025)'!L14*'Palomo et al. (2025)'!P14-'Palomo et al. (2025)'!L15*'Palomo et al. (2025)'!P15)/('Palomo et al. (2025)'!L14-'Palomo et al. (2025)'!L15)</f>
        <v>150587.81362007168</v>
      </c>
      <c r="E14" s="4">
        <f>'Palomo et al. (2025)'!O14</f>
        <v>92934.491315136474</v>
      </c>
      <c r="F14" s="36">
        <f>'Palomo et al. (2025)'!C14</f>
        <v>0.30034454999999999</v>
      </c>
      <c r="G14" s="36">
        <f>'Palomo et al. (2025)'!F14 + 'Palomo et al. (2025)'!H14</f>
        <v>9.5415599999999989E-2</v>
      </c>
      <c r="H14" s="97">
        <v>0.13</v>
      </c>
      <c r="I14" s="97">
        <f>WID!O20</f>
        <v>0.11319339541956008</v>
      </c>
      <c r="J14" s="97">
        <f>WID!O51</f>
        <v>0.10086834754733487</v>
      </c>
      <c r="K14" s="21">
        <f>WID!O$69</f>
        <v>1.0179448705106342E-2</v>
      </c>
      <c r="L14" s="159">
        <f>H14*G14</f>
        <v>1.2404027999999999E-2</v>
      </c>
      <c r="M14" s="166">
        <f>D14*(1+I14)^6</f>
        <v>286558.67065793683</v>
      </c>
      <c r="N14" s="166">
        <f>E14*(1+J14)^6</f>
        <v>165420.46445256734</v>
      </c>
      <c r="O14" s="90">
        <f>(N14/H14)/1000000</f>
        <v>1.2724651111735947</v>
      </c>
      <c r="P14" s="99">
        <f>M14/(M14-N14)</f>
        <v>2.3655515434339907</v>
      </c>
      <c r="Q14" s="99">
        <f>P14*(1-(N14/N15)^(P14-1))</f>
        <v>1.9824500947203478</v>
      </c>
      <c r="R14" s="100">
        <f>MIN(1,MAX((M$22^(-Q14+1)-O15^(-Q14+1))/(O14^(-Q14+1)-O15^(-Q14+1)),0))</f>
        <v>0</v>
      </c>
      <c r="S14" s="169">
        <f>MIN(1,MAX((M$22^(-Q14)-O15^(-Q14))/(O14^(-Q14)-O15^(-Q14)),0))*B14*(1+K14)^6</f>
        <v>0</v>
      </c>
      <c r="T14" s="59">
        <f t="shared" si="0"/>
        <v>0.30034454999999999</v>
      </c>
      <c r="U14" s="58">
        <f>F14+MAX(0,M$23/H14-G14)*R14</f>
        <v>0.30034454999999999</v>
      </c>
      <c r="V14" s="171">
        <f>(U14-T14)*M14*B14*(1+K14)^6/1000000</f>
        <v>0</v>
      </c>
    </row>
    <row r="15" spans="1:22">
      <c r="A15" s="39" t="s">
        <v>35</v>
      </c>
      <c r="B15" s="103">
        <f>'Palomo et al. (2025)'!L15-'Palomo et al. (2025)'!L16</f>
        <v>134265</v>
      </c>
      <c r="C15" s="25">
        <f>'Palomo et al. (2025)'!Q15-'Palomo et al. (2025)'!Q16</f>
        <v>5.8412486421841631E-2</v>
      </c>
      <c r="D15" s="4">
        <f>('Palomo et al. (2025)'!L15*'Palomo et al. (2025)'!P15-'Palomo et al. (2025)'!L16*'Palomo et al. (2025)'!P16)/('Palomo et al. (2025)'!L15-'Palomo et al. (2025)'!L16)</f>
        <v>631671.64319220174</v>
      </c>
      <c r="E15" s="4">
        <f>'Palomo et al. (2025)'!O15</f>
        <v>352926.30272952851</v>
      </c>
      <c r="F15" s="36">
        <f>'Palomo et al. (2025)'!C15</f>
        <v>0.22436049</v>
      </c>
      <c r="G15" s="36">
        <f>'Palomo et al. (2025)'!F15 + 'Palomo et al. (2025)'!H15</f>
        <v>4.8548420000000009E-2</v>
      </c>
      <c r="H15" s="97">
        <v>0.12</v>
      </c>
      <c r="I15" s="97">
        <f>WID!O21</f>
        <v>7.1989851223473345E-2</v>
      </c>
      <c r="J15" s="97">
        <f>WID!O52</f>
        <v>0.1006430821501958</v>
      </c>
      <c r="K15" s="21">
        <f>WID!O$69</f>
        <v>1.0179448705106342E-2</v>
      </c>
      <c r="L15" s="159">
        <f t="shared" ref="L15:L18" si="3">H15*G15</f>
        <v>5.8258104000000008E-3</v>
      </c>
      <c r="M15" s="166">
        <f t="shared" ref="M15:N18" si="4">D15*(1+I15)^6</f>
        <v>958595.58399445878</v>
      </c>
      <c r="N15" s="166">
        <f t="shared" si="4"/>
        <v>627426.81561490637</v>
      </c>
      <c r="O15" s="90">
        <f t="shared" ref="O15:O18" si="5">(N15/H15)/1000000</f>
        <v>5.2285567967908868</v>
      </c>
      <c r="P15" s="99">
        <f>M15/(M15-N15)</f>
        <v>2.8945832926364985</v>
      </c>
      <c r="Q15" s="99">
        <f t="shared" ref="Q15:Q17" si="6">P15*(1-(N15/N16)^(P15-1))</f>
        <v>2.6814926293880612</v>
      </c>
      <c r="R15" s="100">
        <f>MIN(1,MAX((M$22^(-Q15+1)-O16^(-Q15+1))/(O15^(-Q15+1)-O16^(-Q15+1)),0))</f>
        <v>0</v>
      </c>
      <c r="S15" s="169">
        <f t="shared" ref="S15:S17" si="7">MIN(1,MAX((M$22^(-Q15)-O16^(-Q15))/(O15^(-Q15)-O16^(-Q15)),0))*B15*(1+K15)^6</f>
        <v>0</v>
      </c>
      <c r="T15" s="59">
        <f t="shared" si="0"/>
        <v>0.22436049</v>
      </c>
      <c r="U15" s="58">
        <f>F15+MAX(0,M$23/H15-G15)*R15</f>
        <v>0.22436049</v>
      </c>
      <c r="V15" s="171">
        <f t="shared" ref="V15:V18" si="8">(U15-T15)*M15*B15*(1+K15)^6/1000000</f>
        <v>0</v>
      </c>
    </row>
    <row r="16" spans="1:22">
      <c r="A16" s="39" t="s">
        <v>14</v>
      </c>
      <c r="B16" s="103">
        <f>'Palomo et al. (2025)'!L16-'Palomo et al. (2025)'!L17</f>
        <v>13430</v>
      </c>
      <c r="C16" s="25">
        <f>'Palomo et al. (2025)'!Q16-'Palomo et al. (2025)'!Q17</f>
        <v>3.0000272895523296E-2</v>
      </c>
      <c r="D16" s="4">
        <f>('Palomo et al. (2025)'!L16*'Palomo et al. (2025)'!P16-'Palomo et al. (2025)'!L17*'Palomo et al. (2025)'!P17)/('Palomo et al. (2025)'!L16-'Palomo et al. (2025)'!L17)</f>
        <v>3243378.9729670803</v>
      </c>
      <c r="E16" s="4">
        <f>'Palomo et al. (2025)'!O16</f>
        <v>1737934.2431761785</v>
      </c>
      <c r="F16" s="36">
        <f>'Palomo et al. (2025)'!C16</f>
        <v>0.21458076000000001</v>
      </c>
      <c r="G16" s="36">
        <f>'Palomo et al. (2025)'!F16 + 'Palomo et al. (2025)'!H16</f>
        <v>3.3692159999999985E-2</v>
      </c>
      <c r="H16" s="97">
        <v>0.09</v>
      </c>
      <c r="I16" s="97">
        <f>WID!O22</f>
        <v>5.4629983402930016E-2</v>
      </c>
      <c r="J16" s="97">
        <f>WID!O53</f>
        <v>6.1517047262411362E-2</v>
      </c>
      <c r="K16" s="21">
        <f>WID!O$69</f>
        <v>1.0179448705106342E-2</v>
      </c>
      <c r="L16" s="159">
        <f t="shared" si="3"/>
        <v>3.0322943999999985E-3</v>
      </c>
      <c r="M16" s="166">
        <f t="shared" si="4"/>
        <v>4462707.0862924997</v>
      </c>
      <c r="N16" s="166">
        <f t="shared" si="4"/>
        <v>2486538.4464730052</v>
      </c>
      <c r="O16" s="90">
        <f t="shared" si="5"/>
        <v>27.628204960811171</v>
      </c>
      <c r="P16" s="99">
        <f>M16/(M16-N16)</f>
        <v>2.2582622739626759</v>
      </c>
      <c r="Q16" s="99">
        <f t="shared" si="6"/>
        <v>1.9604510030295832</v>
      </c>
      <c r="R16" s="100">
        <f>MIN(1,MAX((M$22^(-Q16+1)-O17^(-Q16+1))/(O16^(-Q16+1)-O17^(-Q16+1)),0))</f>
        <v>0</v>
      </c>
      <c r="S16" s="169">
        <f t="shared" si="7"/>
        <v>0</v>
      </c>
      <c r="T16" s="59">
        <f t="shared" si="0"/>
        <v>0.21458076000000001</v>
      </c>
      <c r="U16" s="58">
        <f>F16+MAX(0,M$23/H16-G16)*R16</f>
        <v>0.21458076000000001</v>
      </c>
      <c r="V16" s="171">
        <f t="shared" si="8"/>
        <v>0</v>
      </c>
    </row>
    <row r="17" spans="1:22" s="86" customFormat="1">
      <c r="A17" s="39" t="s">
        <v>215</v>
      </c>
      <c r="B17" s="103">
        <f>'Palomo et al. (2025)'!L17-'Palomo et al. (2025)'!L18</f>
        <v>1340</v>
      </c>
      <c r="C17" s="25">
        <f>'Palomo et al. (2025)'!Q17-'Palomo et al. (2025)'!Q18</f>
        <v>1.5756807922822417E-2</v>
      </c>
      <c r="D17" s="80">
        <f>('Palomo et al. (2025)'!L17*'Palomo et al. (2025)'!P17-'Palomo et al. (2025)'!L18*'Palomo et al. (2025)'!P18)/('Palomo et al. (2025)'!L17-'Palomo et al. (2025)'!L18)</f>
        <v>17073082.810266282</v>
      </c>
      <c r="E17" s="4">
        <f>'Palomo et al. (2025)'!O17</f>
        <v>9018191.5632754341</v>
      </c>
      <c r="F17" s="36">
        <f>'Palomo et al. (2025)'!C17</f>
        <v>0.19708729</v>
      </c>
      <c r="G17" s="36">
        <f>'Palomo et al. (2025)'!F17 + 'Palomo et al. (2025)'!H17</f>
        <v>2.0460600000000009E-2</v>
      </c>
      <c r="H17" s="97">
        <v>0.09</v>
      </c>
      <c r="I17" s="97">
        <f>WID!O23</f>
        <v>5.5413565648924967E-2</v>
      </c>
      <c r="J17" s="97">
        <f>WID!O54</f>
        <v>5.5083278359018273E-2</v>
      </c>
      <c r="K17" s="21">
        <f>WID!O$69</f>
        <v>1.0179448705106342E-2</v>
      </c>
      <c r="L17" s="159">
        <f t="shared" si="3"/>
        <v>1.8414540000000008E-3</v>
      </c>
      <c r="M17" s="166">
        <f t="shared" si="4"/>
        <v>23596521.130758196</v>
      </c>
      <c r="N17" s="166">
        <f t="shared" si="4"/>
        <v>12440559.049507026</v>
      </c>
      <c r="O17" s="90">
        <f t="shared" si="5"/>
        <v>138.22843388341141</v>
      </c>
      <c r="P17" s="99">
        <f>M17/(M17-N17)</f>
        <v>2.1151489184796319</v>
      </c>
      <c r="Q17" s="99">
        <f t="shared" si="6"/>
        <v>1.7987790551722931</v>
      </c>
      <c r="R17" s="100">
        <f>MIN(1,MAX((M$22^(-Q17+1)-O18^(-Q17+1))/(O17^(-Q17+1)-O18^(-Q17+1)),0))</f>
        <v>0</v>
      </c>
      <c r="S17" s="169">
        <f t="shared" si="7"/>
        <v>0</v>
      </c>
      <c r="T17" s="59">
        <f t="shared" si="0"/>
        <v>0.19708729</v>
      </c>
      <c r="U17" s="58">
        <f>F17+MAX(0,M$23/H17-G17)*R17</f>
        <v>0.19708729</v>
      </c>
      <c r="V17" s="171">
        <f t="shared" si="8"/>
        <v>0</v>
      </c>
    </row>
    <row r="18" spans="1:22">
      <c r="A18" s="39" t="s">
        <v>217</v>
      </c>
      <c r="B18" s="103">
        <f>'Palomo et al. (2025)'!L18</f>
        <v>152</v>
      </c>
      <c r="C18" s="25">
        <f>'Palomo et al. (2025)'!Q18</f>
        <v>1.277081515371974E-2</v>
      </c>
      <c r="D18" s="120">
        <f>'Palomo et al. (2025)'!P18</f>
        <v>121989804.46650124</v>
      </c>
      <c r="E18" s="4">
        <f>'Palomo et al. (2025)'!O18</f>
        <v>49552063.523573197</v>
      </c>
      <c r="F18" s="36">
        <f>'Palomo et al. (2025)'!C17</f>
        <v>0.19708729</v>
      </c>
      <c r="G18" s="36">
        <f>'Palomo et al. (2025)'!F17 + 'Palomo et al. (2025)'!H17</f>
        <v>2.0460600000000009E-2</v>
      </c>
      <c r="H18" s="97">
        <v>0.08</v>
      </c>
      <c r="I18" s="97">
        <f>WID!O23</f>
        <v>5.5413565648924967E-2</v>
      </c>
      <c r="J18" s="97">
        <f>WID!O54</f>
        <v>5.5083278359018273E-2</v>
      </c>
      <c r="K18" s="21">
        <f>WID!O$69</f>
        <v>1.0179448705106342E-2</v>
      </c>
      <c r="L18" s="159">
        <f t="shared" si="3"/>
        <v>1.6368480000000009E-3</v>
      </c>
      <c r="M18" s="166">
        <f t="shared" si="4"/>
        <v>168600775.31516182</v>
      </c>
      <c r="N18" s="166">
        <f t="shared" si="4"/>
        <v>68356872.65729773</v>
      </c>
      <c r="O18" s="90">
        <f t="shared" si="5"/>
        <v>854.46090821622158</v>
      </c>
      <c r="P18" s="99">
        <f>M18/(M18-N18)</f>
        <v>1.6819055408347587</v>
      </c>
      <c r="Q18" s="99"/>
      <c r="R18" s="100">
        <f>IF(M$22&lt;=O18, 1, (O18/M$22)^(P18-1))</f>
        <v>0.8982982045205401</v>
      </c>
      <c r="S18" s="170">
        <f>IF(M$22&lt;=O18, 1, (O18/M$22)^P18)*B18*(1+K18)^6</f>
        <v>123.97881795550306</v>
      </c>
      <c r="T18" s="59">
        <v>0.26</v>
      </c>
      <c r="U18" s="58">
        <f>T18+MAX(0,M$23/H18-G18)*R18</f>
        <v>0.46619483088672209</v>
      </c>
      <c r="V18" s="171">
        <f t="shared" si="8"/>
        <v>5615.2888652676138</v>
      </c>
    </row>
    <row r="19" spans="1:22">
      <c r="A19" s="39"/>
      <c r="G19" s="35"/>
      <c r="H19" s="95"/>
      <c r="I19" s="95"/>
      <c r="J19" s="95"/>
      <c r="S19" s="101">
        <f>SUM(S14:S18)</f>
        <v>123.97881795550306</v>
      </c>
      <c r="V19" s="51">
        <f>SUM(V14:V18)</f>
        <v>5615.2888652676138</v>
      </c>
    </row>
    <row r="20" spans="1:22">
      <c r="B20" s="6" t="s">
        <v>108</v>
      </c>
      <c r="C20" s="6"/>
      <c r="D20" s="6"/>
      <c r="E20" s="6"/>
      <c r="F20" s="6"/>
      <c r="G20" s="6"/>
      <c r="H20" s="96"/>
      <c r="I20" s="96"/>
      <c r="J20" s="96"/>
      <c r="O20" s="10"/>
      <c r="P20" s="10"/>
      <c r="Q20" s="10"/>
      <c r="S20" s="101"/>
    </row>
    <row r="21" spans="1:22">
      <c r="G21" s="35"/>
      <c r="L21" s="196" t="s">
        <v>69</v>
      </c>
      <c r="M21" s="196"/>
      <c r="O21" s="3"/>
      <c r="P21" s="3"/>
      <c r="Q21" s="3"/>
      <c r="R21" s="32"/>
      <c r="S21" s="101"/>
      <c r="T21" s="196" t="s">
        <v>234</v>
      </c>
      <c r="U21" s="196"/>
      <c r="V21" s="196"/>
    </row>
    <row r="22" spans="1:22">
      <c r="D22" s="32"/>
      <c r="E22" s="32"/>
      <c r="F22" s="32"/>
      <c r="G22" s="35"/>
      <c r="L22" s="39" t="s">
        <v>66</v>
      </c>
      <c r="M22" s="3">
        <v>1000</v>
      </c>
      <c r="O22" s="10"/>
      <c r="P22" s="10"/>
      <c r="Q22" s="10"/>
      <c r="R22" s="3"/>
      <c r="S22" s="101"/>
      <c r="T22" s="122">
        <f>V19</f>
        <v>5615.2888652676138</v>
      </c>
      <c r="U22" s="5">
        <v>0.02</v>
      </c>
      <c r="V22" s="5">
        <v>0.03</v>
      </c>
    </row>
    <row r="23" spans="1:22">
      <c r="D23" s="3"/>
      <c r="E23" s="39"/>
      <c r="F23" s="3"/>
      <c r="G23" s="35"/>
      <c r="L23" s="39" t="s">
        <v>67</v>
      </c>
      <c r="M23" s="10">
        <v>0.02</v>
      </c>
      <c r="R23" s="10"/>
      <c r="S23" s="102"/>
      <c r="T23" s="23">
        <v>100</v>
      </c>
      <c r="U23" s="67">
        <f t="dataTable" ref="U23:V24" dt2D="1" dtr="1" r1="M23" r2="M22"/>
        <v>14215.581540248775</v>
      </c>
      <c r="V23" s="67">
        <v>22051.62639032743</v>
      </c>
    </row>
    <row r="24" spans="1:22">
      <c r="D24" s="10"/>
      <c r="E24" s="39"/>
      <c r="F24" s="10"/>
      <c r="G24" s="33"/>
      <c r="T24" s="23">
        <v>1000</v>
      </c>
      <c r="U24" s="67">
        <v>5615.2888652676138</v>
      </c>
      <c r="V24" s="67">
        <v>8673.2000916559864</v>
      </c>
    </row>
    <row r="25" spans="1:22">
      <c r="E25" s="39"/>
    </row>
    <row r="26" spans="1:22">
      <c r="E26" s="39"/>
    </row>
    <row r="27" spans="1:22">
      <c r="E27" s="39"/>
      <c r="L27" s="44"/>
    </row>
    <row r="28" spans="1:22">
      <c r="E28" s="39"/>
    </row>
    <row r="29" spans="1:22">
      <c r="E29" s="39"/>
    </row>
    <row r="30" spans="1:22">
      <c r="E30" s="39"/>
      <c r="L30" s="44"/>
    </row>
    <row r="31" spans="1:22">
      <c r="E31" s="39"/>
      <c r="L31" s="44"/>
    </row>
    <row r="32" spans="1:22">
      <c r="E32" s="39"/>
    </row>
    <row r="33" spans="5:12">
      <c r="E33" s="39"/>
      <c r="L33" s="48"/>
    </row>
    <row r="34" spans="5:12">
      <c r="E34" s="39"/>
      <c r="L34" s="44"/>
    </row>
    <row r="35" spans="5:12">
      <c r="E35" s="39"/>
    </row>
    <row r="36" spans="5:12">
      <c r="E36" s="39"/>
    </row>
    <row r="37" spans="5:12">
      <c r="E37" s="39"/>
    </row>
  </sheetData>
  <mergeCells count="5">
    <mergeCell ref="L21:M21"/>
    <mergeCell ref="B2:G2"/>
    <mergeCell ref="H2:K2"/>
    <mergeCell ref="T21:V21"/>
    <mergeCell ref="L2:V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F64CC-809B-4D95-9F4D-62327EF5483E}">
  <sheetPr>
    <tabColor rgb="FF800080"/>
  </sheetPr>
  <dimension ref="A1:V34"/>
  <sheetViews>
    <sheetView zoomScaleNormal="100" workbookViewId="0">
      <selection activeCell="I31" sqref="I31"/>
    </sheetView>
  </sheetViews>
  <sheetFormatPr baseColWidth="10" defaultRowHeight="14.4"/>
  <cols>
    <col min="3" max="3" width="11.5546875" style="86" customWidth="1"/>
    <col min="4" max="5" width="11.5546875" customWidth="1"/>
    <col min="9" max="10" width="11.5546875" style="86"/>
    <col min="12" max="12" width="11.5546875" style="86" customWidth="1"/>
    <col min="15" max="17" width="11.5546875" style="86"/>
    <col min="19" max="19" width="11.5546875" style="86"/>
  </cols>
  <sheetData>
    <row r="1" spans="1:22" ht="15.6">
      <c r="L1" s="30"/>
    </row>
    <row r="2" spans="1:22">
      <c r="A2" s="29"/>
      <c r="B2" s="195" t="s">
        <v>152</v>
      </c>
      <c r="C2" s="195"/>
      <c r="D2" s="195"/>
      <c r="E2" s="195"/>
      <c r="F2" s="195"/>
      <c r="G2" s="195"/>
      <c r="H2" s="197" t="s">
        <v>143</v>
      </c>
      <c r="I2" s="197"/>
      <c r="J2" s="197"/>
      <c r="K2" s="197"/>
      <c r="L2" s="198" t="s">
        <v>149</v>
      </c>
      <c r="M2" s="198"/>
      <c r="N2" s="198"/>
      <c r="O2" s="198"/>
      <c r="P2" s="198"/>
      <c r="Q2" s="198"/>
      <c r="R2" s="198"/>
      <c r="S2" s="198"/>
      <c r="T2" s="198"/>
      <c r="U2" s="198"/>
      <c r="V2" s="198"/>
    </row>
    <row r="3" spans="1:22" ht="43.2">
      <c r="A3" s="40" t="s">
        <v>13</v>
      </c>
      <c r="B3" s="46" t="s">
        <v>197</v>
      </c>
      <c r="C3" s="46" t="s">
        <v>102</v>
      </c>
      <c r="D3" s="78" t="s">
        <v>23</v>
      </c>
      <c r="E3" s="78" t="s">
        <v>22</v>
      </c>
      <c r="F3" s="43" t="s">
        <v>63</v>
      </c>
      <c r="G3" s="43" t="s">
        <v>64</v>
      </c>
      <c r="H3" s="76" t="s">
        <v>68</v>
      </c>
      <c r="I3" s="168" t="s">
        <v>318</v>
      </c>
      <c r="J3" s="168" t="s">
        <v>319</v>
      </c>
      <c r="K3" s="168" t="s">
        <v>317</v>
      </c>
      <c r="L3" s="157" t="s">
        <v>320</v>
      </c>
      <c r="M3" s="78" t="s">
        <v>23</v>
      </c>
      <c r="N3" s="78" t="s">
        <v>22</v>
      </c>
      <c r="O3" s="106" t="s">
        <v>200</v>
      </c>
      <c r="P3" s="40" t="s">
        <v>198</v>
      </c>
      <c r="Q3" s="40" t="s">
        <v>199</v>
      </c>
      <c r="R3" s="40" t="s">
        <v>155</v>
      </c>
      <c r="S3" s="40" t="s">
        <v>196</v>
      </c>
      <c r="T3" s="106" t="s">
        <v>145</v>
      </c>
      <c r="U3" s="40" t="s">
        <v>144</v>
      </c>
      <c r="V3" s="106" t="s">
        <v>201</v>
      </c>
    </row>
    <row r="4" spans="1:22">
      <c r="A4" s="39" t="s">
        <v>24</v>
      </c>
      <c r="B4" s="90">
        <f>'Guzzardi et al. (2024)'!C23</f>
        <v>5069945</v>
      </c>
      <c r="C4" s="64">
        <f>('Guzzardi et al. (2024)'!F$21+'Guzzardi et al. (2024)'!F$22)*('Bach et al. (2025)'!Q4-'Bach et al. (2025)'!Q5)/('Bach et al. (2025)'!Q$4-'Bach et al. (2025)'!Q$9)</f>
        <v>1.4365452408931214E-3</v>
      </c>
      <c r="D4" s="36"/>
      <c r="E4" s="36"/>
      <c r="G4" s="8"/>
      <c r="H4" s="23"/>
      <c r="I4" s="23"/>
      <c r="J4" s="23"/>
      <c r="K4" s="23"/>
      <c r="L4" s="158"/>
      <c r="M4" s="77"/>
      <c r="N4" s="77"/>
      <c r="P4" s="5"/>
      <c r="Q4" s="5"/>
      <c r="R4" s="5"/>
      <c r="S4" s="5"/>
      <c r="T4" s="65"/>
      <c r="U4" s="66"/>
      <c r="V4" s="86"/>
    </row>
    <row r="5" spans="1:22" s="86" customFormat="1">
      <c r="A5" s="39" t="s">
        <v>25</v>
      </c>
      <c r="B5" s="90">
        <f>'Guzzardi et al. (2024)'!C23</f>
        <v>5069945</v>
      </c>
      <c r="C5" s="64">
        <f>('Guzzardi et al. (2024)'!F$21+'Guzzardi et al. (2024)'!F$22)*('Bach et al. (2025)'!Q5-'Bach et al. (2025)'!Q6)/('Bach et al. (2025)'!Q$4-'Bach et al. (2025)'!Q$9)</f>
        <v>2.0111633372502886E-2</v>
      </c>
      <c r="D5" s="36"/>
      <c r="E5" s="36"/>
      <c r="F5" s="36">
        <f>'Guzzardi et al. (2024)'!C4</f>
        <v>0.42</v>
      </c>
      <c r="G5" s="8"/>
      <c r="H5" s="23"/>
      <c r="I5" s="23"/>
      <c r="J5" s="23"/>
      <c r="K5" s="23"/>
      <c r="L5" s="158"/>
      <c r="M5" s="77"/>
      <c r="N5" s="77"/>
      <c r="P5" s="5"/>
      <c r="Q5" s="5"/>
      <c r="R5" s="5"/>
      <c r="S5" s="5"/>
      <c r="T5" s="72">
        <f t="shared" ref="T5:T17" si="0">F5</f>
        <v>0.42</v>
      </c>
      <c r="U5" s="71">
        <f>T5</f>
        <v>0.42</v>
      </c>
    </row>
    <row r="6" spans="1:22" s="86" customFormat="1">
      <c r="A6" s="39" t="s">
        <v>26</v>
      </c>
      <c r="B6" s="90">
        <f>'Guzzardi et al. (2024)'!C23</f>
        <v>5069945</v>
      </c>
      <c r="C6" s="64">
        <f>('Guzzardi et al. (2024)'!F$21+'Guzzardi et al. (2024)'!F$22)*('Bach et al. (2025)'!Q6-'Bach et al. (2025)'!Q7)/('Bach et al. (2025)'!Q$4-'Bach et al. (2025)'!Q$9)</f>
        <v>3.5530552291421796E-2</v>
      </c>
      <c r="D6" s="36"/>
      <c r="E6" s="36"/>
      <c r="F6" s="36">
        <f>'Guzzardi et al. (2024)'!C4</f>
        <v>0.42</v>
      </c>
      <c r="G6" s="8"/>
      <c r="H6" s="23"/>
      <c r="I6" s="23"/>
      <c r="J6" s="23"/>
      <c r="K6" s="23"/>
      <c r="L6" s="158"/>
      <c r="M6" s="77"/>
      <c r="N6" s="77"/>
      <c r="P6" s="5"/>
      <c r="Q6" s="5"/>
      <c r="R6" s="5"/>
      <c r="S6" s="5"/>
      <c r="T6" s="72">
        <f t="shared" si="0"/>
        <v>0.42</v>
      </c>
      <c r="U6" s="71">
        <f t="shared" ref="U6:U8" si="1">T6</f>
        <v>0.42</v>
      </c>
    </row>
    <row r="7" spans="1:22" s="86" customFormat="1">
      <c r="A7" s="39" t="s">
        <v>27</v>
      </c>
      <c r="B7" s="90">
        <f>'Guzzardi et al. (2024)'!C23</f>
        <v>5069945</v>
      </c>
      <c r="C7" s="64">
        <f>('Guzzardi et al. (2024)'!F$21+'Guzzardi et al. (2024)'!F$22)*('Bach et al. (2025)'!Q7-'Bach et al. (2025)'!Q8)/('Bach et al. (2025)'!Q$4-'Bach et al. (2025)'!Q$9)</f>
        <v>4.6544065804935371E-2</v>
      </c>
      <c r="D7" s="36"/>
      <c r="E7" s="36"/>
      <c r="F7" s="36">
        <f>'Guzzardi et al. (2024)'!C4</f>
        <v>0.42</v>
      </c>
      <c r="G7" s="8"/>
      <c r="H7" s="23"/>
      <c r="I7" s="23"/>
      <c r="J7" s="23"/>
      <c r="K7" s="23"/>
      <c r="L7" s="158"/>
      <c r="M7" s="77"/>
      <c r="N7" s="77"/>
      <c r="P7" s="5"/>
      <c r="Q7" s="5"/>
      <c r="R7" s="5"/>
      <c r="S7" s="5"/>
      <c r="T7" s="72">
        <f t="shared" si="0"/>
        <v>0.42</v>
      </c>
      <c r="U7" s="71">
        <f t="shared" si="1"/>
        <v>0.42</v>
      </c>
    </row>
    <row r="8" spans="1:22" s="86" customFormat="1">
      <c r="A8" s="39" t="s">
        <v>28</v>
      </c>
      <c r="B8" s="90">
        <f>'Guzzardi et al. (2024)'!C23</f>
        <v>5069945</v>
      </c>
      <c r="C8" s="64">
        <f>('Guzzardi et al. (2024)'!F$21+'Guzzardi et al. (2024)'!F$22)*('Bach et al. (2025)'!Q8-'Bach et al. (2025)'!Q9)/('Bach et al. (2025)'!Q$4-'Bach et al. (2025)'!Q$9)</f>
        <v>5.9377203290246802E-2</v>
      </c>
      <c r="D8" s="143"/>
      <c r="E8" s="36"/>
      <c r="F8" s="36">
        <f>'Guzzardi et al. (2024)'!C4</f>
        <v>0.42</v>
      </c>
      <c r="G8" s="8"/>
      <c r="H8" s="23"/>
      <c r="I8" s="23"/>
      <c r="J8" s="23"/>
      <c r="K8" s="23"/>
      <c r="L8" s="158"/>
      <c r="M8" s="77"/>
      <c r="N8" s="77"/>
      <c r="P8" s="5"/>
      <c r="Q8" s="5"/>
      <c r="R8" s="5"/>
      <c r="S8" s="5"/>
      <c r="T8" s="72">
        <f t="shared" si="0"/>
        <v>0.42</v>
      </c>
      <c r="U8" s="71">
        <f t="shared" si="1"/>
        <v>0.42</v>
      </c>
    </row>
    <row r="9" spans="1:22">
      <c r="A9" s="39" t="s">
        <v>29</v>
      </c>
      <c r="B9" s="90">
        <f>'Guzzardi et al. (2024)'!C23</f>
        <v>5069945</v>
      </c>
      <c r="C9" s="64">
        <f>'Guzzardi et al. (2024)'!F23</f>
        <v>8.5999999999999993E-2</v>
      </c>
      <c r="D9" s="143"/>
      <c r="E9" s="36"/>
      <c r="F9" s="36">
        <f>'Guzzardi et al. (2024)'!C5</f>
        <v>0.43</v>
      </c>
      <c r="G9" s="8"/>
      <c r="H9" s="23"/>
      <c r="I9" s="23"/>
      <c r="J9" s="23"/>
      <c r="K9" s="23"/>
      <c r="L9" s="158"/>
      <c r="M9" s="77"/>
      <c r="N9" s="77"/>
      <c r="P9" s="5"/>
      <c r="Q9" s="5"/>
      <c r="R9" s="5"/>
      <c r="S9" s="5"/>
      <c r="T9" s="72">
        <f t="shared" si="0"/>
        <v>0.43</v>
      </c>
      <c r="U9" s="71">
        <f>T9</f>
        <v>0.43</v>
      </c>
      <c r="V9" s="86"/>
    </row>
    <row r="10" spans="1:22" s="86" customFormat="1">
      <c r="A10" s="39" t="s">
        <v>30</v>
      </c>
      <c r="B10" s="90">
        <f>'Guzzardi et al. (2024)'!C23</f>
        <v>5069945</v>
      </c>
      <c r="C10" s="64">
        <f>'Guzzardi et al. (2024)'!F24</f>
        <v>0.105</v>
      </c>
      <c r="D10" s="143"/>
      <c r="E10" s="36"/>
      <c r="F10" s="36">
        <f>'Guzzardi et al. (2024)'!C6</f>
        <v>0.45</v>
      </c>
      <c r="G10" s="8"/>
      <c r="H10" s="23"/>
      <c r="I10" s="23"/>
      <c r="J10" s="23"/>
      <c r="K10" s="23"/>
      <c r="L10" s="158"/>
      <c r="M10" s="77"/>
      <c r="N10" s="77"/>
      <c r="P10" s="5"/>
      <c r="Q10" s="5"/>
      <c r="R10" s="5"/>
      <c r="S10" s="5"/>
      <c r="T10" s="72">
        <f t="shared" si="0"/>
        <v>0.45</v>
      </c>
      <c r="U10" s="71">
        <f t="shared" ref="U10:U12" si="2">T10</f>
        <v>0.45</v>
      </c>
    </row>
    <row r="11" spans="1:22" s="86" customFormat="1">
      <c r="A11" s="39" t="s">
        <v>31</v>
      </c>
      <c r="B11" s="90">
        <f>'Guzzardi et al. (2024)'!C23</f>
        <v>5069945</v>
      </c>
      <c r="C11" s="64">
        <f>'Guzzardi et al. (2024)'!F25</f>
        <v>0.129</v>
      </c>
      <c r="D11" s="143"/>
      <c r="E11" s="36"/>
      <c r="F11" s="36">
        <f>'Guzzardi et al. (2024)'!C7</f>
        <v>0.47</v>
      </c>
      <c r="G11" s="8"/>
      <c r="H11" s="23"/>
      <c r="I11" s="23"/>
      <c r="J11" s="23"/>
      <c r="K11" s="23"/>
      <c r="L11" s="158"/>
      <c r="M11" s="77"/>
      <c r="N11" s="77"/>
      <c r="P11" s="5"/>
      <c r="Q11" s="5"/>
      <c r="R11" s="5"/>
      <c r="S11" s="5"/>
      <c r="T11" s="72">
        <f t="shared" si="0"/>
        <v>0.47</v>
      </c>
      <c r="U11" s="71">
        <f t="shared" si="2"/>
        <v>0.47</v>
      </c>
    </row>
    <row r="12" spans="1:22" s="86" customFormat="1">
      <c r="A12" s="39" t="s">
        <v>32</v>
      </c>
      <c r="B12" s="90">
        <f>'Guzzardi et al. (2024)'!C23</f>
        <v>5069945</v>
      </c>
      <c r="C12" s="64">
        <f>'Guzzardi et al. (2024)'!F26</f>
        <v>0.16400000000000001</v>
      </c>
      <c r="D12" s="4"/>
      <c r="E12" s="36"/>
      <c r="F12" s="36">
        <f>'Guzzardi et al. (2024)'!C8</f>
        <v>0.49</v>
      </c>
      <c r="G12" s="8"/>
      <c r="H12" s="23"/>
      <c r="I12" s="23"/>
      <c r="J12" s="23"/>
      <c r="K12" s="23"/>
      <c r="L12" s="158"/>
      <c r="M12" s="77"/>
      <c r="N12" s="77"/>
      <c r="P12" s="5"/>
      <c r="Q12" s="5"/>
      <c r="R12" s="5"/>
      <c r="S12" s="5"/>
      <c r="T12" s="72">
        <f t="shared" si="0"/>
        <v>0.49</v>
      </c>
      <c r="U12" s="71">
        <f t="shared" si="2"/>
        <v>0.49</v>
      </c>
    </row>
    <row r="13" spans="1:22">
      <c r="A13" s="39" t="s">
        <v>33</v>
      </c>
      <c r="B13" s="90">
        <f>'Guzzardi et al. (2024)'!C27-'Guzzardi et al. (2024)'!C29</f>
        <v>4562951</v>
      </c>
      <c r="C13" s="64">
        <f>'Guzzardi et al. (2024)'!F27 -'Guzzardi et al. (2024)'!F29</f>
        <v>0.252</v>
      </c>
      <c r="D13" s="4"/>
      <c r="E13" s="36"/>
      <c r="F13" s="36">
        <f>'Guzzardi et al. (2024)'!C9</f>
        <v>0.5</v>
      </c>
      <c r="G13" s="8"/>
      <c r="H13" s="23"/>
      <c r="I13" s="23"/>
      <c r="J13" s="23"/>
      <c r="K13" s="23"/>
      <c r="L13" s="158"/>
      <c r="M13" s="77"/>
      <c r="N13" s="77"/>
      <c r="P13" s="5"/>
      <c r="Q13" s="5"/>
      <c r="R13" s="5"/>
      <c r="S13" s="5"/>
      <c r="T13" s="72">
        <f t="shared" si="0"/>
        <v>0.5</v>
      </c>
      <c r="U13" s="71">
        <f>T13</f>
        <v>0.5</v>
      </c>
      <c r="V13" s="86"/>
    </row>
    <row r="14" spans="1:22">
      <c r="A14" s="39" t="s">
        <v>34</v>
      </c>
      <c r="B14" s="90">
        <f>'Guzzardi et al. (2024)'!C29-'Guzzardi et al. (2024)'!C30</f>
        <v>456295</v>
      </c>
      <c r="C14" s="64">
        <f>'Guzzardi et al. (2024)'!F29 -'Guzzardi et al. (2024)'!F30</f>
        <v>7.2999999999999995E-2</v>
      </c>
      <c r="D14" s="4">
        <f>('Guzzardi et al. (2024)'!C29*'Guzzardi et al. (2024)'!E29-'Guzzardi et al. (2024)'!C30*'Guzzardi et al. (2024)'!E30)/('Guzzardi et al. (2024)'!C29-'Guzzardi et al. (2024)'!C30)</f>
        <v>212338.52869086884</v>
      </c>
      <c r="E14" s="4">
        <f>'Guzzardi et al. (2024)'!D29</f>
        <v>147733</v>
      </c>
      <c r="F14" s="36">
        <f>'Guzzardi et al. (2024)'!C10</f>
        <v>0.43</v>
      </c>
      <c r="G14" s="36">
        <f>'Guzzardi et al. (2024)'!D10</f>
        <v>0.25</v>
      </c>
      <c r="H14" s="97">
        <v>0.13</v>
      </c>
      <c r="I14" s="97">
        <f>WID!O25</f>
        <v>3.9529547284178124E-2</v>
      </c>
      <c r="J14" s="97">
        <f>WID!O56</f>
        <v>3.5268474725843157E-2</v>
      </c>
      <c r="K14" s="21">
        <f>WID!O$70</f>
        <v>-8.4327136323003593E-5</v>
      </c>
      <c r="L14" s="159">
        <f>H14*G14</f>
        <v>3.2500000000000001E-2</v>
      </c>
      <c r="M14" s="166">
        <f>D14*(1+I14)^10</f>
        <v>312893.96363504999</v>
      </c>
      <c r="N14" s="166">
        <f>E14*(1+J14)^10</f>
        <v>208933.17833310034</v>
      </c>
      <c r="O14" s="90">
        <f>(N14/H14)/1000000</f>
        <v>1.6071782948700026</v>
      </c>
      <c r="P14" s="99">
        <f>M14/(M14-N14)</f>
        <v>3.0097306664841255</v>
      </c>
      <c r="Q14" s="99">
        <f>P14*(1-(N14/N15)^(P14-1))</f>
        <v>2.6588891870642852</v>
      </c>
      <c r="R14" s="100">
        <f>MIN(1,MAX((M$22^(-Q14+1)-O15^(-Q14+1))/(O14^(-Q14+1)-O15^(-Q14+1)),0))</f>
        <v>0</v>
      </c>
      <c r="S14" s="169">
        <f>MIN(1,MAX((M$22^(-Q14)-O15^(-Q14))/(O14^(-Q14)-O15^(-Q14)),0))*B14*(1+K14)^6</f>
        <v>0</v>
      </c>
      <c r="T14" s="72">
        <f t="shared" si="0"/>
        <v>0.43</v>
      </c>
      <c r="U14" s="71">
        <f>F14+MAX(0,M$23/H14-G14)*R14</f>
        <v>0.43</v>
      </c>
      <c r="V14" s="171">
        <f>(U14-T14)*M14*B14*(1+K14)^10/1000000</f>
        <v>0</v>
      </c>
    </row>
    <row r="15" spans="1:22">
      <c r="A15" s="39" t="s">
        <v>35</v>
      </c>
      <c r="B15" s="90">
        <f>'Guzzardi et al. (2024)'!C30*0.9</f>
        <v>45629.1</v>
      </c>
      <c r="C15" s="64">
        <f>(B15*D15)/(D$14*B$14/C$14)</f>
        <v>2.8490773861392697E-2</v>
      </c>
      <c r="D15" s="4">
        <f>('Guzzardi et al. (2024)'!E30*SUM(B15:B18)-B16*D16-B17*D17-B18*D18)/B15</f>
        <v>828731.7858350646</v>
      </c>
      <c r="E15" s="4">
        <f>D15/'Guzzardi et al. (2024)'!G$30</f>
        <v>351780.29656579491</v>
      </c>
      <c r="F15" s="36">
        <f>'Guzzardi et al. (2024)'!C11</f>
        <v>0.36</v>
      </c>
      <c r="G15" s="36">
        <f>'Guzzardi et al. (2024)'!D11</f>
        <v>0.15</v>
      </c>
      <c r="H15" s="97">
        <v>0.12</v>
      </c>
      <c r="I15" s="97">
        <f>WID!O26</f>
        <v>6.0947378546226894E-2</v>
      </c>
      <c r="J15" s="97">
        <f>WID!O57</f>
        <v>5.6375828337975165E-2</v>
      </c>
      <c r="K15" s="21">
        <f>WID!O$70</f>
        <v>-8.4327136323003593E-5</v>
      </c>
      <c r="L15" s="159">
        <f t="shared" ref="L15:L18" si="3">H15*G15</f>
        <v>1.7999999999999999E-2</v>
      </c>
      <c r="M15" s="166">
        <f t="shared" ref="M15:M18" si="4">D15*(1+I15)^10</f>
        <v>1497450.368416836</v>
      </c>
      <c r="N15" s="166">
        <f t="shared" ref="N15:N18" si="5">E15*(1+J15)^10</f>
        <v>608773.95417348668</v>
      </c>
      <c r="O15" s="90">
        <f t="shared" ref="O15:O18" si="6">(N15/H15)/1000000</f>
        <v>5.0731162847790561</v>
      </c>
      <c r="P15" s="99">
        <f>M15/(M15-N15)</f>
        <v>1.6850344449524053</v>
      </c>
      <c r="Q15" s="99">
        <f t="shared" ref="Q15:Q17" si="7">P15*(1-(N15/N16)^(P15-1))</f>
        <v>1.0456869094901009</v>
      </c>
      <c r="R15" s="100">
        <f>MIN(1,MAX((M$22^(-Q15+1)-O16^(-Q15+1))/(O15^(-Q15+1)-O16^(-Q15+1)),0))</f>
        <v>0</v>
      </c>
      <c r="S15" s="169">
        <f t="shared" ref="S15:S17" si="8">MIN(1,MAX((M$22^(-Q15)-O16^(-Q15))/(O15^(-Q15)-O16^(-Q15)),0))*B15*(1+K15)^6</f>
        <v>0</v>
      </c>
      <c r="T15" s="72">
        <f t="shared" si="0"/>
        <v>0.36</v>
      </c>
      <c r="U15" s="71">
        <f>F15+MAX(0,M$23/H15-G15)*R15</f>
        <v>0.36</v>
      </c>
      <c r="V15" s="171">
        <f t="shared" ref="V15:V18" si="9">(U15-T15)*M15*B15*(1+K15)^10/1000000</f>
        <v>0</v>
      </c>
    </row>
    <row r="16" spans="1:22">
      <c r="A16" s="39" t="s">
        <v>14</v>
      </c>
      <c r="B16" s="90">
        <f>'Guzzardi et al. (2024)'!C30*0.09</f>
        <v>4562.91</v>
      </c>
      <c r="C16" s="64">
        <f t="shared" ref="C16:C18" si="10">(B16*D16)/(D$14*B$14/C$14)</f>
        <v>1.073893619039298E-2</v>
      </c>
      <c r="D16" s="4">
        <f>(('Guzzardi et al. (2024)'!E30*(SUM(B15:B18)/SUM(B16:B18))^(('Guzzardi et al. (2024)'!G30-1)/'Guzzardi et al. (2024)'!G30))*SUM(B16:B18)-B17*D17-B18*D18)/B16</f>
        <v>3123712.1919994564</v>
      </c>
      <c r="E16" s="4">
        <f>D16/'Guzzardi et al. (2024)'!G$30</f>
        <v>1325954.2110847125</v>
      </c>
      <c r="F16" s="36">
        <f>'Guzzardi et al. (2024)'!C11 - (1/3)*('Guzzardi et al. (2024)'!C11 - 'Guzzardi et al. (2024)'!C12)</f>
        <v>0.3</v>
      </c>
      <c r="G16" s="36">
        <f>F16*('Guzzardi et al. (2024)'!D$11/'Guzzardi et al. (2024)'!C$11)</f>
        <v>0.125</v>
      </c>
      <c r="H16" s="97">
        <v>0.09</v>
      </c>
      <c r="I16" s="97">
        <f>WID!O27</f>
        <v>6.8384531363919754E-2</v>
      </c>
      <c r="J16" s="97">
        <f>WID!O58</f>
        <v>6.5689780550636678E-2</v>
      </c>
      <c r="K16" s="21">
        <f>WID!O$70</f>
        <v>-8.4327136323003593E-5</v>
      </c>
      <c r="L16" s="159">
        <f t="shared" si="3"/>
        <v>1.125E-2</v>
      </c>
      <c r="M16" s="166">
        <f t="shared" si="4"/>
        <v>6052669.0375498645</v>
      </c>
      <c r="N16" s="166">
        <f t="shared" si="5"/>
        <v>2505166.169090745</v>
      </c>
      <c r="O16" s="90">
        <f t="shared" si="6"/>
        <v>27.835179656563835</v>
      </c>
      <c r="P16" s="99">
        <f>M16/(M16-N16)</f>
        <v>1.7061773484002509</v>
      </c>
      <c r="Q16" s="99">
        <f t="shared" si="7"/>
        <v>1.0990740246261153</v>
      </c>
      <c r="R16" s="100">
        <f>MIN(1,MAX((M$22^(-Q16+1)-O17^(-Q16+1))/(O16^(-Q16+1)-O17^(-Q16+1)),0))</f>
        <v>0</v>
      </c>
      <c r="S16" s="169">
        <f t="shared" si="8"/>
        <v>0</v>
      </c>
      <c r="T16" s="72">
        <f t="shared" si="0"/>
        <v>0.3</v>
      </c>
      <c r="U16" s="71">
        <f>F16+MAX(0,M$23/H16-G16)*R16</f>
        <v>0.3</v>
      </c>
      <c r="V16" s="171">
        <f t="shared" si="9"/>
        <v>0</v>
      </c>
    </row>
    <row r="17" spans="1:22" s="86" customFormat="1">
      <c r="A17" s="39" t="s">
        <v>215</v>
      </c>
      <c r="B17" s="90">
        <f>'Guzzardi et al. (2024)'!C30*0.009</f>
        <v>456.29099999999994</v>
      </c>
      <c r="C17" s="64">
        <f t="shared" si="10"/>
        <v>4.1122131681874743E-3</v>
      </c>
      <c r="D17" s="4">
        <f>(('Guzzardi et al. (2024)'!E30*(SUM(B15:B18)/SUM(B17:B18))^(('Guzzardi et al. (2024)'!G30-1)/'Guzzardi et al. (2024)'!G30))*(B17+B18)-B18*D18)/B17</f>
        <v>11961492.443785403</v>
      </c>
      <c r="E17" s="4">
        <f>D17/'Guzzardi et al. (2024)'!G$30</f>
        <v>5077417.6050269054</v>
      </c>
      <c r="F17" s="36">
        <f>'Guzzardi et al. (2024)'!C11 - (2/3)*('Guzzardi et al. (2024)'!C11 - 'Guzzardi et al. (2024)'!C12)</f>
        <v>0.24</v>
      </c>
      <c r="G17" s="36">
        <f>F17*('Guzzardi et al. (2024)'!D$11/'Guzzardi et al. (2024)'!C$11)</f>
        <v>0.1</v>
      </c>
      <c r="H17" s="97">
        <v>0.09</v>
      </c>
      <c r="I17" s="97">
        <f>WID!O28</f>
        <v>8.1211273676845996E-2</v>
      </c>
      <c r="J17" s="97">
        <f>WID!O59</f>
        <v>7.8617252423557993E-2</v>
      </c>
      <c r="K17" s="21">
        <f>WID!O$70</f>
        <v>-8.4327136323003593E-5</v>
      </c>
      <c r="L17" s="159">
        <f t="shared" si="3"/>
        <v>8.9999999999999993E-3</v>
      </c>
      <c r="M17" s="166">
        <f t="shared" si="4"/>
        <v>26115059.772545647</v>
      </c>
      <c r="N17" s="166">
        <f t="shared" si="5"/>
        <v>10822223.77519024</v>
      </c>
      <c r="O17" s="90">
        <f t="shared" si="6"/>
        <v>120.24693083544712</v>
      </c>
      <c r="P17" s="99">
        <f>M17/(M17-N17)</f>
        <v>1.7076662417004753</v>
      </c>
      <c r="Q17" s="99">
        <f t="shared" si="7"/>
        <v>1.2067747065751648</v>
      </c>
      <c r="R17" s="100">
        <f>MIN(1,MAX((M$22^(-Q17+1)-O18^(-Q17+1))/(O17^(-Q17+1)-O18^(-Q17+1)),0))</f>
        <v>0.13297991414970389</v>
      </c>
      <c r="S17" s="169">
        <f t="shared" si="8"/>
        <v>14.914092015224341</v>
      </c>
      <c r="T17" s="72">
        <f t="shared" si="0"/>
        <v>0.24</v>
      </c>
      <c r="U17" s="71">
        <f>F17+MAX(0,M$23/H17-G17)*R17</f>
        <v>0.25625310061829715</v>
      </c>
      <c r="V17" s="171">
        <f t="shared" si="9"/>
        <v>193.50977471762062</v>
      </c>
    </row>
    <row r="18" spans="1:22">
      <c r="A18" s="39" t="s">
        <v>217</v>
      </c>
      <c r="B18" s="90">
        <f>'Guzzardi et al. (2024)'!C30*0.0009</f>
        <v>45.629100000000001</v>
      </c>
      <c r="C18" s="64">
        <f t="shared" si="10"/>
        <v>2.3268805754054268E-3</v>
      </c>
      <c r="D18" s="145">
        <f>'Guzzardi et al. (2024)'!E30*(SUM(B15:B18)/B18)^(('Guzzardi et al. (2024)'!G30-1)/'Guzzardi et al. (2024)'!G30)</f>
        <v>67683661.527135476</v>
      </c>
      <c r="E18" s="4">
        <f>D18/'Guzzardi et al. (2024)'!G$30</f>
        <v>28730379.27546471</v>
      </c>
      <c r="F18" s="36">
        <f>'Guzzardi et al. (2024)'!C12</f>
        <v>0.18</v>
      </c>
      <c r="G18" s="36">
        <f>F18*('Guzzardi et al. (2024)'!D$11/'Guzzardi et al. (2024)'!C$11)</f>
        <v>7.4999999999999997E-2</v>
      </c>
      <c r="H18" s="97">
        <v>0.04</v>
      </c>
      <c r="I18" s="97">
        <f>WID!O28</f>
        <v>8.1211273676845996E-2</v>
      </c>
      <c r="J18" s="97">
        <f>WID!O59</f>
        <v>7.8617252423557993E-2</v>
      </c>
      <c r="K18" s="21">
        <f>WID!O$70</f>
        <v>-8.4327136323003593E-5</v>
      </c>
      <c r="L18" s="159">
        <f t="shared" si="3"/>
        <v>3.0000000000000001E-3</v>
      </c>
      <c r="M18" s="166">
        <f t="shared" si="4"/>
        <v>147771097.52088076</v>
      </c>
      <c r="N18" s="166">
        <f t="shared" si="5"/>
        <v>61237152.003674813</v>
      </c>
      <c r="O18" s="90">
        <f t="shared" si="6"/>
        <v>1530.9288000918702</v>
      </c>
      <c r="P18" s="99">
        <f>M18/(M18-N18)</f>
        <v>1.7076662417004751</v>
      </c>
      <c r="Q18" s="99"/>
      <c r="R18" s="100">
        <f>IF(M$22&lt;=O18, 1, (O18/M$22)^(P18-1))</f>
        <v>1</v>
      </c>
      <c r="S18" s="170">
        <f>IF(M$22&lt;=O18, 1, (O18/M$22)^P18)*B18*(1+K18)^6</f>
        <v>45.606018238509897</v>
      </c>
      <c r="T18" s="72">
        <v>0.26</v>
      </c>
      <c r="U18" s="71">
        <f>T18+MAX(0,M$23/H18-G18)*R18</f>
        <v>0.68500000000000005</v>
      </c>
      <c r="V18" s="171">
        <f t="shared" si="9"/>
        <v>2863.2158408716618</v>
      </c>
    </row>
    <row r="19" spans="1:22">
      <c r="A19" s="39"/>
      <c r="G19" s="35"/>
      <c r="H19" s="95"/>
      <c r="I19" s="95"/>
      <c r="J19" s="95"/>
      <c r="S19" s="50">
        <f>SUM(S14:S18)</f>
        <v>60.520110253734238</v>
      </c>
      <c r="V19" s="73">
        <f>SUM(V14:V18)</f>
        <v>3056.7256155892824</v>
      </c>
    </row>
    <row r="20" spans="1:22">
      <c r="B20" s="6" t="s">
        <v>273</v>
      </c>
      <c r="C20" s="6"/>
      <c r="D20" s="6"/>
      <c r="E20" s="6"/>
      <c r="F20" s="6"/>
      <c r="G20" s="6"/>
      <c r="H20" s="96"/>
      <c r="I20" s="96"/>
      <c r="J20" s="96"/>
      <c r="O20" s="10"/>
      <c r="P20" s="10"/>
      <c r="Q20" s="10"/>
    </row>
    <row r="21" spans="1:22">
      <c r="B21" t="s">
        <v>153</v>
      </c>
      <c r="G21" s="35"/>
      <c r="L21" s="196" t="s">
        <v>69</v>
      </c>
      <c r="M21" s="196"/>
      <c r="O21" s="144"/>
      <c r="P21" s="144"/>
      <c r="Q21" s="144"/>
      <c r="T21" s="196" t="s">
        <v>234</v>
      </c>
      <c r="U21" s="196"/>
      <c r="V21" s="196"/>
    </row>
    <row r="22" spans="1:22">
      <c r="B22" t="s">
        <v>230</v>
      </c>
      <c r="G22" s="35"/>
      <c r="L22" s="39" t="s">
        <v>66</v>
      </c>
      <c r="M22" s="3">
        <v>1000</v>
      </c>
      <c r="O22" s="10"/>
      <c r="P22" s="10"/>
      <c r="Q22" s="10"/>
      <c r="T22" s="122">
        <f>V19</f>
        <v>3056.7256155892824</v>
      </c>
      <c r="U22" s="5">
        <v>0.02</v>
      </c>
      <c r="V22" s="5">
        <v>0.03</v>
      </c>
    </row>
    <row r="23" spans="1:22">
      <c r="B23" t="s">
        <v>339</v>
      </c>
      <c r="G23" s="35"/>
      <c r="L23" s="39" t="s">
        <v>67</v>
      </c>
      <c r="M23" s="10">
        <v>0.02</v>
      </c>
      <c r="T23" s="23">
        <v>100</v>
      </c>
      <c r="U23" s="67">
        <f t="dataTable" ref="U23:V24" dt2D="1" dtr="1" r1="M23" r2="M22"/>
        <v>4635.4190737847648</v>
      </c>
      <c r="V23" s="67">
        <v>8004.8667501602922</v>
      </c>
    </row>
    <row r="24" spans="1:22">
      <c r="B24" t="s">
        <v>231</v>
      </c>
      <c r="G24" s="33"/>
      <c r="T24" s="23">
        <v>1000</v>
      </c>
      <c r="U24" s="67">
        <v>3056.7256155892824</v>
      </c>
      <c r="V24" s="67">
        <v>4916.8882048827481</v>
      </c>
    </row>
    <row r="25" spans="1:22">
      <c r="B25" t="s">
        <v>275</v>
      </c>
    </row>
    <row r="26" spans="1:22">
      <c r="B26" s="86" t="s">
        <v>274</v>
      </c>
      <c r="D26" s="32"/>
      <c r="E26" s="32"/>
      <c r="F26" s="32"/>
    </row>
    <row r="27" spans="1:22">
      <c r="D27" s="3"/>
      <c r="E27" s="3"/>
      <c r="F27" s="3"/>
      <c r="L27" s="44"/>
    </row>
    <row r="28" spans="1:22">
      <c r="D28" s="10"/>
      <c r="E28" s="10"/>
      <c r="F28" s="10"/>
    </row>
    <row r="30" spans="1:22">
      <c r="L30" s="44"/>
    </row>
    <row r="31" spans="1:22">
      <c r="L31" s="44"/>
    </row>
    <row r="33" spans="12:12">
      <c r="L33" s="48"/>
    </row>
    <row r="34" spans="12:12">
      <c r="L34" s="44"/>
    </row>
  </sheetData>
  <mergeCells count="5">
    <mergeCell ref="T21:V21"/>
    <mergeCell ref="L2:V2"/>
    <mergeCell ref="B2:G2"/>
    <mergeCell ref="L21:M21"/>
    <mergeCell ref="H2:K2"/>
  </mergeCell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5D3ED-C60F-427A-BF5B-E75CB6E9B42E}">
  <sheetPr>
    <tabColor theme="2" tint="-0.499984740745262"/>
  </sheetPr>
  <dimension ref="B2:I28"/>
  <sheetViews>
    <sheetView zoomScale="115" zoomScaleNormal="115" workbookViewId="0">
      <selection activeCell="I17" sqref="I17"/>
    </sheetView>
  </sheetViews>
  <sheetFormatPr baseColWidth="10" defaultRowHeight="14.4"/>
  <cols>
    <col min="2" max="6" width="18.5546875" customWidth="1"/>
  </cols>
  <sheetData>
    <row r="2" spans="2:9" ht="33" customHeight="1">
      <c r="B2" s="200" t="s">
        <v>300</v>
      </c>
      <c r="C2" s="200"/>
      <c r="D2" s="200"/>
      <c r="E2" s="200"/>
      <c r="F2" s="200"/>
    </row>
    <row r="3" spans="2:9" ht="19.2" customHeight="1">
      <c r="B3" s="29"/>
      <c r="C3" s="203" t="s">
        <v>235</v>
      </c>
      <c r="D3" s="203"/>
      <c r="E3" s="203" t="s">
        <v>236</v>
      </c>
      <c r="F3" s="203"/>
      <c r="G3" s="201" t="s">
        <v>301</v>
      </c>
      <c r="H3" s="201"/>
    </row>
    <row r="4" spans="2:9" ht="19.2" customHeight="1">
      <c r="B4" s="29"/>
      <c r="C4" s="40" t="s">
        <v>237</v>
      </c>
      <c r="D4" s="40" t="s">
        <v>217</v>
      </c>
      <c r="E4" s="40" t="s">
        <v>237</v>
      </c>
      <c r="F4" s="40" t="s">
        <v>217</v>
      </c>
      <c r="G4" s="31"/>
    </row>
    <row r="5" spans="2:9" ht="19.2" customHeight="1">
      <c r="B5" s="205" t="s">
        <v>238</v>
      </c>
      <c r="C5" s="126">
        <f>USA!U23/1000</f>
        <v>92.048541281656696</v>
      </c>
      <c r="D5" s="126">
        <f>USA!U24/1000</f>
        <v>92.048541281656696</v>
      </c>
      <c r="E5" s="126">
        <f>USA!V23/1000</f>
        <v>235.89547342885351</v>
      </c>
      <c r="F5" s="126">
        <f>USA!V24/1000</f>
        <v>188.05090950371596</v>
      </c>
      <c r="G5" s="173" t="s">
        <v>329</v>
      </c>
      <c r="H5" s="146"/>
      <c r="I5" s="146"/>
    </row>
    <row r="6" spans="2:9" ht="19.2" customHeight="1">
      <c r="B6" s="205"/>
      <c r="C6" s="127">
        <v>145.6</v>
      </c>
      <c r="D6" s="127">
        <v>94</v>
      </c>
      <c r="E6" s="127">
        <v>288.3</v>
      </c>
      <c r="F6" s="127">
        <v>161.1</v>
      </c>
      <c r="G6" s="174"/>
      <c r="I6" s="146"/>
    </row>
    <row r="7" spans="2:9" ht="19.2" customHeight="1">
      <c r="B7" s="204" t="s">
        <v>163</v>
      </c>
      <c r="C7" s="126">
        <f>FRA!U23/1000</f>
        <v>15.968257142662747</v>
      </c>
      <c r="D7" s="126">
        <f>FRA!U24/1000</f>
        <v>12.574903435261854</v>
      </c>
      <c r="E7" s="126">
        <f>FRA!V23/1000</f>
        <v>26.182806920688986</v>
      </c>
      <c r="F7" s="126">
        <f>FRA!V24/1000</f>
        <v>19.511333302631236</v>
      </c>
      <c r="G7" s="174" t="s">
        <v>333</v>
      </c>
      <c r="I7" s="146"/>
    </row>
    <row r="8" spans="2:9" ht="19.2" customHeight="1">
      <c r="B8" s="204"/>
      <c r="C8" s="127">
        <v>19.399999999999999</v>
      </c>
      <c r="D8" s="127">
        <v>12.5</v>
      </c>
      <c r="E8" s="127">
        <v>34.799999999999997</v>
      </c>
      <c r="F8" s="127">
        <v>19.5</v>
      </c>
      <c r="G8" s="174"/>
      <c r="I8" s="146"/>
    </row>
    <row r="9" spans="2:9" ht="19.2" customHeight="1">
      <c r="B9" s="206" t="s">
        <v>164</v>
      </c>
      <c r="C9" s="126">
        <f>NDL!U23/1000</f>
        <v>3.5212482634154942</v>
      </c>
      <c r="D9" s="126">
        <f>NDL!U24/1000</f>
        <v>0.8116615044868426</v>
      </c>
      <c r="E9" s="126">
        <f>NDL!V23/1000</f>
        <v>5.5772300168038456</v>
      </c>
      <c r="F9" s="126">
        <f>NDL!V24/1000</f>
        <v>1.2328479891332851</v>
      </c>
      <c r="G9" s="174" t="s">
        <v>332</v>
      </c>
      <c r="I9" s="146"/>
    </row>
    <row r="10" spans="2:9" ht="19.2" customHeight="1">
      <c r="B10" s="206"/>
      <c r="C10" s="127">
        <v>1</v>
      </c>
      <c r="D10" s="127">
        <v>0.6</v>
      </c>
      <c r="E10" s="127">
        <v>1.7</v>
      </c>
      <c r="F10" s="127">
        <v>1</v>
      </c>
      <c r="G10" s="173"/>
      <c r="I10" s="146"/>
    </row>
    <row r="11" spans="2:9" ht="19.2" customHeight="1">
      <c r="B11" s="207" t="s">
        <v>161</v>
      </c>
      <c r="C11" s="126">
        <f>ITA!U23/1000</f>
        <v>4.6354190737847647</v>
      </c>
      <c r="D11" s="126">
        <f>ITA!U24/1000</f>
        <v>3.0567256155892824</v>
      </c>
      <c r="E11" s="126">
        <f>ITA!V23/1000</f>
        <v>8.0048667501602928</v>
      </c>
      <c r="F11" s="126">
        <f>ITA!V24/1000</f>
        <v>4.9168882048827482</v>
      </c>
      <c r="G11" s="174" t="s">
        <v>331</v>
      </c>
      <c r="I11" s="146"/>
    </row>
    <row r="12" spans="2:9" ht="19.2" customHeight="1">
      <c r="B12" s="207"/>
      <c r="C12" s="127">
        <v>8.3000000000000007</v>
      </c>
      <c r="D12" s="127">
        <v>5.4</v>
      </c>
      <c r="E12" s="127">
        <v>15</v>
      </c>
      <c r="F12" s="127">
        <v>8.4</v>
      </c>
      <c r="G12" s="174"/>
      <c r="I12" s="146"/>
    </row>
    <row r="13" spans="2:9" ht="19.2" customHeight="1">
      <c r="B13" s="202" t="s">
        <v>162</v>
      </c>
      <c r="C13" s="126">
        <f>BRA!U23/1000</f>
        <v>14.215581540248776</v>
      </c>
      <c r="D13" s="126">
        <f>BRA!U24/1000</f>
        <v>5.6152888652676136</v>
      </c>
      <c r="E13" s="126">
        <f>BRA!V23/1000</f>
        <v>22.051626390327431</v>
      </c>
      <c r="F13" s="126">
        <f>BRA!V24/1000</f>
        <v>8.6732000916559873</v>
      </c>
      <c r="G13" s="174" t="s">
        <v>330</v>
      </c>
      <c r="I13" s="146"/>
    </row>
    <row r="14" spans="2:9" ht="19.2" customHeight="1">
      <c r="B14" s="202"/>
      <c r="C14" s="127">
        <v>5.5</v>
      </c>
      <c r="D14" s="127">
        <v>3.5</v>
      </c>
      <c r="E14" s="127">
        <v>9.8000000000000007</v>
      </c>
      <c r="F14" s="127">
        <v>5.5</v>
      </c>
      <c r="G14" s="174"/>
      <c r="I14" s="172"/>
    </row>
    <row r="15" spans="2:9" s="86" customFormat="1" ht="13.2" customHeight="1">
      <c r="B15" s="133"/>
      <c r="C15" s="127"/>
      <c r="D15" s="127"/>
      <c r="E15" s="127"/>
      <c r="F15" s="127"/>
    </row>
    <row r="16" spans="2:9" s="86" customFormat="1" ht="13.2" customHeight="1">
      <c r="B16" s="20" t="s">
        <v>295</v>
      </c>
      <c r="C16" s="19"/>
      <c r="D16" s="19"/>
      <c r="E16" s="19"/>
      <c r="F16" s="125"/>
    </row>
    <row r="17" spans="2:6" s="86" customFormat="1" ht="13.2" customHeight="1">
      <c r="B17" s="19" t="s">
        <v>296</v>
      </c>
      <c r="C17" s="19"/>
      <c r="D17" s="19"/>
      <c r="E17" s="19"/>
      <c r="F17" s="125"/>
    </row>
    <row r="18" spans="2:6" s="86" customFormat="1" ht="13.2" customHeight="1">
      <c r="B18" s="19" t="s">
        <v>297</v>
      </c>
      <c r="C18" s="19"/>
      <c r="D18" s="19"/>
      <c r="E18" s="19"/>
      <c r="F18" s="125"/>
    </row>
    <row r="19" spans="2:6" s="86" customFormat="1" ht="13.2" customHeight="1">
      <c r="B19" s="19" t="s">
        <v>323</v>
      </c>
      <c r="C19" s="19"/>
      <c r="D19" s="19"/>
      <c r="E19" s="19"/>
      <c r="F19" s="125"/>
    </row>
    <row r="20" spans="2:6" s="86" customFormat="1" ht="13.2" customHeight="1">
      <c r="B20" s="19" t="s">
        <v>298</v>
      </c>
      <c r="C20" s="19"/>
      <c r="D20" s="19"/>
      <c r="E20" s="19"/>
      <c r="F20" s="125"/>
    </row>
    <row r="21" spans="2:6" s="86" customFormat="1">
      <c r="B21" s="19" t="s">
        <v>299</v>
      </c>
      <c r="C21" s="124"/>
      <c r="D21" s="19"/>
      <c r="E21" s="19"/>
      <c r="F21" s="19"/>
    </row>
    <row r="23" spans="2:6">
      <c r="B23" s="24" t="s">
        <v>326</v>
      </c>
    </row>
    <row r="25" spans="2:6">
      <c r="B25" t="s">
        <v>324</v>
      </c>
    </row>
    <row r="26" spans="2:6">
      <c r="B26" t="s">
        <v>325</v>
      </c>
    </row>
    <row r="27" spans="2:6">
      <c r="B27" t="s">
        <v>327</v>
      </c>
    </row>
    <row r="28" spans="2:6">
      <c r="B28" t="s">
        <v>328</v>
      </c>
    </row>
  </sheetData>
  <mergeCells count="9">
    <mergeCell ref="B2:F2"/>
    <mergeCell ref="G3:H3"/>
    <mergeCell ref="B13:B14"/>
    <mergeCell ref="C3:D3"/>
    <mergeCell ref="E3:F3"/>
    <mergeCell ref="B7:B8"/>
    <mergeCell ref="B5:B6"/>
    <mergeCell ref="B9:B10"/>
    <mergeCell ref="B11:B12"/>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BD01E-3CD0-46FD-823B-1AD7FFA821E3}">
  <sheetPr>
    <tabColor theme="1" tint="0.14999847407452621"/>
  </sheetPr>
  <dimension ref="A2:A10"/>
  <sheetViews>
    <sheetView workbookViewId="0">
      <selection activeCell="I28" sqref="I28"/>
    </sheetView>
  </sheetViews>
  <sheetFormatPr baseColWidth="10" defaultRowHeight="14.4"/>
  <sheetData>
    <row r="2" spans="1:1" ht="23.4">
      <c r="A2" s="132" t="s">
        <v>247</v>
      </c>
    </row>
    <row r="4" spans="1:1">
      <c r="A4" s="49" t="s">
        <v>120</v>
      </c>
    </row>
    <row r="5" spans="1:1">
      <c r="A5" s="49" t="s">
        <v>121</v>
      </c>
    </row>
    <row r="6" spans="1:1">
      <c r="A6" s="49" t="s">
        <v>239</v>
      </c>
    </row>
    <row r="7" spans="1:1">
      <c r="A7" s="49" t="s">
        <v>216</v>
      </c>
    </row>
    <row r="8" spans="1:1">
      <c r="A8" s="49" t="s">
        <v>122</v>
      </c>
    </row>
    <row r="9" spans="1:1">
      <c r="A9" s="56" t="s">
        <v>123</v>
      </c>
    </row>
    <row r="10" spans="1:1">
      <c r="A10" s="49" t="s">
        <v>159</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6C197-42CD-4DDA-A3EF-7FF5B45CE247}">
  <dimension ref="A1:CD51"/>
  <sheetViews>
    <sheetView topLeftCell="A7" zoomScale="130" zoomScaleNormal="130" workbookViewId="0">
      <selection activeCell="G25" sqref="G25"/>
    </sheetView>
  </sheetViews>
  <sheetFormatPr baseColWidth="10" defaultRowHeight="14.4"/>
  <cols>
    <col min="1" max="1" width="11.5546875" style="86"/>
    <col min="2" max="13" width="14.21875" style="86" customWidth="1"/>
    <col min="14" max="14" width="11.5546875" style="86"/>
    <col min="15" max="15" width="4.21875" style="86" customWidth="1"/>
    <col min="16" max="16" width="8.21875" style="86" customWidth="1"/>
    <col min="17" max="17" width="8.21875" customWidth="1"/>
    <col min="18" max="20" width="11" style="86" hidden="1" customWidth="1"/>
    <col min="21" max="22" width="11" customWidth="1"/>
    <col min="23" max="23" width="11" hidden="1" customWidth="1"/>
    <col min="24" max="25" width="11" style="86" hidden="1" customWidth="1"/>
    <col min="26" max="26" width="11" style="86" customWidth="1"/>
    <col min="27" max="27" width="11.5546875" style="86"/>
    <col min="28" max="29" width="11.5546875" style="23" hidden="1" customWidth="1"/>
    <col min="31" max="31" width="11.5546875" style="86"/>
    <col min="32" max="33" width="11.5546875" style="23" hidden="1" customWidth="1"/>
    <col min="35" max="35" width="11.5546875" customWidth="1"/>
    <col min="36" max="39" width="11.5546875" style="86" customWidth="1"/>
    <col min="40" max="40" width="3.33203125" customWidth="1"/>
    <col min="42" max="42" width="3.33203125" customWidth="1"/>
    <col min="43" max="43" width="11.5546875" style="86" hidden="1" customWidth="1"/>
    <col min="44" max="44" width="11.5546875" hidden="1" customWidth="1"/>
    <col min="45" max="45" width="11.5546875" customWidth="1"/>
    <col min="48" max="49" width="0" hidden="1" customWidth="1"/>
    <col min="53" max="54" width="11.5546875" customWidth="1"/>
    <col min="55" max="55" width="12" bestFit="1" customWidth="1"/>
    <col min="58" max="59" width="0" hidden="1" customWidth="1"/>
    <col min="63" max="64" width="0" hidden="1" customWidth="1"/>
    <col min="69" max="69" width="13.5546875" customWidth="1"/>
    <col min="70" max="72" width="14.88671875" customWidth="1"/>
    <col min="73" max="74" width="14.88671875" style="86" customWidth="1"/>
    <col min="75" max="79" width="14.88671875" customWidth="1"/>
  </cols>
  <sheetData>
    <row r="1" spans="2:82" s="86" customFormat="1">
      <c r="AB1" s="23"/>
      <c r="AC1" s="23"/>
      <c r="AF1" s="23"/>
      <c r="AG1" s="23"/>
    </row>
    <row r="2" spans="2:82" s="86" customFormat="1">
      <c r="B2" s="199" t="s">
        <v>277</v>
      </c>
      <c r="C2" s="199"/>
      <c r="D2" s="199"/>
      <c r="E2" s="199"/>
      <c r="F2" s="199"/>
      <c r="G2" s="199"/>
      <c r="H2" s="199"/>
      <c r="I2" s="199"/>
      <c r="J2" s="199"/>
      <c r="K2" s="199"/>
      <c r="L2" s="199"/>
      <c r="P2" s="215" t="s">
        <v>245</v>
      </c>
      <c r="Q2" s="215"/>
      <c r="R2" s="215"/>
      <c r="S2" s="215"/>
      <c r="T2" s="215"/>
      <c r="U2" s="215"/>
      <c r="V2" s="215"/>
      <c r="W2" s="215"/>
      <c r="X2" s="215"/>
      <c r="Y2" s="215"/>
      <c r="Z2" s="215"/>
      <c r="AA2" s="215"/>
      <c r="AB2" s="215"/>
      <c r="AC2" s="215"/>
      <c r="AD2" s="215"/>
      <c r="AE2" s="215"/>
      <c r="AF2" s="215"/>
      <c r="AG2" s="215"/>
      <c r="AH2" s="215"/>
      <c r="AI2" s="215"/>
      <c r="AJ2" s="215"/>
      <c r="AK2" s="215"/>
      <c r="AL2" s="215"/>
      <c r="AM2" s="215"/>
      <c r="AO2" s="214" t="s">
        <v>248</v>
      </c>
      <c r="AQ2" s="215" t="s">
        <v>265</v>
      </c>
      <c r="AR2" s="215"/>
      <c r="AS2" s="215"/>
      <c r="AT2" s="215"/>
      <c r="AU2" s="215"/>
      <c r="AV2" s="215"/>
      <c r="AW2" s="215"/>
      <c r="AX2" s="215"/>
      <c r="AY2" s="215"/>
      <c r="AZ2" s="215"/>
      <c r="BA2" s="215"/>
      <c r="BB2" s="215"/>
      <c r="BC2" s="215"/>
      <c r="BD2" s="215"/>
      <c r="BE2" s="215"/>
      <c r="BF2" s="215"/>
      <c r="BG2" s="215"/>
      <c r="BH2" s="215"/>
      <c r="BI2" s="215"/>
      <c r="BJ2" s="215"/>
      <c r="BK2" s="215"/>
      <c r="BL2" s="215"/>
      <c r="BM2" s="215"/>
      <c r="BN2" s="215"/>
      <c r="BO2" s="215"/>
    </row>
    <row r="3" spans="2:82" ht="35.4" customHeight="1">
      <c r="B3"/>
      <c r="C3" s="222" t="s">
        <v>259</v>
      </c>
      <c r="D3" s="222"/>
      <c r="E3" s="222"/>
      <c r="F3" s="222"/>
      <c r="G3" s="222"/>
      <c r="H3" s="222" t="s">
        <v>263</v>
      </c>
      <c r="I3" s="222"/>
      <c r="J3" s="222"/>
      <c r="K3" s="222"/>
      <c r="L3" s="222"/>
      <c r="M3"/>
      <c r="P3" s="216"/>
      <c r="Q3" s="216"/>
      <c r="R3" s="208" t="s">
        <v>242</v>
      </c>
      <c r="S3" s="208"/>
      <c r="T3" s="208"/>
      <c r="U3" s="208"/>
      <c r="V3" s="208"/>
      <c r="W3" s="208"/>
      <c r="X3" s="208"/>
      <c r="Y3" s="208"/>
      <c r="Z3" s="208"/>
      <c r="AA3" s="208"/>
      <c r="AB3" s="208" t="s">
        <v>246</v>
      </c>
      <c r="AC3" s="208"/>
      <c r="AD3" s="208"/>
      <c r="AE3" s="208"/>
      <c r="AF3" s="208"/>
      <c r="AG3" s="208"/>
      <c r="AH3" s="208"/>
      <c r="AI3" s="208"/>
      <c r="AJ3" s="208" t="s">
        <v>244</v>
      </c>
      <c r="AK3" s="208"/>
      <c r="AL3" s="208"/>
      <c r="AM3" s="208"/>
      <c r="AO3" s="214"/>
      <c r="AQ3" s="204" t="s">
        <v>251</v>
      </c>
      <c r="AR3" s="204"/>
      <c r="AS3" s="204"/>
      <c r="AT3" s="204"/>
      <c r="AU3" s="204"/>
      <c r="AV3" s="205" t="s">
        <v>166</v>
      </c>
      <c r="AW3" s="205"/>
      <c r="AX3" s="205"/>
      <c r="AY3" s="205"/>
      <c r="AZ3" s="205"/>
      <c r="BA3" s="206" t="s">
        <v>253</v>
      </c>
      <c r="BB3" s="206"/>
      <c r="BC3" s="206"/>
      <c r="BD3" s="206"/>
      <c r="BE3" s="206"/>
      <c r="BF3" s="202" t="s">
        <v>254</v>
      </c>
      <c r="BG3" s="202"/>
      <c r="BH3" s="202"/>
      <c r="BI3" s="202"/>
      <c r="BJ3" s="202"/>
      <c r="BK3" s="224" t="s">
        <v>255</v>
      </c>
      <c r="BL3" s="224"/>
      <c r="BM3" s="224"/>
      <c r="BN3" s="224"/>
      <c r="BO3" s="224"/>
    </row>
    <row r="4" spans="2:82" s="86" customFormat="1" ht="35.4" customHeight="1">
      <c r="B4" s="43" t="s">
        <v>165</v>
      </c>
      <c r="C4" s="43" t="s">
        <v>264</v>
      </c>
      <c r="D4" s="43" t="s">
        <v>261</v>
      </c>
      <c r="E4" s="43" t="s">
        <v>260</v>
      </c>
      <c r="F4" s="43" t="s">
        <v>268</v>
      </c>
      <c r="G4" s="43" t="s">
        <v>269</v>
      </c>
      <c r="H4" s="43" t="s">
        <v>197</v>
      </c>
      <c r="I4" s="43" t="s">
        <v>23</v>
      </c>
      <c r="J4" s="43" t="s">
        <v>262</v>
      </c>
      <c r="K4" s="43" t="s">
        <v>266</v>
      </c>
      <c r="L4" s="43" t="s">
        <v>267</v>
      </c>
      <c r="M4" s="148" t="s">
        <v>284</v>
      </c>
      <c r="P4" s="200" t="s">
        <v>170</v>
      </c>
      <c r="Q4" s="200"/>
      <c r="R4" s="209">
        <v>2018</v>
      </c>
      <c r="S4" s="209"/>
      <c r="T4" s="209"/>
      <c r="U4" s="209"/>
      <c r="V4" s="209"/>
      <c r="W4" s="209">
        <v>2021</v>
      </c>
      <c r="X4" s="209"/>
      <c r="Y4" s="209"/>
      <c r="Z4" s="209"/>
      <c r="AA4" s="209"/>
      <c r="AB4" s="209">
        <v>2018</v>
      </c>
      <c r="AC4" s="209"/>
      <c r="AD4" s="209"/>
      <c r="AE4" s="209"/>
      <c r="AF4" s="209">
        <v>2021</v>
      </c>
      <c r="AG4" s="209"/>
      <c r="AH4" s="209"/>
      <c r="AI4" s="209"/>
      <c r="AJ4" s="209">
        <v>2018</v>
      </c>
      <c r="AK4" s="209"/>
      <c r="AL4" s="209">
        <v>2021</v>
      </c>
      <c r="AM4" s="209"/>
      <c r="AN4" s="130"/>
      <c r="AO4" s="214"/>
      <c r="AQ4" s="106" t="s">
        <v>23</v>
      </c>
      <c r="AR4" s="106" t="s">
        <v>241</v>
      </c>
      <c r="AS4" s="218" t="s">
        <v>250</v>
      </c>
      <c r="AT4" s="218"/>
      <c r="AU4" s="106" t="s">
        <v>249</v>
      </c>
      <c r="AV4" s="106" t="s">
        <v>23</v>
      </c>
      <c r="AW4" s="106" t="s">
        <v>241</v>
      </c>
      <c r="AX4" s="218" t="s">
        <v>250</v>
      </c>
      <c r="AY4" s="218"/>
      <c r="AZ4" s="106" t="s">
        <v>249</v>
      </c>
      <c r="BA4" s="106" t="s">
        <v>23</v>
      </c>
      <c r="BB4" s="106" t="s">
        <v>241</v>
      </c>
      <c r="BC4" s="218" t="s">
        <v>250</v>
      </c>
      <c r="BD4" s="218"/>
      <c r="BE4" s="106" t="s">
        <v>249</v>
      </c>
      <c r="BF4" s="106" t="s">
        <v>23</v>
      </c>
      <c r="BG4" s="106" t="s">
        <v>241</v>
      </c>
      <c r="BH4" s="218" t="s">
        <v>250</v>
      </c>
      <c r="BI4" s="218"/>
      <c r="BJ4" s="106" t="s">
        <v>249</v>
      </c>
      <c r="BK4" s="106" t="s">
        <v>23</v>
      </c>
      <c r="BL4" s="106" t="s">
        <v>241</v>
      </c>
      <c r="BM4" s="218" t="s">
        <v>250</v>
      </c>
      <c r="BN4" s="218"/>
      <c r="BO4" s="106" t="s">
        <v>249</v>
      </c>
    </row>
    <row r="5" spans="2:82" ht="28.8" hidden="1">
      <c r="B5"/>
      <c r="C5"/>
      <c r="D5"/>
      <c r="E5"/>
      <c r="H5"/>
      <c r="I5"/>
      <c r="J5"/>
      <c r="K5"/>
      <c r="L5"/>
      <c r="M5" s="23"/>
      <c r="R5" s="40" t="s">
        <v>65</v>
      </c>
      <c r="S5" s="40" t="s">
        <v>23</v>
      </c>
      <c r="T5" s="40" t="s">
        <v>241</v>
      </c>
      <c r="U5" s="200" t="s">
        <v>167</v>
      </c>
      <c r="V5" s="200"/>
      <c r="W5" s="40" t="s">
        <v>65</v>
      </c>
      <c r="X5" s="40" t="s">
        <v>23</v>
      </c>
      <c r="Y5" s="40" t="s">
        <v>241</v>
      </c>
      <c r="Z5" s="200" t="s">
        <v>167</v>
      </c>
      <c r="AA5" s="200"/>
      <c r="AB5" s="40" t="s">
        <v>23</v>
      </c>
      <c r="AC5" s="40" t="s">
        <v>241</v>
      </c>
      <c r="AD5" s="200" t="s">
        <v>167</v>
      </c>
      <c r="AE5" s="200"/>
      <c r="AF5" s="40" t="s">
        <v>23</v>
      </c>
      <c r="AG5" s="40" t="s">
        <v>241</v>
      </c>
      <c r="AH5" s="200" t="s">
        <v>167</v>
      </c>
      <c r="AI5" s="200"/>
      <c r="AJ5" s="40"/>
      <c r="AK5" s="40"/>
      <c r="AL5" s="40"/>
      <c r="AM5" s="40"/>
    </row>
    <row r="6" spans="2:82">
      <c r="B6" s="136" t="s">
        <v>163</v>
      </c>
      <c r="C6" s="89">
        <v>147</v>
      </c>
      <c r="D6" s="87">
        <v>730</v>
      </c>
      <c r="E6" s="88">
        <v>695.2</v>
      </c>
      <c r="F6" s="88">
        <f t="shared" ref="F6:G10" si="0">D6/$C6</f>
        <v>4.9659863945578229</v>
      </c>
      <c r="G6" s="88">
        <f t="shared" si="0"/>
        <v>4.7292517006802726</v>
      </c>
      <c r="H6" s="115">
        <f>FRA!B18*(1+FRA!K18)^9</f>
        <v>78.761550495032225</v>
      </c>
      <c r="I6" s="55">
        <f>FRA!M18</f>
        <v>548402369.83262217</v>
      </c>
      <c r="J6" s="131">
        <f>FRA!D18/FRA!E18</f>
        <v>3.5308579785505363</v>
      </c>
      <c r="K6" s="134">
        <f>I6*(C6/H6)^((1-J6)/J6)</f>
        <v>350629942.30893129</v>
      </c>
      <c r="L6" s="21">
        <f>K6/(E6*1000000000/C6)</f>
        <v>7.4140681126888527E-2</v>
      </c>
      <c r="M6" s="23"/>
      <c r="P6" s="94">
        <v>99</v>
      </c>
      <c r="Q6" s="200" t="s">
        <v>34</v>
      </c>
      <c r="R6" s="16">
        <v>211349</v>
      </c>
      <c r="S6" s="90">
        <v>585534</v>
      </c>
      <c r="T6" s="90">
        <v>3707902</v>
      </c>
      <c r="U6" s="21">
        <v>0.15791517496109009</v>
      </c>
      <c r="V6" s="210">
        <f>SUMPRODUCT(S6:S14,U6:U14)/SUM(S6:S14)</f>
        <v>0.15287738016939786</v>
      </c>
      <c r="W6" s="90">
        <v>219769</v>
      </c>
      <c r="X6" s="90">
        <v>629698</v>
      </c>
      <c r="Y6" s="90">
        <v>4929922</v>
      </c>
      <c r="Z6" s="21">
        <v>0.12772980332374573</v>
      </c>
      <c r="AA6" s="210">
        <f>SUMPRODUCT(X6:X14,Z6:Z14)/SUM(X6:X14)</f>
        <v>0.12928325832688103</v>
      </c>
      <c r="AB6" s="90">
        <v>600345.80000000005</v>
      </c>
      <c r="AC6" s="90">
        <v>4711143.2</v>
      </c>
      <c r="AD6" s="21">
        <v>0.12743102014064789</v>
      </c>
      <c r="AE6" s="210">
        <f>SUMPRODUCT(AB6:AB14,AD6:AD14)/SUM(AB6:AB14)</f>
        <v>0.12442797465758841</v>
      </c>
      <c r="AF6" s="90">
        <v>601038</v>
      </c>
      <c r="AG6" s="16">
        <v>5722402.9000000004</v>
      </c>
      <c r="AH6" s="21">
        <v>0.10503245145082474</v>
      </c>
      <c r="AI6" s="210">
        <f>SUMPRODUCT(AF6:AF14,AH6:AH14)/SUM(AF6:AF14)</f>
        <v>0.10241426404790691</v>
      </c>
      <c r="AJ6" s="123">
        <f>U6/AD6</f>
        <v>1.239220833253915</v>
      </c>
      <c r="AK6" s="211">
        <f>V6/AE6</f>
        <v>1.2286415542011269</v>
      </c>
      <c r="AL6" s="131">
        <f>Z6/AH6</f>
        <v>1.2160984682295803</v>
      </c>
      <c r="AM6" s="212">
        <f>AA6/AI6</f>
        <v>1.2623559767651649</v>
      </c>
      <c r="AO6" s="213">
        <v>1.3</v>
      </c>
      <c r="AQ6" s="16">
        <v>236969.60000000001</v>
      </c>
      <c r="AR6" s="16">
        <v>2610422</v>
      </c>
      <c r="AS6" s="21">
        <v>9.0778276324272156E-2</v>
      </c>
      <c r="AT6" s="210">
        <f>SUMPRODUCT(AQ6:AQ14,AS6:AS14)/SUM(AQ6:AQ14)</f>
        <v>8.6249664708159868E-2</v>
      </c>
      <c r="AU6" s="217">
        <f>AT6*$AO6</f>
        <v>0.11212456412060783</v>
      </c>
      <c r="AV6" s="103">
        <v>634726.40000000002</v>
      </c>
      <c r="AW6" s="103">
        <v>5357379.6000000006</v>
      </c>
      <c r="AX6" s="113">
        <v>0.11847702413797379</v>
      </c>
      <c r="AY6" s="210">
        <f>SUMPRODUCT(AV6:AV14,AX6:AX14)/SUM(AV6:AV14)</f>
        <v>0.11787205313834993</v>
      </c>
      <c r="AZ6" s="219">
        <f>AY6*$AO6</f>
        <v>0.15323366907985492</v>
      </c>
      <c r="BA6" s="16">
        <v>293618</v>
      </c>
      <c r="BB6" s="16">
        <v>2751870.5</v>
      </c>
      <c r="BC6" s="21">
        <v>0.10669761151075363</v>
      </c>
      <c r="BD6" s="210">
        <f>SUMPRODUCT(BA6:BA14,BC6:BC14)/SUM(BA6:BA14)</f>
        <v>9.9821482790510424E-2</v>
      </c>
      <c r="BE6" s="221">
        <f>BD6*$AO6</f>
        <v>0.12976792762766357</v>
      </c>
      <c r="BF6" s="16">
        <v>801371.3</v>
      </c>
      <c r="BG6" s="16">
        <v>2470551.2000000002</v>
      </c>
      <c r="BH6" s="142">
        <v>0.32436943054199219</v>
      </c>
      <c r="BI6" s="210">
        <f>SUMPRODUCT(BF6:BF14,BH6:BH14)/SUM(BF6:BF14)</f>
        <v>0.25293465188294251</v>
      </c>
      <c r="BJ6" s="220">
        <f>BI6*$AO6</f>
        <v>0.32881504744782525</v>
      </c>
      <c r="BK6" s="103">
        <v>174803</v>
      </c>
      <c r="BL6" s="103">
        <v>2185229.4</v>
      </c>
      <c r="BM6" s="113">
        <v>7.9992972314357758E-2</v>
      </c>
      <c r="BN6" s="210">
        <f>SUMPRODUCT(BK6:BK14,BM6:BM14)/SUM(BK6:BK14)</f>
        <v>8.0247718744925048E-2</v>
      </c>
      <c r="BO6" s="223">
        <f>BN6*$AO6</f>
        <v>0.10432203436840257</v>
      </c>
    </row>
    <row r="7" spans="2:82">
      <c r="B7" s="135" t="s">
        <v>166</v>
      </c>
      <c r="C7" s="90">
        <v>936</v>
      </c>
      <c r="D7" s="87">
        <v>7927.6093639999926</v>
      </c>
      <c r="E7" s="88">
        <f>D7*0.95</f>
        <v>7531.2288957999926</v>
      </c>
      <c r="F7" s="88">
        <f t="shared" si="0"/>
        <v>8.4696681239316156</v>
      </c>
      <c r="G7" s="88">
        <f t="shared" si="0"/>
        <v>8.0461847177350343</v>
      </c>
      <c r="H7" s="90">
        <f>USA!B18*(1+USA!K18)^9</f>
        <v>440.60144779664438</v>
      </c>
      <c r="I7" s="55">
        <f>USA!M18</f>
        <v>739215813.18707788</v>
      </c>
      <c r="J7" s="131">
        <f>USA!D18/USA!E18</f>
        <v>3.44</v>
      </c>
      <c r="K7" s="134">
        <f>I7*(C7/H7)^((1-J7)/J7)</f>
        <v>433177907.56575686</v>
      </c>
      <c r="L7" s="21">
        <f>K7/(D7*1000000000/C7)</f>
        <v>5.1144614077827159E-2</v>
      </c>
      <c r="M7" s="23"/>
      <c r="P7" s="94">
        <v>99.099998474121094</v>
      </c>
      <c r="Q7" s="200"/>
      <c r="R7" s="16">
        <v>211292</v>
      </c>
      <c r="S7" s="90">
        <v>628930</v>
      </c>
      <c r="T7" s="90">
        <v>3990265</v>
      </c>
      <c r="U7" s="21">
        <v>0.15761609375476837</v>
      </c>
      <c r="V7" s="210"/>
      <c r="W7" s="90">
        <v>219761</v>
      </c>
      <c r="X7" s="90">
        <v>677994</v>
      </c>
      <c r="Y7" s="90">
        <v>4994385</v>
      </c>
      <c r="Z7" s="21">
        <v>0.13575124740600586</v>
      </c>
      <c r="AA7" s="210"/>
      <c r="AB7" s="90">
        <v>642518.10000000009</v>
      </c>
      <c r="AC7" s="90">
        <v>5061428.2</v>
      </c>
      <c r="AD7" s="21">
        <v>0.12694403529167175</v>
      </c>
      <c r="AE7" s="210"/>
      <c r="AF7" s="90">
        <v>644910.20000000007</v>
      </c>
      <c r="AG7" s="16">
        <v>6159780.2000000002</v>
      </c>
      <c r="AH7" s="21">
        <v>0.10469695180654526</v>
      </c>
      <c r="AI7" s="210"/>
      <c r="AJ7" s="123">
        <f t="shared" ref="AJ7:AJ32" si="1">U7/AD7</f>
        <v>1.2416187447690887</v>
      </c>
      <c r="AK7" s="211"/>
      <c r="AL7" s="131">
        <f t="shared" ref="AL7:AL32" si="2">Z7/AH7</f>
        <v>1.2966112676980459</v>
      </c>
      <c r="AM7" s="212"/>
      <c r="AO7" s="213"/>
      <c r="AQ7" s="16">
        <v>262958.3</v>
      </c>
      <c r="AR7" s="16">
        <v>2811583</v>
      </c>
      <c r="AS7" s="21">
        <v>9.3526780605316162E-2</v>
      </c>
      <c r="AT7" s="210"/>
      <c r="AU7" s="217"/>
      <c r="AV7" s="103">
        <v>682123.3</v>
      </c>
      <c r="AW7" s="103">
        <v>5759519.5</v>
      </c>
      <c r="AX7" s="113">
        <v>0.11843406409025192</v>
      </c>
      <c r="AY7" s="210"/>
      <c r="AZ7" s="219"/>
      <c r="BA7" s="16">
        <v>306278.8</v>
      </c>
      <c r="BB7" s="16">
        <v>2898333.5</v>
      </c>
      <c r="BC7" s="21">
        <v>0.10567410290241241</v>
      </c>
      <c r="BD7" s="210"/>
      <c r="BE7" s="221"/>
      <c r="BF7" s="16">
        <v>901387.20000000007</v>
      </c>
      <c r="BG7" s="16">
        <v>2664246.4</v>
      </c>
      <c r="BH7" s="142">
        <v>0.33832725882530212</v>
      </c>
      <c r="BI7" s="210"/>
      <c r="BJ7" s="220"/>
      <c r="BK7" s="103">
        <v>181469.5</v>
      </c>
      <c r="BL7" s="103">
        <v>2328456.5</v>
      </c>
      <c r="BM7" s="113">
        <v>7.7935531735420227E-2</v>
      </c>
      <c r="BN7" s="210"/>
      <c r="BO7" s="223"/>
    </row>
    <row r="8" spans="2:82">
      <c r="B8" s="137" t="s">
        <v>164</v>
      </c>
      <c r="C8" s="90">
        <v>13</v>
      </c>
      <c r="D8" s="87">
        <v>49.210541999999997</v>
      </c>
      <c r="E8" s="88">
        <f>D8*0.95</f>
        <v>46.750014899999996</v>
      </c>
      <c r="F8" s="88">
        <f t="shared" si="0"/>
        <v>3.7854263076923074</v>
      </c>
      <c r="G8" s="88">
        <f t="shared" si="0"/>
        <v>3.5961549923076919</v>
      </c>
      <c r="H8" s="90">
        <f>NDL!B18/M8*(1+NDL!K18)^9</f>
        <v>8.5287742780887168</v>
      </c>
      <c r="I8" s="55">
        <f>M8*NDL!M18</f>
        <v>276703214.84703231</v>
      </c>
      <c r="J8" s="131">
        <f>NDL!D18/NDL!E18</f>
        <v>1.242880846563327</v>
      </c>
      <c r="K8" s="134">
        <f>I8*(C8/H8)^((1-J8)/J8)</f>
        <v>254824798.67801553</v>
      </c>
      <c r="L8" s="21">
        <f>K8/(E8*1000000000/C8)</f>
        <v>7.086034924053472E-2</v>
      </c>
      <c r="M8" s="23">
        <v>1.8</v>
      </c>
      <c r="P8" s="94">
        <v>99.199996948242188</v>
      </c>
      <c r="Q8" s="200"/>
      <c r="R8" s="16">
        <v>211338</v>
      </c>
      <c r="S8" s="90">
        <v>680974</v>
      </c>
      <c r="T8" s="90">
        <v>4206273</v>
      </c>
      <c r="U8" s="21">
        <v>0.16189485788345337</v>
      </c>
      <c r="V8" s="210"/>
      <c r="W8" s="90">
        <v>219621</v>
      </c>
      <c r="X8" s="90">
        <v>734894</v>
      </c>
      <c r="Y8" s="90">
        <v>5369190</v>
      </c>
      <c r="Z8" s="21">
        <v>0.13687241077423096</v>
      </c>
      <c r="AA8" s="210"/>
      <c r="AB8" s="90">
        <v>693998.9</v>
      </c>
      <c r="AC8" s="90">
        <v>5487328.3000000007</v>
      </c>
      <c r="AD8" s="21">
        <v>0.12647300958633423</v>
      </c>
      <c r="AE8" s="210"/>
      <c r="AF8" s="90">
        <v>698766.70000000007</v>
      </c>
      <c r="AG8" s="16">
        <v>6694092.8000000007</v>
      </c>
      <c r="AH8" s="21">
        <v>0.10438556969165802</v>
      </c>
      <c r="AI8" s="210"/>
      <c r="AJ8" s="123">
        <f t="shared" si="1"/>
        <v>1.2800743685389975</v>
      </c>
      <c r="AK8" s="211"/>
      <c r="AL8" s="131">
        <f t="shared" si="2"/>
        <v>1.3112196559211682</v>
      </c>
      <c r="AM8" s="212"/>
      <c r="AO8" s="213"/>
      <c r="AQ8" s="16">
        <v>292062.8</v>
      </c>
      <c r="AR8" s="16">
        <v>3040141.5</v>
      </c>
      <c r="AS8" s="21">
        <v>9.6068814396858215E-2</v>
      </c>
      <c r="AT8" s="210"/>
      <c r="AU8" s="217"/>
      <c r="AV8" s="103">
        <v>740358.3</v>
      </c>
      <c r="AW8" s="103">
        <v>6250603.8000000007</v>
      </c>
      <c r="AX8" s="113">
        <v>0.11844588816165924</v>
      </c>
      <c r="AY8" s="210"/>
      <c r="AZ8" s="219"/>
      <c r="BA8" s="16">
        <v>321331.8</v>
      </c>
      <c r="BB8" s="16">
        <v>3071634.2</v>
      </c>
      <c r="BC8" s="21">
        <v>0.10461264848709106</v>
      </c>
      <c r="BD8" s="210"/>
      <c r="BE8" s="221"/>
      <c r="BF8" s="16">
        <v>976791.10000000009</v>
      </c>
      <c r="BG8" s="16">
        <v>2891648.5</v>
      </c>
      <c r="BH8" s="142">
        <v>0.33779731392860413</v>
      </c>
      <c r="BI8" s="210"/>
      <c r="BJ8" s="220"/>
      <c r="BK8" s="103">
        <v>189854.4</v>
      </c>
      <c r="BL8" s="103">
        <v>2471716.1</v>
      </c>
      <c r="BM8" s="113">
        <v>7.6810762286186218E-2</v>
      </c>
      <c r="BN8" s="210"/>
      <c r="BO8" s="223"/>
    </row>
    <row r="9" spans="2:82">
      <c r="B9" s="138" t="s">
        <v>162</v>
      </c>
      <c r="C9" s="90">
        <v>66</v>
      </c>
      <c r="D9" s="87">
        <v>252.6951380000001</v>
      </c>
      <c r="E9" s="88">
        <f>D9*0.95</f>
        <v>240.06038110000009</v>
      </c>
      <c r="F9" s="88">
        <f t="shared" si="0"/>
        <v>3.8287142121212137</v>
      </c>
      <c r="G9" s="88">
        <f t="shared" si="0"/>
        <v>3.6372785015151528</v>
      </c>
      <c r="H9" s="90">
        <f>BRA!B18/M9*(1+BRA!K18)^9</f>
        <v>92.503431345166319</v>
      </c>
      <c r="I9" s="55">
        <f>M9*BRA!M18</f>
        <v>303481395.56729132</v>
      </c>
      <c r="J9" s="131">
        <f>BRA!D18/BRA!E18</f>
        <v>2.4618511479036091</v>
      </c>
      <c r="K9" s="134">
        <f>I9*(C9/H9)^((1-J9)/J9)</f>
        <v>370844331.55454284</v>
      </c>
      <c r="L9" s="21">
        <f>K9/(D9*1000000000/C9)</f>
        <v>9.6858713136775187E-2</v>
      </c>
      <c r="M9" s="23">
        <v>1.8</v>
      </c>
      <c r="P9" s="94">
        <v>99.300003051757813</v>
      </c>
      <c r="Q9" s="200"/>
      <c r="R9" s="16">
        <v>210025</v>
      </c>
      <c r="S9" s="90">
        <v>744075</v>
      </c>
      <c r="T9" s="90">
        <v>4710456</v>
      </c>
      <c r="U9" s="21">
        <v>0.15796241164207458</v>
      </c>
      <c r="V9" s="210"/>
      <c r="W9" s="90">
        <v>219770</v>
      </c>
      <c r="X9" s="90">
        <v>806056</v>
      </c>
      <c r="Y9" s="90">
        <v>5873645</v>
      </c>
      <c r="Z9" s="21">
        <v>0.13723267614841461</v>
      </c>
      <c r="AA9" s="210"/>
      <c r="AB9" s="90">
        <v>758581.5</v>
      </c>
      <c r="AC9" s="90">
        <v>6019945.9000000004</v>
      </c>
      <c r="AD9" s="21">
        <v>0.12601134181022644</v>
      </c>
      <c r="AE9" s="210"/>
      <c r="AF9" s="90">
        <v>766720.20000000007</v>
      </c>
      <c r="AG9" s="16">
        <v>7366143.9000000004</v>
      </c>
      <c r="AH9" s="21">
        <v>0.10408705472946167</v>
      </c>
      <c r="AI9" s="210"/>
      <c r="AJ9" s="123">
        <f t="shared" si="1"/>
        <v>1.2535570955189619</v>
      </c>
      <c r="AK9" s="211"/>
      <c r="AL9" s="131">
        <f t="shared" si="2"/>
        <v>1.3184413422505183</v>
      </c>
      <c r="AM9" s="212"/>
      <c r="AO9" s="213"/>
      <c r="AQ9" s="16">
        <v>311963.8</v>
      </c>
      <c r="AR9" s="16">
        <v>3309061.9</v>
      </c>
      <c r="AS9" s="21">
        <v>9.4275601208209991E-2</v>
      </c>
      <c r="AT9" s="210"/>
      <c r="AU9" s="217"/>
      <c r="AV9" s="103">
        <v>813894.10000000009</v>
      </c>
      <c r="AW9" s="103">
        <v>6867484.6000000006</v>
      </c>
      <c r="AX9" s="113">
        <v>0.11851415038108826</v>
      </c>
      <c r="AY9" s="210"/>
      <c r="AZ9" s="219"/>
      <c r="BA9" s="16">
        <v>340108.3</v>
      </c>
      <c r="BB9" s="16">
        <v>3281401.4</v>
      </c>
      <c r="BC9" s="21">
        <v>0.10364726930856705</v>
      </c>
      <c r="BD9" s="210"/>
      <c r="BE9" s="221"/>
      <c r="BF9" s="16">
        <v>1025121.5</v>
      </c>
      <c r="BG9" s="16">
        <v>3215836.9</v>
      </c>
      <c r="BH9" s="142">
        <v>0.31877285242080688</v>
      </c>
      <c r="BI9" s="210"/>
      <c r="BJ9" s="220"/>
      <c r="BK9" s="103">
        <v>201710</v>
      </c>
      <c r="BL9" s="103">
        <v>2615017.7000000002</v>
      </c>
      <c r="BM9" s="113">
        <v>7.7135235071182251E-2</v>
      </c>
      <c r="BN9" s="210"/>
      <c r="BO9" s="223"/>
    </row>
    <row r="10" spans="2:82">
      <c r="B10" s="139" t="s">
        <v>161</v>
      </c>
      <c r="C10" s="90">
        <v>79</v>
      </c>
      <c r="D10" s="87">
        <v>360.74274099999991</v>
      </c>
      <c r="E10" s="88">
        <f>D10*0.95</f>
        <v>342.7056039499999</v>
      </c>
      <c r="F10" s="88">
        <f t="shared" si="0"/>
        <v>4.5663638101265809</v>
      </c>
      <c r="G10" s="88">
        <f t="shared" si="0"/>
        <v>4.3380456196202521</v>
      </c>
      <c r="H10" s="90">
        <f>ITA!B18/M10*(1+ITA!K18)^9</f>
        <v>25.330267631474062</v>
      </c>
      <c r="I10" s="55">
        <f>M10*ITA!M18</f>
        <v>265987975.53758538</v>
      </c>
      <c r="J10" s="131">
        <f>ITA!D18/ITA!E18</f>
        <v>2.3558220682779587</v>
      </c>
      <c r="K10" s="134">
        <f>I10*(C10/H10)^((1-J10)/J10)</f>
        <v>138217349.86569762</v>
      </c>
      <c r="L10" s="21">
        <f>K10/(E10*1000000000/C10)</f>
        <v>3.1861663519757326E-2</v>
      </c>
      <c r="M10" s="23">
        <v>1.8</v>
      </c>
      <c r="P10" s="94">
        <v>99.400001525878906</v>
      </c>
      <c r="Q10" s="200"/>
      <c r="R10" s="16">
        <v>212525</v>
      </c>
      <c r="S10" s="90">
        <v>823283</v>
      </c>
      <c r="T10" s="90">
        <v>5030545</v>
      </c>
      <c r="U10" s="21">
        <v>0.1636568158864975</v>
      </c>
      <c r="V10" s="210"/>
      <c r="W10" s="90">
        <v>219743</v>
      </c>
      <c r="X10" s="90">
        <v>896478</v>
      </c>
      <c r="Y10" s="90">
        <v>6456939</v>
      </c>
      <c r="Z10" s="21">
        <v>0.1388394683599472</v>
      </c>
      <c r="AA10" s="210"/>
      <c r="AB10" s="90">
        <v>842576.9</v>
      </c>
      <c r="AC10" s="90">
        <v>6711411.9000000004</v>
      </c>
      <c r="AD10" s="21">
        <v>0.12554390728473663</v>
      </c>
      <c r="AE10" s="210"/>
      <c r="AF10" s="90">
        <v>855593.10000000009</v>
      </c>
      <c r="AG10" s="16">
        <v>8244626.6000000006</v>
      </c>
      <c r="AH10" s="21">
        <v>0.10377584397792816</v>
      </c>
      <c r="AI10" s="210"/>
      <c r="AJ10" s="123">
        <f t="shared" si="1"/>
        <v>1.3035823038016481</v>
      </c>
      <c r="AK10" s="211"/>
      <c r="AL10" s="131">
        <f t="shared" si="2"/>
        <v>1.3378784795956624</v>
      </c>
      <c r="AM10" s="212"/>
      <c r="AO10" s="213"/>
      <c r="AQ10" s="16">
        <v>316078.59999999998</v>
      </c>
      <c r="AR10" s="16">
        <v>3641284.8</v>
      </c>
      <c r="AS10" s="21">
        <v>8.6804144084453583E-2</v>
      </c>
      <c r="AT10" s="210"/>
      <c r="AU10" s="217"/>
      <c r="AV10" s="103">
        <v>910152.10000000009</v>
      </c>
      <c r="AW10" s="103">
        <v>7673349.4000000004</v>
      </c>
      <c r="AX10" s="113">
        <v>0.11861210316419601</v>
      </c>
      <c r="AY10" s="210"/>
      <c r="AZ10" s="219"/>
      <c r="BA10" s="16">
        <v>373830.7</v>
      </c>
      <c r="BB10" s="16">
        <v>3542972.5</v>
      </c>
      <c r="BC10" s="21">
        <v>0.10551329702138901</v>
      </c>
      <c r="BD10" s="210"/>
      <c r="BE10" s="221"/>
      <c r="BF10" s="16">
        <v>1047140.4</v>
      </c>
      <c r="BG10" s="16">
        <v>3644737.4</v>
      </c>
      <c r="BH10" s="142">
        <v>0.28730201721191406</v>
      </c>
      <c r="BI10" s="210"/>
      <c r="BJ10" s="220"/>
      <c r="BK10" s="103">
        <v>217218.4</v>
      </c>
      <c r="BL10" s="103">
        <v>2758361.4</v>
      </c>
      <c r="BM10" s="113">
        <v>7.8749075531959534E-2</v>
      </c>
      <c r="BN10" s="210"/>
      <c r="BO10" s="223"/>
    </row>
    <row r="11" spans="2:82">
      <c r="B11"/>
      <c r="C11"/>
      <c r="D11"/>
      <c r="E11"/>
      <c r="H11"/>
      <c r="I11"/>
      <c r="J11"/>
      <c r="K11"/>
      <c r="L11"/>
      <c r="M11"/>
      <c r="P11" s="94">
        <v>99.5</v>
      </c>
      <c r="Q11" s="200"/>
      <c r="R11" s="16">
        <v>211378</v>
      </c>
      <c r="S11" s="90">
        <v>930522</v>
      </c>
      <c r="T11" s="90">
        <v>5878651</v>
      </c>
      <c r="U11" s="21">
        <v>0.15828835964202881</v>
      </c>
      <c r="V11" s="210"/>
      <c r="W11" s="90">
        <v>219742</v>
      </c>
      <c r="X11" s="90">
        <v>1017924</v>
      </c>
      <c r="Y11" s="90">
        <v>7458178</v>
      </c>
      <c r="Z11" s="21">
        <v>0.13648426532745361</v>
      </c>
      <c r="AA11" s="210"/>
      <c r="AB11" s="90">
        <v>957389.10000000009</v>
      </c>
      <c r="AC11" s="90">
        <v>7656846.4000000004</v>
      </c>
      <c r="AD11" s="21">
        <v>0.12503699958324432</v>
      </c>
      <c r="AE11" s="210"/>
      <c r="AF11" s="90">
        <v>977719.60000000009</v>
      </c>
      <c r="AG11" s="16">
        <v>9456254.7000000011</v>
      </c>
      <c r="AH11" s="21">
        <v>0.10339395701885223</v>
      </c>
      <c r="AI11" s="210"/>
      <c r="AJ11" s="123">
        <f t="shared" si="1"/>
        <v>1.2659321654359368</v>
      </c>
      <c r="AK11" s="211"/>
      <c r="AL11" s="131">
        <f t="shared" si="2"/>
        <v>1.3200410281479786</v>
      </c>
      <c r="AM11" s="212"/>
      <c r="AO11" s="213"/>
      <c r="AQ11" s="16">
        <v>338789.7</v>
      </c>
      <c r="AR11" s="16">
        <v>4081577.3</v>
      </c>
      <c r="AS11" s="21">
        <v>8.3004601299762726E-2</v>
      </c>
      <c r="AT11" s="210"/>
      <c r="AU11" s="217"/>
      <c r="AV11" s="103">
        <v>1042543.4</v>
      </c>
      <c r="AW11" s="103">
        <v>8783615.8000000007</v>
      </c>
      <c r="AX11" s="113">
        <v>0.1186918243765831</v>
      </c>
      <c r="AY11" s="210"/>
      <c r="AZ11" s="219"/>
      <c r="BA11" s="16">
        <v>402781.2</v>
      </c>
      <c r="BB11" s="16">
        <v>3882775.1</v>
      </c>
      <c r="BC11" s="21">
        <v>0.10373539477586746</v>
      </c>
      <c r="BD11" s="210"/>
      <c r="BE11" s="221"/>
      <c r="BF11" s="16">
        <v>1051071.8999999999</v>
      </c>
      <c r="BG11" s="16">
        <v>4260531.7</v>
      </c>
      <c r="BH11" s="142">
        <v>0.24669970571994781</v>
      </c>
      <c r="BI11" s="210"/>
      <c r="BJ11" s="220"/>
      <c r="BK11" s="103">
        <v>237490</v>
      </c>
      <c r="BL11" s="103">
        <v>2901718.1</v>
      </c>
      <c r="BM11" s="113">
        <v>8.1844612956047058E-2</v>
      </c>
      <c r="BN11" s="210"/>
      <c r="BO11" s="223"/>
    </row>
    <row r="12" spans="2:82">
      <c r="B12" s="85" t="s">
        <v>279</v>
      </c>
      <c r="C12"/>
      <c r="D12"/>
      <c r="E12"/>
      <c r="H12"/>
      <c r="I12"/>
      <c r="J12"/>
      <c r="K12"/>
      <c r="L12"/>
      <c r="M12"/>
      <c r="P12" s="94">
        <v>99.599998474121094</v>
      </c>
      <c r="Q12" s="200"/>
      <c r="R12" s="16">
        <v>211298</v>
      </c>
      <c r="S12" s="90">
        <v>1090817</v>
      </c>
      <c r="T12" s="90">
        <v>7136078</v>
      </c>
      <c r="U12" s="21">
        <v>0.15285944938659668</v>
      </c>
      <c r="V12" s="210"/>
      <c r="W12" s="90">
        <v>219910</v>
      </c>
      <c r="X12" s="90">
        <v>1201878</v>
      </c>
      <c r="Y12" s="90">
        <v>9422821</v>
      </c>
      <c r="Z12" s="21">
        <v>0.12754970788955688</v>
      </c>
      <c r="AA12" s="210"/>
      <c r="AB12" s="90">
        <v>1126266.6000000001</v>
      </c>
      <c r="AC12" s="90">
        <v>9053075.5999999996</v>
      </c>
      <c r="AD12" s="21">
        <v>0.12440706789493561</v>
      </c>
      <c r="AE12" s="210"/>
      <c r="AF12" s="90">
        <v>1158235.2</v>
      </c>
      <c r="AG12" s="16">
        <v>11265624.199999999</v>
      </c>
      <c r="AH12" s="21">
        <v>0.10281145572662354</v>
      </c>
      <c r="AI12" s="210"/>
      <c r="AJ12" s="123">
        <f t="shared" si="1"/>
        <v>1.2287038990074881</v>
      </c>
      <c r="AK12" s="211"/>
      <c r="AL12" s="131">
        <f t="shared" si="2"/>
        <v>1.2406176625755845</v>
      </c>
      <c r="AM12" s="212"/>
      <c r="AO12" s="213"/>
      <c r="AQ12" s="16">
        <v>388663.4</v>
      </c>
      <c r="AR12" s="16">
        <v>4728665.5</v>
      </c>
      <c r="AS12" s="21">
        <v>8.2193039357662201E-2</v>
      </c>
      <c r="AT12" s="210"/>
      <c r="AU12" s="217"/>
      <c r="AV12" s="103">
        <v>1238402.6000000001</v>
      </c>
      <c r="AW12" s="103">
        <v>10439878.699999999</v>
      </c>
      <c r="AX12" s="113">
        <v>0.1186223179101944</v>
      </c>
      <c r="AY12" s="210"/>
      <c r="AZ12" s="219"/>
      <c r="BA12" s="16">
        <v>424094.2</v>
      </c>
      <c r="BB12" s="16">
        <v>4352059.9000000004</v>
      </c>
      <c r="BC12" s="21">
        <v>9.7446776926517487E-2</v>
      </c>
      <c r="BD12" s="210"/>
      <c r="BE12" s="221"/>
      <c r="BF12" s="16">
        <v>1051113.7</v>
      </c>
      <c r="BG12" s="16">
        <v>5151296.7</v>
      </c>
      <c r="BH12" s="142">
        <v>0.20404836535453796</v>
      </c>
      <c r="BI12" s="210"/>
      <c r="BJ12" s="220"/>
      <c r="BK12" s="103">
        <v>270702.40000000002</v>
      </c>
      <c r="BL12" s="103">
        <v>3055458.5</v>
      </c>
      <c r="BM12" s="113">
        <v>8.8596329092979431E-2</v>
      </c>
      <c r="BN12" s="210"/>
      <c r="BO12" s="223"/>
    </row>
    <row r="13" spans="2:82">
      <c r="B13" s="86" t="s">
        <v>280</v>
      </c>
      <c r="P13" s="94">
        <v>99.699996948242188</v>
      </c>
      <c r="Q13" s="200"/>
      <c r="R13" s="16">
        <v>211291</v>
      </c>
      <c r="S13" s="90">
        <v>1344974</v>
      </c>
      <c r="T13" s="90">
        <v>8947002</v>
      </c>
      <c r="U13" s="21">
        <v>0.15032677352428436</v>
      </c>
      <c r="V13" s="210"/>
      <c r="W13" s="90">
        <v>219746</v>
      </c>
      <c r="X13" s="90">
        <v>1505203</v>
      </c>
      <c r="Y13" s="90">
        <v>12088601</v>
      </c>
      <c r="Z13" s="21">
        <v>0.12451424449682236</v>
      </c>
      <c r="AA13" s="210"/>
      <c r="AB13" s="90">
        <v>1406366.6</v>
      </c>
      <c r="AC13" s="90">
        <v>11393769.699999999</v>
      </c>
      <c r="AD13" s="21">
        <v>0.1234329491853714</v>
      </c>
      <c r="AE13" s="210"/>
      <c r="AF13" s="90">
        <v>1458803.9</v>
      </c>
      <c r="AG13" s="16">
        <v>14345314.300000001</v>
      </c>
      <c r="AH13" s="21">
        <v>0.10169201344251633</v>
      </c>
      <c r="AI13" s="210"/>
      <c r="AJ13" s="123">
        <f t="shared" si="1"/>
        <v>1.2178820526966738</v>
      </c>
      <c r="AK13" s="211"/>
      <c r="AL13" s="131">
        <f t="shared" si="2"/>
        <v>1.2244250092187112</v>
      </c>
      <c r="AM13" s="212"/>
      <c r="AO13" s="213"/>
      <c r="AQ13" s="16">
        <v>485674.3</v>
      </c>
      <c r="AR13" s="16">
        <v>5836555.5</v>
      </c>
      <c r="AS13" s="21">
        <v>8.3212487399578094E-2</v>
      </c>
      <c r="AT13" s="210"/>
      <c r="AU13" s="217"/>
      <c r="AV13" s="103">
        <v>1564824.7</v>
      </c>
      <c r="AW13" s="103">
        <v>13253775.9</v>
      </c>
      <c r="AX13" s="113">
        <v>0.11806633323431015</v>
      </c>
      <c r="AY13" s="210"/>
      <c r="AZ13" s="219"/>
      <c r="BA13" s="16">
        <v>482046.3</v>
      </c>
      <c r="BB13" s="16">
        <v>5067882.4000000004</v>
      </c>
      <c r="BC13" s="21">
        <v>9.5117896795272827E-2</v>
      </c>
      <c r="BD13" s="210"/>
      <c r="BE13" s="221"/>
      <c r="BF13" s="16">
        <v>1051378.2</v>
      </c>
      <c r="BG13" s="16">
        <v>6717364.4000000004</v>
      </c>
      <c r="BH13" s="142">
        <v>0.15651647746562958</v>
      </c>
      <c r="BI13" s="210"/>
      <c r="BJ13" s="220"/>
      <c r="BK13" s="103">
        <v>314974.2</v>
      </c>
      <c r="BL13" s="103">
        <v>4035674.8</v>
      </c>
      <c r="BM13" s="113">
        <v>7.8047469258308411E-2</v>
      </c>
      <c r="BN13" s="210"/>
      <c r="BO13" s="223"/>
      <c r="BQ13" s="83"/>
    </row>
    <row r="14" spans="2:82">
      <c r="P14" s="94">
        <v>99.800003051757813</v>
      </c>
      <c r="Q14" s="200"/>
      <c r="R14" s="16">
        <v>211339</v>
      </c>
      <c r="S14" s="90">
        <v>1906811</v>
      </c>
      <c r="T14" s="90">
        <v>13710430</v>
      </c>
      <c r="U14" s="21">
        <v>0.13907741010189056</v>
      </c>
      <c r="V14" s="210"/>
      <c r="W14" s="90">
        <v>219786</v>
      </c>
      <c r="X14" s="90">
        <v>2180752</v>
      </c>
      <c r="Y14" s="90">
        <v>18297576</v>
      </c>
      <c r="Z14" s="21">
        <v>0.11918256431818008</v>
      </c>
      <c r="AA14" s="210"/>
      <c r="AB14" s="90">
        <v>1996956</v>
      </c>
      <c r="AC14" s="90">
        <v>16455739.300000001</v>
      </c>
      <c r="AD14" s="21">
        <v>0.12135316431522369</v>
      </c>
      <c r="AE14" s="210"/>
      <c r="AF14" s="90">
        <v>2093829.1</v>
      </c>
      <c r="AG14" s="16">
        <v>21158584.100000001</v>
      </c>
      <c r="AH14" s="21">
        <v>9.8958849906921387E-2</v>
      </c>
      <c r="AI14" s="210"/>
      <c r="AJ14" s="123">
        <f t="shared" si="1"/>
        <v>1.1460550772341367</v>
      </c>
      <c r="AK14" s="211"/>
      <c r="AL14" s="131">
        <f t="shared" si="2"/>
        <v>1.2043648893482564</v>
      </c>
      <c r="AM14" s="212"/>
      <c r="AO14" s="213"/>
      <c r="AQ14" s="16">
        <v>655604.60000000009</v>
      </c>
      <c r="AR14" s="16">
        <v>8239855.4000000004</v>
      </c>
      <c r="AS14" s="21">
        <v>7.9565063118934631E-2</v>
      </c>
      <c r="AT14" s="210"/>
      <c r="AU14" s="217"/>
      <c r="AV14" s="103">
        <v>2255323.1</v>
      </c>
      <c r="AW14" s="103">
        <v>19461340.199999999</v>
      </c>
      <c r="AX14" s="113">
        <v>0.115887351334095</v>
      </c>
      <c r="AY14" s="210"/>
      <c r="AZ14" s="219"/>
      <c r="BA14" s="16">
        <v>557459.4</v>
      </c>
      <c r="BB14" s="16">
        <v>6398943.5</v>
      </c>
      <c r="BC14" s="21">
        <v>8.7117411196231842E-2</v>
      </c>
      <c r="BD14" s="210"/>
      <c r="BE14" s="221"/>
      <c r="BF14" s="16">
        <v>1379023.4</v>
      </c>
      <c r="BG14" s="16">
        <v>10141190.9</v>
      </c>
      <c r="BH14" s="142">
        <v>0.13598239421844482</v>
      </c>
      <c r="BI14" s="210"/>
      <c r="BJ14" s="220"/>
      <c r="BK14" s="103">
        <v>445975.2</v>
      </c>
      <c r="BL14" s="103">
        <v>5538325.8000000007</v>
      </c>
      <c r="BM14" s="113">
        <v>8.0525271594524384E-2</v>
      </c>
      <c r="BN14" s="210"/>
      <c r="BO14" s="223"/>
    </row>
    <row r="15" spans="2:82">
      <c r="B15" s="86" t="s">
        <v>278</v>
      </c>
      <c r="P15" s="94">
        <v>99.900001525878906</v>
      </c>
      <c r="Q15" s="200" t="s">
        <v>35</v>
      </c>
      <c r="R15" s="16">
        <v>21142</v>
      </c>
      <c r="S15" s="90">
        <v>2519575</v>
      </c>
      <c r="T15" s="90">
        <v>17726042</v>
      </c>
      <c r="U15" s="21">
        <v>0.142139732837677</v>
      </c>
      <c r="V15" s="210">
        <f>SUMPRODUCT(S15:S23,U15:U23)/SUM(S15:S23)</f>
        <v>0.13740003410059548</v>
      </c>
      <c r="W15" s="90">
        <v>21977</v>
      </c>
      <c r="X15" s="90">
        <v>2955498</v>
      </c>
      <c r="Y15" s="90">
        <v>23547772</v>
      </c>
      <c r="Z15" s="21">
        <v>0.12551072239875793</v>
      </c>
      <c r="AA15" s="210">
        <f>SUMPRODUCT(X15:X23,Z15:Z23)/SUM(X15:X23)</f>
        <v>0.11590618377829078</v>
      </c>
      <c r="AB15" s="90">
        <v>2650065.2000000002</v>
      </c>
      <c r="AC15" s="90">
        <v>22200058.300000001</v>
      </c>
      <c r="AD15" s="21">
        <v>0.11937199532985687</v>
      </c>
      <c r="AE15" s="210">
        <f>SUMPRODUCT(AB15:AB23,AD15:AD23)/SUM(AB15:AB23)</f>
        <v>0.11411359344331277</v>
      </c>
      <c r="AF15" s="90">
        <v>2796238.3</v>
      </c>
      <c r="AG15" s="16">
        <v>29030526.399999999</v>
      </c>
      <c r="AH15" s="21">
        <v>9.632062166929245E-2</v>
      </c>
      <c r="AI15" s="210">
        <f>SUMPRODUCT(AF15:AF23,AH15:AH23)/SUM(AF15:AF23)</f>
        <v>9.0113623231314666E-2</v>
      </c>
      <c r="AJ15" s="123">
        <f t="shared" si="1"/>
        <v>1.1907293033421009</v>
      </c>
      <c r="AK15" s="211">
        <f>V15/AE15</f>
        <v>1.2040636873717461</v>
      </c>
      <c r="AL15" s="131">
        <f t="shared" si="2"/>
        <v>1.3030514154039297</v>
      </c>
      <c r="AM15" s="212">
        <f>AA15/AI15</f>
        <v>1.2862226555996823</v>
      </c>
      <c r="AO15" s="213">
        <v>1.3</v>
      </c>
      <c r="AQ15" s="16">
        <v>857717.3</v>
      </c>
      <c r="AR15" s="16">
        <v>10760834.9</v>
      </c>
      <c r="AS15" s="21">
        <v>7.9707317054271698E-2</v>
      </c>
      <c r="AT15" s="210">
        <f t="shared" ref="AT15" si="3">SUMPRODUCT(AQ15:AQ23,AS15:AS23)/SUM(AQ15:AQ23)</f>
        <v>8.3149173933954934E-2</v>
      </c>
      <c r="AU15" s="217">
        <f>AT15*$AO15</f>
        <v>0.10809392611414141</v>
      </c>
      <c r="AV15" s="103">
        <v>3020017.2</v>
      </c>
      <c r="AW15" s="103">
        <v>26618031.399999999</v>
      </c>
      <c r="AX15" s="113">
        <v>0.1134575679898262</v>
      </c>
      <c r="AY15" s="210">
        <f>SUMPRODUCT(AV15:AV23,AX15:AX23)/SUM(AV15:AV23)</f>
        <v>0.1075378668827161</v>
      </c>
      <c r="AZ15" s="219">
        <f>AY15*$AO15</f>
        <v>0.13979922694753094</v>
      </c>
      <c r="BA15" s="16">
        <v>654098.4</v>
      </c>
      <c r="BB15" s="16">
        <v>7719824</v>
      </c>
      <c r="BC15" s="21">
        <v>8.4729701280593872E-2</v>
      </c>
      <c r="BD15" s="210">
        <f>SUMPRODUCT(BA15:BA23,BC15:BC23)/SUM(BA15:BA23)</f>
        <v>8.0605182684009596E-2</v>
      </c>
      <c r="BE15" s="221">
        <f>BD15*$AO15</f>
        <v>0.10478673748921248</v>
      </c>
      <c r="BF15" s="16">
        <v>4146465.3</v>
      </c>
      <c r="BG15" s="16">
        <v>13843634.1</v>
      </c>
      <c r="BH15" s="142">
        <v>0.29952144622802734</v>
      </c>
      <c r="BI15" s="210">
        <f t="shared" ref="BI15" si="4">SUMPRODUCT(BF15:BF23,BH15:BH23)/SUM(BF15:BF23)</f>
        <v>0.19570130514406356</v>
      </c>
      <c r="BJ15" s="220">
        <f>BI15*$AO15</f>
        <v>0.25441169668728264</v>
      </c>
      <c r="BK15" s="103">
        <v>541530.6</v>
      </c>
      <c r="BL15" s="103">
        <v>6596798.5</v>
      </c>
      <c r="BM15" s="113">
        <v>8.2089908421039581E-2</v>
      </c>
      <c r="BN15" s="210">
        <f t="shared" ref="BN15" si="5">SUMPRODUCT(BK15:BK23,BM15:BM23)/SUM(BK15:BK23)</f>
        <v>7.3699815686501566E-2</v>
      </c>
      <c r="BO15" s="223">
        <f>BN15*$AO15</f>
        <v>9.5809760392452037E-2</v>
      </c>
      <c r="BQ15" s="141"/>
      <c r="CA15" s="86"/>
      <c r="CB15" s="86"/>
      <c r="CC15" s="86"/>
      <c r="CD15" s="86"/>
    </row>
    <row r="16" spans="2:82">
      <c r="B16" s="86" t="s">
        <v>281</v>
      </c>
      <c r="P16" s="94">
        <v>99.910003662109375</v>
      </c>
      <c r="Q16" s="200"/>
      <c r="R16" s="16">
        <v>21118</v>
      </c>
      <c r="S16" s="90">
        <v>2719550</v>
      </c>
      <c r="T16" s="90">
        <v>18398992</v>
      </c>
      <c r="U16" s="21">
        <v>0.14780972898006439</v>
      </c>
      <c r="V16" s="210"/>
      <c r="W16" s="90">
        <v>21981</v>
      </c>
      <c r="X16" s="90">
        <v>3191711</v>
      </c>
      <c r="Y16" s="90">
        <v>26677970</v>
      </c>
      <c r="Z16" s="21">
        <v>0.11963845044374466</v>
      </c>
      <c r="AA16" s="210"/>
      <c r="AB16" s="90">
        <v>2854843.8</v>
      </c>
      <c r="AC16" s="90">
        <v>24037675.800000001</v>
      </c>
      <c r="AD16" s="21">
        <v>0.11876538395881653</v>
      </c>
      <c r="AE16" s="210"/>
      <c r="AF16" s="90">
        <v>3016560.4</v>
      </c>
      <c r="AG16" s="16">
        <v>31578960.100000001</v>
      </c>
      <c r="AH16" s="21">
        <v>9.5524370670318604E-2</v>
      </c>
      <c r="AI16" s="210"/>
      <c r="AJ16" s="123">
        <f t="shared" si="1"/>
        <v>1.244552276539765</v>
      </c>
      <c r="AK16" s="211"/>
      <c r="AL16" s="131">
        <f t="shared" si="2"/>
        <v>1.2524390331410873</v>
      </c>
      <c r="AM16" s="212"/>
      <c r="AO16" s="213"/>
      <c r="AQ16" s="16">
        <v>908389.5</v>
      </c>
      <c r="AR16" s="16">
        <v>11487851.199999999</v>
      </c>
      <c r="AS16" s="21">
        <v>7.907392829656601E-2</v>
      </c>
      <c r="AT16" s="210"/>
      <c r="AU16" s="217"/>
      <c r="AV16" s="103">
        <v>3260157.7</v>
      </c>
      <c r="AW16" s="103">
        <v>28931029.300000001</v>
      </c>
      <c r="AX16" s="113">
        <v>0.11268723756074905</v>
      </c>
      <c r="AY16" s="210"/>
      <c r="AZ16" s="219"/>
      <c r="BA16" s="16">
        <v>681653.9</v>
      </c>
      <c r="BB16" s="16">
        <v>8102269.9000000004</v>
      </c>
      <c r="BC16" s="21">
        <v>8.4131225943565369E-2</v>
      </c>
      <c r="BD16" s="210"/>
      <c r="BE16" s="221"/>
      <c r="BF16" s="16">
        <v>4150618.6</v>
      </c>
      <c r="BG16" s="16">
        <v>14961664.9</v>
      </c>
      <c r="BH16" s="142">
        <v>0.2774168848991394</v>
      </c>
      <c r="BI16" s="210"/>
      <c r="BJ16" s="220"/>
      <c r="BK16" s="103">
        <v>569303.6</v>
      </c>
      <c r="BL16" s="103">
        <v>7211138.1000000006</v>
      </c>
      <c r="BM16" s="113">
        <v>7.894781231880188E-2</v>
      </c>
      <c r="BN16" s="210"/>
      <c r="BO16" s="223"/>
      <c r="BQ16" s="141"/>
      <c r="CA16" s="86"/>
      <c r="CB16" s="86"/>
      <c r="CC16" s="86"/>
      <c r="CD16" s="86"/>
    </row>
    <row r="17" spans="2:82">
      <c r="B17" s="86" t="s">
        <v>282</v>
      </c>
      <c r="P17" s="94">
        <v>99.919998168945313</v>
      </c>
      <c r="Q17" s="200"/>
      <c r="R17" s="16">
        <v>21137</v>
      </c>
      <c r="S17" s="90">
        <v>2967143</v>
      </c>
      <c r="T17" s="90">
        <v>20567982</v>
      </c>
      <c r="U17" s="21">
        <v>0.14426028728485107</v>
      </c>
      <c r="V17" s="210"/>
      <c r="W17" s="90">
        <v>21975</v>
      </c>
      <c r="X17" s="90">
        <v>3493493</v>
      </c>
      <c r="Y17" s="90">
        <v>28564976</v>
      </c>
      <c r="Z17" s="21">
        <v>0.12229987233877182</v>
      </c>
      <c r="AA17" s="210"/>
      <c r="AB17" s="90">
        <v>3104471.4</v>
      </c>
      <c r="AC17" s="90">
        <v>26294230</v>
      </c>
      <c r="AD17" s="21">
        <v>0.11806663870811462</v>
      </c>
      <c r="AE17" s="210"/>
      <c r="AF17" s="90">
        <v>3285293.7</v>
      </c>
      <c r="AG17" s="16">
        <v>34720958.899999999</v>
      </c>
      <c r="AH17" s="21">
        <v>9.4619899988174438E-2</v>
      </c>
      <c r="AI17" s="210"/>
      <c r="AJ17" s="123">
        <f t="shared" si="1"/>
        <v>1.2218547835641584</v>
      </c>
      <c r="AK17" s="211"/>
      <c r="AL17" s="131">
        <f t="shared" si="2"/>
        <v>1.2925385923474535</v>
      </c>
      <c r="AM17" s="212"/>
      <c r="AO17" s="213"/>
      <c r="AQ17" s="16">
        <v>979449.20000000007</v>
      </c>
      <c r="AR17" s="16">
        <v>12361941.9</v>
      </c>
      <c r="AS17" s="21">
        <v>7.9231016337871552E-2</v>
      </c>
      <c r="AT17" s="210"/>
      <c r="AU17" s="217"/>
      <c r="AV17" s="103">
        <v>3553289.4</v>
      </c>
      <c r="AW17" s="103">
        <v>31777907.300000001</v>
      </c>
      <c r="AX17" s="113">
        <v>0.11181634664535522</v>
      </c>
      <c r="AY17" s="210"/>
      <c r="AZ17" s="219"/>
      <c r="BA17" s="16">
        <v>714053.3</v>
      </c>
      <c r="BB17" s="16">
        <v>8555140.9000000004</v>
      </c>
      <c r="BC17" s="21">
        <v>8.3464823663234711E-2</v>
      </c>
      <c r="BD17" s="210"/>
      <c r="BE17" s="221"/>
      <c r="BF17" s="16">
        <v>4154762.7</v>
      </c>
      <c r="BG17" s="16">
        <v>16431484.699999999</v>
      </c>
      <c r="BH17" s="142">
        <v>0.25285375118255615</v>
      </c>
      <c r="BI17" s="210"/>
      <c r="BJ17" s="220"/>
      <c r="BK17" s="103">
        <v>602214.9</v>
      </c>
      <c r="BL17" s="103">
        <v>7825688.2000000002</v>
      </c>
      <c r="BM17" s="113">
        <v>7.6953604817390442E-2</v>
      </c>
      <c r="BN17" s="210"/>
      <c r="BO17" s="223"/>
      <c r="BQ17" s="141"/>
      <c r="CA17" s="86"/>
      <c r="CB17" s="86"/>
      <c r="CC17" s="86"/>
      <c r="CD17" s="86"/>
    </row>
    <row r="18" spans="2:82">
      <c r="B18" s="86" t="s">
        <v>283</v>
      </c>
      <c r="P18" s="94">
        <v>99.930000305175781</v>
      </c>
      <c r="Q18" s="200"/>
      <c r="R18" s="16">
        <v>21139</v>
      </c>
      <c r="S18" s="90">
        <v>3272947</v>
      </c>
      <c r="T18" s="90">
        <v>23382856</v>
      </c>
      <c r="U18" s="21">
        <v>0.13997207581996918</v>
      </c>
      <c r="V18" s="210"/>
      <c r="W18" s="90">
        <v>21985</v>
      </c>
      <c r="X18" s="90">
        <v>3870188</v>
      </c>
      <c r="Y18" s="90">
        <v>30870856</v>
      </c>
      <c r="Z18" s="21">
        <v>0.12536704540252686</v>
      </c>
      <c r="AA18" s="210"/>
      <c r="AB18" s="90">
        <v>3416829.9</v>
      </c>
      <c r="AC18" s="90">
        <v>29140279.899999999</v>
      </c>
      <c r="AD18" s="21">
        <v>0.11725453287363052</v>
      </c>
      <c r="AE18" s="210"/>
      <c r="AF18" s="90">
        <v>3621916.4</v>
      </c>
      <c r="AG18" s="16">
        <v>38699901.399999999</v>
      </c>
      <c r="AH18" s="21">
        <v>9.3589812517166138E-2</v>
      </c>
      <c r="AI18" s="210"/>
      <c r="AJ18" s="123">
        <f t="shared" si="1"/>
        <v>1.1937455413414353</v>
      </c>
      <c r="AK18" s="211"/>
      <c r="AL18" s="131">
        <f t="shared" si="2"/>
        <v>1.3395373067932173</v>
      </c>
      <c r="AM18" s="212"/>
      <c r="AO18" s="213"/>
      <c r="AQ18" s="16">
        <v>1074757.5</v>
      </c>
      <c r="AR18" s="16">
        <v>13424830.1</v>
      </c>
      <c r="AS18" s="21">
        <v>8.0057434737682343E-2</v>
      </c>
      <c r="AT18" s="210"/>
      <c r="AU18" s="217"/>
      <c r="AV18" s="103">
        <v>3920832.3</v>
      </c>
      <c r="AW18" s="103">
        <v>35378969.100000001</v>
      </c>
      <c r="AX18" s="113">
        <v>0.11082381755113602</v>
      </c>
      <c r="AY18" s="210"/>
      <c r="AZ18" s="219"/>
      <c r="BA18" s="16">
        <v>752995.4</v>
      </c>
      <c r="BB18" s="16">
        <v>9100802.0999999996</v>
      </c>
      <c r="BC18" s="21">
        <v>8.2739457488059998E-2</v>
      </c>
      <c r="BD18" s="210"/>
      <c r="BE18" s="221"/>
      <c r="BF18" s="16">
        <v>4158920.7</v>
      </c>
      <c r="BG18" s="16">
        <v>18457849.5</v>
      </c>
      <c r="BH18" s="142">
        <v>0.22531989216804504</v>
      </c>
      <c r="BI18" s="210"/>
      <c r="BJ18" s="220"/>
      <c r="BK18" s="103">
        <v>642130</v>
      </c>
      <c r="BL18" s="103">
        <v>8439477.2000000011</v>
      </c>
      <c r="BM18" s="113">
        <v>7.6086468994617462E-2</v>
      </c>
      <c r="BN18" s="210"/>
      <c r="BO18" s="223"/>
      <c r="BQ18" s="141"/>
      <c r="CA18" s="86"/>
      <c r="CB18" s="86"/>
      <c r="CC18" s="86"/>
      <c r="CD18" s="86"/>
    </row>
    <row r="19" spans="2:82">
      <c r="B19" s="86" t="s">
        <v>285</v>
      </c>
      <c r="P19" s="94">
        <v>99.94000244140625</v>
      </c>
      <c r="Q19" s="200"/>
      <c r="R19" s="16">
        <v>21119</v>
      </c>
      <c r="S19" s="90">
        <v>3691000</v>
      </c>
      <c r="T19" s="90">
        <v>27228760</v>
      </c>
      <c r="U19" s="21">
        <v>0.13555519282817841</v>
      </c>
      <c r="V19" s="210"/>
      <c r="W19" s="90">
        <v>21956</v>
      </c>
      <c r="X19" s="90">
        <v>4380497</v>
      </c>
      <c r="Y19" s="90">
        <v>38206492</v>
      </c>
      <c r="Z19" s="21">
        <v>0.11465321481227875</v>
      </c>
      <c r="AA19" s="210"/>
      <c r="AB19" s="90">
        <v>3821395.2</v>
      </c>
      <c r="AC19" s="90">
        <v>32858264.800000001</v>
      </c>
      <c r="AD19" s="21">
        <v>0.11629936099052429</v>
      </c>
      <c r="AE19" s="210"/>
      <c r="AF19" s="90">
        <v>4058657</v>
      </c>
      <c r="AG19" s="16">
        <v>43918778</v>
      </c>
      <c r="AH19" s="21">
        <v>9.2412792146205902E-2</v>
      </c>
      <c r="AI19" s="210"/>
      <c r="AJ19" s="123">
        <f t="shared" si="1"/>
        <v>1.1655712608706683</v>
      </c>
      <c r="AK19" s="211"/>
      <c r="AL19" s="131">
        <f t="shared" si="2"/>
        <v>1.2406638967350576</v>
      </c>
      <c r="AM19" s="212"/>
      <c r="AO19" s="213"/>
      <c r="AQ19" s="16">
        <v>1193238.7</v>
      </c>
      <c r="AR19" s="16">
        <v>14801664.300000001</v>
      </c>
      <c r="AS19" s="21">
        <v>8.0615170300006866E-2</v>
      </c>
      <c r="AT19" s="210"/>
      <c r="AU19" s="217"/>
      <c r="AV19" s="103">
        <v>4398325.1000000006</v>
      </c>
      <c r="AW19" s="103">
        <v>40096256.5</v>
      </c>
      <c r="AX19" s="113">
        <v>0.10969416052103043</v>
      </c>
      <c r="AY19" s="210"/>
      <c r="AZ19" s="219"/>
      <c r="BA19" s="16">
        <v>801181.20000000007</v>
      </c>
      <c r="BB19" s="16">
        <v>9787299.8000000007</v>
      </c>
      <c r="BC19" s="21">
        <v>8.1859268248081207E-2</v>
      </c>
      <c r="BD19" s="210"/>
      <c r="BE19" s="221"/>
      <c r="BF19" s="16">
        <v>4163083.4</v>
      </c>
      <c r="BG19" s="16">
        <v>21133102.100000001</v>
      </c>
      <c r="BH19" s="142">
        <v>0.19699348509311676</v>
      </c>
      <c r="BI19" s="210"/>
      <c r="BJ19" s="220"/>
      <c r="BK19" s="103">
        <v>692058.10000000009</v>
      </c>
      <c r="BL19" s="103">
        <v>9055355.2000000011</v>
      </c>
      <c r="BM19" s="113">
        <v>7.6425284147262573E-2</v>
      </c>
      <c r="BN19" s="210"/>
      <c r="BO19" s="223"/>
      <c r="BQ19" s="141"/>
      <c r="CA19" s="86"/>
      <c r="CB19" s="86"/>
      <c r="CC19" s="86"/>
      <c r="CD19" s="86"/>
    </row>
    <row r="20" spans="2:82">
      <c r="P20" s="94">
        <v>99.949996948242188</v>
      </c>
      <c r="Q20" s="200"/>
      <c r="R20" s="16">
        <v>21143</v>
      </c>
      <c r="S20" s="90">
        <v>4245222</v>
      </c>
      <c r="T20" s="90">
        <v>30578480</v>
      </c>
      <c r="U20" s="21">
        <v>0.13883037865161896</v>
      </c>
      <c r="V20" s="210"/>
      <c r="W20" s="90">
        <v>21980</v>
      </c>
      <c r="X20" s="90">
        <v>5059238</v>
      </c>
      <c r="Y20" s="90">
        <v>42972704</v>
      </c>
      <c r="Z20" s="21">
        <v>0.11773142963647842</v>
      </c>
      <c r="AA20" s="210"/>
      <c r="AB20" s="90">
        <v>4370966</v>
      </c>
      <c r="AC20" s="90">
        <v>37957217.200000003</v>
      </c>
      <c r="AD20" s="21">
        <v>0.11515507102012634</v>
      </c>
      <c r="AE20" s="210"/>
      <c r="AF20" s="90">
        <v>4653414.1000000006</v>
      </c>
      <c r="AG20" s="16">
        <v>51104924.200000003</v>
      </c>
      <c r="AH20" s="21">
        <v>9.1056078672409058E-2</v>
      </c>
      <c r="AI20" s="210"/>
      <c r="AJ20" s="123">
        <f t="shared" si="1"/>
        <v>1.2055950069915267</v>
      </c>
      <c r="AK20" s="211"/>
      <c r="AL20" s="131">
        <f t="shared" si="2"/>
        <v>1.2929551914929132</v>
      </c>
      <c r="AM20" s="212"/>
      <c r="AO20" s="213"/>
      <c r="AQ20" s="16">
        <v>1353005.6</v>
      </c>
      <c r="AR20" s="16">
        <v>16607008.4</v>
      </c>
      <c r="AS20" s="21">
        <v>8.1471964716911316E-2</v>
      </c>
      <c r="AT20" s="210"/>
      <c r="AU20" s="217"/>
      <c r="AV20" s="103">
        <v>5049762.2</v>
      </c>
      <c r="AW20" s="103">
        <v>46591289.900000013</v>
      </c>
      <c r="AX20" s="113">
        <v>0.10838425159454346</v>
      </c>
      <c r="AY20" s="210"/>
      <c r="AZ20" s="219"/>
      <c r="BA20" s="16">
        <v>863228.60000000009</v>
      </c>
      <c r="BB20" s="16">
        <v>10675101.9</v>
      </c>
      <c r="BC20" s="21">
        <v>8.0863736569881439E-2</v>
      </c>
      <c r="BD20" s="210"/>
      <c r="BE20" s="221"/>
      <c r="BF20" s="16">
        <v>4167241.4</v>
      </c>
      <c r="BG20" s="16">
        <v>24382959.300000001</v>
      </c>
      <c r="BH20" s="142">
        <v>0.17090794444084167</v>
      </c>
      <c r="BI20" s="210"/>
      <c r="BJ20" s="220"/>
      <c r="BK20" s="103">
        <v>757212.3</v>
      </c>
      <c r="BL20" s="103">
        <v>9670132.0999999996</v>
      </c>
      <c r="BM20" s="113">
        <v>7.8304238617420197E-2</v>
      </c>
      <c r="BN20" s="210"/>
      <c r="BO20" s="223"/>
      <c r="CA20" s="86"/>
      <c r="CB20" s="86"/>
      <c r="CC20" s="86"/>
      <c r="CD20" s="86"/>
    </row>
    <row r="21" spans="2:82">
      <c r="B21" s="86" t="s">
        <v>286</v>
      </c>
      <c r="P21" s="94">
        <v>99.959999084472656</v>
      </c>
      <c r="Q21" s="200"/>
      <c r="R21" s="16">
        <v>21120</v>
      </c>
      <c r="S21" s="90">
        <v>5028696</v>
      </c>
      <c r="T21" s="90">
        <v>36304920</v>
      </c>
      <c r="U21" s="21">
        <v>0.13851279020309448</v>
      </c>
      <c r="V21" s="210"/>
      <c r="W21" s="90">
        <v>21992</v>
      </c>
      <c r="X21" s="90">
        <v>6025107</v>
      </c>
      <c r="Y21" s="90">
        <v>52364656</v>
      </c>
      <c r="Z21" s="21">
        <v>0.11506056785583496</v>
      </c>
      <c r="AA21" s="210"/>
      <c r="AB21" s="90">
        <v>5172076.5</v>
      </c>
      <c r="AC21" s="90">
        <v>45471887.100000001</v>
      </c>
      <c r="AD21" s="21">
        <v>0.11374229192733765</v>
      </c>
      <c r="AE21" s="210"/>
      <c r="AF21" s="90">
        <v>5523560.7000000002</v>
      </c>
      <c r="AG21" s="16">
        <v>61738932.400000013</v>
      </c>
      <c r="AH21" s="21">
        <v>8.9466407895088196E-2</v>
      </c>
      <c r="AI21" s="210"/>
      <c r="AJ21" s="123">
        <f t="shared" si="1"/>
        <v>1.2177773795131634</v>
      </c>
      <c r="AK21" s="211"/>
      <c r="AL21" s="131">
        <f t="shared" si="2"/>
        <v>1.2860756407115337</v>
      </c>
      <c r="AM21" s="212"/>
      <c r="AO21" s="213"/>
      <c r="AQ21" s="16">
        <v>1595849.2</v>
      </c>
      <c r="AR21" s="16">
        <v>19168397.5</v>
      </c>
      <c r="AS21" s="21">
        <v>8.325418084859848E-2</v>
      </c>
      <c r="AT21" s="210"/>
      <c r="AU21" s="217"/>
      <c r="AV21" s="103">
        <v>6005197.8000000007</v>
      </c>
      <c r="AW21" s="103">
        <v>56188710.900000013</v>
      </c>
      <c r="AX21" s="113">
        <v>0.10687552392482758</v>
      </c>
      <c r="AY21" s="210"/>
      <c r="AZ21" s="219"/>
      <c r="BA21" s="16">
        <v>947973.4</v>
      </c>
      <c r="BB21" s="16">
        <v>11901948.199999999</v>
      </c>
      <c r="BC21" s="21">
        <v>7.9648591578006744E-2</v>
      </c>
      <c r="BD21" s="210"/>
      <c r="BE21" s="221"/>
      <c r="BF21" s="16">
        <v>4171408.7</v>
      </c>
      <c r="BG21" s="16">
        <v>29062768.800000001</v>
      </c>
      <c r="BH21" s="142">
        <v>0.14353100955486298</v>
      </c>
      <c r="BI21" s="210"/>
      <c r="BJ21" s="220"/>
      <c r="BK21" s="103">
        <v>847700.8</v>
      </c>
      <c r="BL21" s="103">
        <v>10328292.9</v>
      </c>
      <c r="BM21" s="113">
        <v>8.2075595855712891E-2</v>
      </c>
      <c r="BN21" s="210"/>
      <c r="BO21" s="223"/>
      <c r="CA21" s="86"/>
      <c r="CB21" s="86"/>
      <c r="CC21" s="86"/>
      <c r="CD21" s="86"/>
    </row>
    <row r="22" spans="2:82">
      <c r="B22" s="86" t="s">
        <v>287</v>
      </c>
      <c r="P22" s="94">
        <v>99.970001220703125</v>
      </c>
      <c r="Q22" s="200"/>
      <c r="R22" s="16">
        <v>21138</v>
      </c>
      <c r="S22" s="90">
        <v>6334841</v>
      </c>
      <c r="T22" s="90">
        <v>46734984</v>
      </c>
      <c r="U22" s="21">
        <v>0.13554815948009491</v>
      </c>
      <c r="V22" s="210"/>
      <c r="W22" s="90">
        <v>21975</v>
      </c>
      <c r="X22" s="90">
        <v>7675060</v>
      </c>
      <c r="Y22" s="90">
        <v>67174784</v>
      </c>
      <c r="Z22" s="21">
        <v>0.11425507813692093</v>
      </c>
      <c r="AA22" s="210"/>
      <c r="AB22" s="90">
        <v>6483789.1000000006</v>
      </c>
      <c r="AC22" s="90">
        <v>57948098.799999997</v>
      </c>
      <c r="AD22" s="21">
        <v>0.11188959330320358</v>
      </c>
      <c r="AE22" s="210"/>
      <c r="AF22" s="90">
        <v>6955654</v>
      </c>
      <c r="AG22" s="16">
        <v>79471000.100000009</v>
      </c>
      <c r="AH22" s="21">
        <v>8.7524428963661194E-2</v>
      </c>
      <c r="AI22" s="210"/>
      <c r="AJ22" s="123">
        <f t="shared" si="1"/>
        <v>1.2114456356345871</v>
      </c>
      <c r="AK22" s="211"/>
      <c r="AL22" s="131">
        <f t="shared" si="2"/>
        <v>1.3054078671493863</v>
      </c>
      <c r="AM22" s="212"/>
      <c r="AO22" s="213"/>
      <c r="AQ22" s="16">
        <v>1994902.5</v>
      </c>
      <c r="AR22" s="16">
        <v>23216429.399999999</v>
      </c>
      <c r="AS22" s="21">
        <v>8.5926324129104614E-2</v>
      </c>
      <c r="AT22" s="210"/>
      <c r="AU22" s="217"/>
      <c r="AV22" s="103">
        <v>7583216.1000000006</v>
      </c>
      <c r="AW22" s="103">
        <v>72161831.100000009</v>
      </c>
      <c r="AX22" s="113">
        <v>0.10508624464273453</v>
      </c>
      <c r="AY22" s="210"/>
      <c r="AZ22" s="219"/>
      <c r="BA22" s="16">
        <v>1075391</v>
      </c>
      <c r="BB22" s="16">
        <v>13774725.9</v>
      </c>
      <c r="BC22" s="21">
        <v>7.8069865703582764E-2</v>
      </c>
      <c r="BD22" s="210"/>
      <c r="BE22" s="221"/>
      <c r="BF22" s="16">
        <v>4175580.6</v>
      </c>
      <c r="BG22" s="16">
        <v>36370500.899999999</v>
      </c>
      <c r="BH22" s="142">
        <v>0.11480679363012314</v>
      </c>
      <c r="BI22" s="210"/>
      <c r="BJ22" s="220"/>
      <c r="BK22" s="103">
        <v>986828</v>
      </c>
      <c r="BL22" s="103">
        <v>14533918.300000001</v>
      </c>
      <c r="BM22" s="113">
        <v>6.7898273468017578E-2</v>
      </c>
      <c r="BN22" s="210"/>
      <c r="BO22" s="223"/>
      <c r="CA22" s="86"/>
      <c r="CB22" s="86"/>
      <c r="CC22" s="86"/>
      <c r="CD22" s="86"/>
    </row>
    <row r="23" spans="2:82" ht="15" thickBot="1">
      <c r="P23" s="94">
        <v>99.980003356933594</v>
      </c>
      <c r="Q23" s="200"/>
      <c r="R23" s="16">
        <v>21118</v>
      </c>
      <c r="S23" s="90">
        <v>8986869</v>
      </c>
      <c r="T23" s="90">
        <v>68873280</v>
      </c>
      <c r="U23" s="21">
        <v>0.13048411905765533</v>
      </c>
      <c r="V23" s="210"/>
      <c r="W23" s="90">
        <v>21962</v>
      </c>
      <c r="X23" s="90">
        <v>11287923</v>
      </c>
      <c r="Y23" s="90">
        <v>104174648</v>
      </c>
      <c r="Z23" s="21">
        <v>0.10835576057434082</v>
      </c>
      <c r="AA23" s="210"/>
      <c r="AB23" s="90">
        <v>9203091.2000000011</v>
      </c>
      <c r="AC23" s="90">
        <v>84408732.5</v>
      </c>
      <c r="AD23" s="21">
        <v>0.10903008282184601</v>
      </c>
      <c r="AE23" s="210"/>
      <c r="AF23" s="90">
        <v>9944327.5999999996</v>
      </c>
      <c r="AG23" s="16">
        <v>117318836.7</v>
      </c>
      <c r="AH23" s="21">
        <v>8.4763266146183014E-2</v>
      </c>
      <c r="AI23" s="210"/>
      <c r="AJ23" s="123">
        <f t="shared" si="1"/>
        <v>1.1967717136459026</v>
      </c>
      <c r="AK23" s="211"/>
      <c r="AL23" s="131">
        <f t="shared" si="2"/>
        <v>1.278333947012732</v>
      </c>
      <c r="AM23" s="212"/>
      <c r="AO23" s="213"/>
      <c r="AQ23" s="16">
        <v>2740475.2</v>
      </c>
      <c r="AR23" s="16">
        <v>31128053.199999999</v>
      </c>
      <c r="AS23" s="21">
        <v>8.803875744342804E-2</v>
      </c>
      <c r="AT23" s="210"/>
      <c r="AU23" s="217"/>
      <c r="AV23" s="103">
        <v>10893208.6</v>
      </c>
      <c r="AW23" s="103">
        <v>106186058.5</v>
      </c>
      <c r="AX23" s="113">
        <v>0.1025860533118248</v>
      </c>
      <c r="AY23" s="210"/>
      <c r="AZ23" s="219"/>
      <c r="BA23" s="16">
        <v>1307186.2</v>
      </c>
      <c r="BB23" s="16">
        <v>17256314.100000001</v>
      </c>
      <c r="BC23" s="21">
        <v>7.5751185417175293E-2</v>
      </c>
      <c r="BD23" s="210"/>
      <c r="BE23" s="221"/>
      <c r="BF23" s="16">
        <v>4179757.2</v>
      </c>
      <c r="BG23" s="16">
        <v>51227266.299999997</v>
      </c>
      <c r="BH23" s="142">
        <v>8.1592433154582977E-2</v>
      </c>
      <c r="BI23" s="210"/>
      <c r="BJ23" s="220"/>
      <c r="BK23" s="103">
        <v>1248724.3</v>
      </c>
      <c r="BL23" s="103">
        <v>20998070.899999999</v>
      </c>
      <c r="BM23" s="113">
        <v>5.9468526393175125E-2</v>
      </c>
      <c r="BN23" s="210"/>
      <c r="BO23" s="223"/>
      <c r="CA23" s="86"/>
      <c r="CB23" s="86"/>
      <c r="CC23" s="86"/>
      <c r="CD23" s="86"/>
    </row>
    <row r="24" spans="2:82">
      <c r="B24" s="149" t="s">
        <v>163</v>
      </c>
      <c r="C24" s="150">
        <v>7.0000000000000007E-2</v>
      </c>
      <c r="P24" s="94">
        <v>99.989997863769531</v>
      </c>
      <c r="Q24" s="200" t="s">
        <v>14</v>
      </c>
      <c r="R24" s="16">
        <v>2119</v>
      </c>
      <c r="S24" s="90">
        <v>11815492</v>
      </c>
      <c r="T24" s="90">
        <v>100294232</v>
      </c>
      <c r="U24" s="21">
        <v>0.11780828982591629</v>
      </c>
      <c r="V24" s="210">
        <f>SUMPRODUCT(S24:S32,U24:U32)/SUM(S24:S32)</f>
        <v>0.10853775897482472</v>
      </c>
      <c r="W24" s="90">
        <v>2186</v>
      </c>
      <c r="X24" s="90">
        <v>15280083</v>
      </c>
      <c r="Y24" s="90">
        <v>146772112</v>
      </c>
      <c r="Z24" s="21">
        <v>0.10410753637552261</v>
      </c>
      <c r="AA24" s="210">
        <f>SUMPRODUCT(X24:X32,Z24:Z32)/SUM(X24:X32)</f>
        <v>9.1455570954323301E-2</v>
      </c>
      <c r="AB24" s="90">
        <v>12184022.4</v>
      </c>
      <c r="AC24" s="90">
        <v>114108318.7</v>
      </c>
      <c r="AD24" s="21">
        <v>0.10677593201398849</v>
      </c>
      <c r="AE24" s="210">
        <f>SUMPRODUCT(AB24:AB32,AD24:AD32)/SUM(AB24:AB32)</f>
        <v>0.1007886739110293</v>
      </c>
      <c r="AF24" s="90">
        <v>13231059.800000001</v>
      </c>
      <c r="AG24" s="16">
        <v>160080566.80000001</v>
      </c>
      <c r="AH24" s="21">
        <v>8.26525017619133E-2</v>
      </c>
      <c r="AI24" s="210">
        <f>SUMPRODUCT(AF24:AF32,AH24:AH32)/SUM(AF24:AF32)</f>
        <v>7.7992384506938947E-2</v>
      </c>
      <c r="AJ24" s="123">
        <f t="shared" si="1"/>
        <v>1.1033225147637435</v>
      </c>
      <c r="AK24" s="211">
        <f>V24/AE24</f>
        <v>1.0768844827806334</v>
      </c>
      <c r="AL24" s="131">
        <f t="shared" si="2"/>
        <v>1.2595811881824477</v>
      </c>
      <c r="AM24" s="212">
        <f>AA24/AI24</f>
        <v>1.1726218083021496</v>
      </c>
      <c r="AO24" s="213">
        <v>1.2</v>
      </c>
      <c r="AQ24" s="16">
        <v>3584034.6</v>
      </c>
      <c r="AR24" s="16">
        <v>39349206</v>
      </c>
      <c r="AS24" s="21">
        <v>9.1082766652107239E-2</v>
      </c>
      <c r="AT24" s="210">
        <f t="shared" ref="AT24" si="6">SUMPRODUCT(AQ24:AQ32,AS24:AS32)/SUM(AQ24:AQ32)</f>
        <v>9.3893590623932321E-2</v>
      </c>
      <c r="AU24" s="217">
        <f>AT24*$AO24</f>
        <v>0.11267230874871878</v>
      </c>
      <c r="AV24" s="103">
        <v>14546348.1</v>
      </c>
      <c r="AW24" s="103">
        <v>144538555.5</v>
      </c>
      <c r="AX24" s="113">
        <v>0.10063991695642471</v>
      </c>
      <c r="AY24" s="210">
        <f>SUMPRODUCT(AV24:AV32,AX24:AX32)/SUM(AV24:AV32)</f>
        <v>9.6136256768124553E-2</v>
      </c>
      <c r="AZ24" s="219">
        <f>AY24*$AO24</f>
        <v>0.11536350812174946</v>
      </c>
      <c r="BA24" s="16">
        <v>1533114.7</v>
      </c>
      <c r="BB24" s="16">
        <v>20714532.699999999</v>
      </c>
      <c r="BC24" s="21">
        <v>7.4011549353599548E-2</v>
      </c>
      <c r="BD24" s="210">
        <f>SUMPRODUCT(BA24:BA32,BC24:BC32)/SUM(BA24:BA32)</f>
        <v>7.0903503212602401E-2</v>
      </c>
      <c r="BE24" s="221">
        <f>BD24*$AO24</f>
        <v>8.5084203855122872E-2</v>
      </c>
      <c r="BF24" s="16">
        <v>4191586.2</v>
      </c>
      <c r="BG24" s="16">
        <v>71593019.200000003</v>
      </c>
      <c r="BH24" s="142">
        <v>5.8547414839267731E-2</v>
      </c>
      <c r="BI24" s="210">
        <f t="shared" ref="BI24" si="7">SUMPRODUCT(BF24:BF32,BH24:BH32)/SUM(BF24:BF32)</f>
        <v>4.6613148393044097E-2</v>
      </c>
      <c r="BJ24" s="220">
        <f>BI24*$AO24</f>
        <v>5.5935778071652918E-2</v>
      </c>
      <c r="BK24" s="103">
        <v>1511584.1</v>
      </c>
      <c r="BL24" s="103">
        <v>25095600.699999999</v>
      </c>
      <c r="BM24" s="113">
        <v>6.0233030468225479E-2</v>
      </c>
      <c r="BN24" s="210">
        <f t="shared" ref="BN24" si="8">SUMPRODUCT(BK24:BK32,BM24:BM32)/SUM(BK24:BK32)</f>
        <v>6.4137712113913059E-2</v>
      </c>
      <c r="BO24" s="223">
        <f>BN24*$AO24</f>
        <v>7.6965254536695671E-2</v>
      </c>
      <c r="CA24" s="86"/>
      <c r="CB24" s="86"/>
      <c r="CC24" s="86"/>
      <c r="CD24" s="86"/>
    </row>
    <row r="25" spans="2:82">
      <c r="B25" s="151" t="s">
        <v>166</v>
      </c>
      <c r="C25" s="152">
        <v>4.9000000000000002E-2</v>
      </c>
      <c r="P25" s="94">
        <v>99.990997314453125</v>
      </c>
      <c r="Q25" s="200"/>
      <c r="R25" s="16">
        <v>2112</v>
      </c>
      <c r="S25" s="90">
        <v>12772381</v>
      </c>
      <c r="T25" s="90">
        <v>109400280</v>
      </c>
      <c r="U25" s="21">
        <v>0.11674907058477402</v>
      </c>
      <c r="V25" s="210"/>
      <c r="W25" s="90">
        <v>2196</v>
      </c>
      <c r="X25" s="90">
        <v>16490119</v>
      </c>
      <c r="Y25" s="90">
        <v>172183280</v>
      </c>
      <c r="Z25" s="21">
        <v>9.5770731568336487E-2</v>
      </c>
      <c r="AA25" s="210"/>
      <c r="AB25" s="90">
        <v>13115393.9</v>
      </c>
      <c r="AC25" s="90">
        <v>123588226.2</v>
      </c>
      <c r="AD25" s="21">
        <v>0.10612171143293381</v>
      </c>
      <c r="AE25" s="210"/>
      <c r="AF25" s="90">
        <v>14258948.199999999</v>
      </c>
      <c r="AG25" s="16">
        <v>173765206.90000001</v>
      </c>
      <c r="AH25" s="21">
        <v>8.2058705389499664E-2</v>
      </c>
      <c r="AI25" s="210"/>
      <c r="AJ25" s="123">
        <f t="shared" si="1"/>
        <v>1.1001431187675146</v>
      </c>
      <c r="AK25" s="211"/>
      <c r="AL25" s="131">
        <f t="shared" si="2"/>
        <v>1.1671002011761136</v>
      </c>
      <c r="AM25" s="212"/>
      <c r="AO25" s="213"/>
      <c r="AQ25" s="16">
        <v>3910752.1</v>
      </c>
      <c r="AR25" s="16">
        <v>41803631.799999997</v>
      </c>
      <c r="AS25" s="21">
        <v>9.3550533056259155E-2</v>
      </c>
      <c r="AT25" s="210"/>
      <c r="AU25" s="217"/>
      <c r="AV25" s="103">
        <v>15691728.199999999</v>
      </c>
      <c r="AW25" s="103">
        <v>156813378.5</v>
      </c>
      <c r="AX25" s="113">
        <v>0.10006625950336456</v>
      </c>
      <c r="AY25" s="210"/>
      <c r="AZ25" s="219"/>
      <c r="BA25" s="16">
        <v>1597581.6</v>
      </c>
      <c r="BB25" s="16">
        <v>21715170.600000001</v>
      </c>
      <c r="BC25" s="21">
        <v>7.3569841682910919E-2</v>
      </c>
      <c r="BD25" s="210"/>
      <c r="BE25" s="221"/>
      <c r="BF25" s="16">
        <v>4295884.5</v>
      </c>
      <c r="BG25" s="16">
        <v>77167328.200000003</v>
      </c>
      <c r="BH25" s="142">
        <v>5.5669732391834259E-2</v>
      </c>
      <c r="BI25" s="210"/>
      <c r="BJ25" s="220"/>
      <c r="BK25" s="103">
        <v>1588356.8</v>
      </c>
      <c r="BL25" s="103">
        <v>26822783</v>
      </c>
      <c r="BM25" s="113">
        <v>5.9216704219579697E-2</v>
      </c>
      <c r="BN25" s="210"/>
      <c r="BO25" s="223"/>
      <c r="CA25" s="86"/>
      <c r="CB25" s="86"/>
      <c r="CC25" s="86"/>
      <c r="CD25" s="86"/>
    </row>
    <row r="26" spans="2:82">
      <c r="B26" s="153" t="s">
        <v>164</v>
      </c>
      <c r="C26" s="152">
        <v>7.0000000000000007E-2</v>
      </c>
      <c r="P26" s="94">
        <v>99.991996765136719</v>
      </c>
      <c r="Q26" s="200"/>
      <c r="R26" s="16">
        <v>2120</v>
      </c>
      <c r="S26" s="90">
        <v>13790022</v>
      </c>
      <c r="T26" s="90">
        <v>117754968</v>
      </c>
      <c r="U26" s="21">
        <v>0.11710777133703232</v>
      </c>
      <c r="V26" s="210"/>
      <c r="W26" s="90">
        <v>2204</v>
      </c>
      <c r="X26" s="90">
        <v>17811720</v>
      </c>
      <c r="Y26" s="90">
        <v>177885360</v>
      </c>
      <c r="Z26" s="21">
        <v>0.10013033449649811</v>
      </c>
      <c r="AA26" s="210"/>
      <c r="AB26" s="90">
        <v>14248682.5</v>
      </c>
      <c r="AC26" s="90">
        <v>135227036.80000001</v>
      </c>
      <c r="AD26" s="21">
        <v>0.10536859184503555</v>
      </c>
      <c r="AE26" s="210"/>
      <c r="AF26" s="90">
        <v>15510257.9</v>
      </c>
      <c r="AG26" s="16">
        <v>190538481.69999999</v>
      </c>
      <c r="AH26" s="21">
        <v>8.1402234733104706E-2</v>
      </c>
      <c r="AI26" s="210"/>
      <c r="AJ26" s="123">
        <f t="shared" si="1"/>
        <v>1.1114106137933537</v>
      </c>
      <c r="AK26" s="211"/>
      <c r="AL26" s="131">
        <f t="shared" si="2"/>
        <v>1.2300686194279264</v>
      </c>
      <c r="AM26" s="212"/>
      <c r="AO26" s="213"/>
      <c r="AQ26" s="16">
        <v>4245925.6000000006</v>
      </c>
      <c r="AR26" s="16">
        <v>44573615.400000013</v>
      </c>
      <c r="AS26" s="21">
        <v>9.525647759437561E-2</v>
      </c>
      <c r="AT26" s="210"/>
      <c r="AU26" s="217"/>
      <c r="AV26" s="103">
        <v>17088190.699999999</v>
      </c>
      <c r="AW26" s="103">
        <v>171934774.69999999</v>
      </c>
      <c r="AX26" s="113">
        <v>9.938763827085495E-2</v>
      </c>
      <c r="AY26" s="210"/>
      <c r="AZ26" s="219"/>
      <c r="BA26" s="16">
        <v>1673411.8</v>
      </c>
      <c r="BB26" s="16">
        <v>22872913</v>
      </c>
      <c r="BC26" s="21">
        <v>7.3161289095878601E-2</v>
      </c>
      <c r="BD26" s="210"/>
      <c r="BE26" s="221"/>
      <c r="BF26" s="16">
        <v>4427678.6000000006</v>
      </c>
      <c r="BG26" s="16">
        <v>83012532.5</v>
      </c>
      <c r="BH26" s="142">
        <v>5.3337473422288895E-2</v>
      </c>
      <c r="BI26" s="210"/>
      <c r="BJ26" s="220"/>
      <c r="BK26" s="103">
        <v>1679458.5</v>
      </c>
      <c r="BL26" s="103">
        <v>28536929.100000001</v>
      </c>
      <c r="BM26" s="113">
        <v>5.8852110058069229E-2</v>
      </c>
      <c r="BN26" s="210"/>
      <c r="BO26" s="223"/>
    </row>
    <row r="27" spans="2:82">
      <c r="B27" s="154" t="s">
        <v>162</v>
      </c>
      <c r="C27" s="152">
        <v>0.08</v>
      </c>
      <c r="P27" s="94">
        <v>99.992996215820313</v>
      </c>
      <c r="Q27" s="200"/>
      <c r="R27" s="16">
        <v>2118</v>
      </c>
      <c r="S27" s="90">
        <v>14928146</v>
      </c>
      <c r="T27" s="90">
        <v>123094520</v>
      </c>
      <c r="U27" s="21">
        <v>0.12127384543418884</v>
      </c>
      <c r="V27" s="210"/>
      <c r="W27" s="90">
        <v>2223</v>
      </c>
      <c r="X27" s="90">
        <v>19524840</v>
      </c>
      <c r="Y27" s="90">
        <v>185294016</v>
      </c>
      <c r="Z27" s="21">
        <v>0.10537221282720566</v>
      </c>
      <c r="AA27" s="210"/>
      <c r="AB27" s="90">
        <v>15664827.9</v>
      </c>
      <c r="AC27" s="90">
        <v>149919413.80000001</v>
      </c>
      <c r="AD27" s="21">
        <v>0.1044883206486702</v>
      </c>
      <c r="AE27" s="210"/>
      <c r="AF27" s="90">
        <v>17074959</v>
      </c>
      <c r="AG27" s="16">
        <v>211671287.90000001</v>
      </c>
      <c r="AH27" s="21">
        <v>8.0667339265346527E-2</v>
      </c>
      <c r="AI27" s="210"/>
      <c r="AJ27" s="123">
        <f t="shared" si="1"/>
        <v>1.1606449857870529</v>
      </c>
      <c r="AK27" s="211"/>
      <c r="AL27" s="131">
        <f t="shared" si="2"/>
        <v>1.3062562095992172</v>
      </c>
      <c r="AM27" s="212"/>
      <c r="AO27" s="213"/>
      <c r="AQ27" s="16">
        <v>4414229.5</v>
      </c>
      <c r="AR27" s="16">
        <v>48381795.600000001</v>
      </c>
      <c r="AS27" s="21">
        <v>9.1237403452396393E-2</v>
      </c>
      <c r="AT27" s="210"/>
      <c r="AU27" s="217"/>
      <c r="AV27" s="103">
        <v>18837177.5</v>
      </c>
      <c r="AW27" s="103">
        <v>190788988.09999999</v>
      </c>
      <c r="AX27" s="113">
        <v>9.8733045160770416E-2</v>
      </c>
      <c r="AY27" s="210"/>
      <c r="AZ27" s="219"/>
      <c r="BA27" s="16">
        <v>1764585.5</v>
      </c>
      <c r="BB27" s="16">
        <v>24333853.899999999</v>
      </c>
      <c r="BC27" s="21">
        <v>7.2515659034252167E-2</v>
      </c>
      <c r="BD27" s="210"/>
      <c r="BE27" s="221"/>
      <c r="BF27" s="16">
        <v>4599614.2</v>
      </c>
      <c r="BG27" s="16">
        <v>91703329.800000012</v>
      </c>
      <c r="BH27" s="142">
        <v>5.0157546997070313E-2</v>
      </c>
      <c r="BI27" s="210"/>
      <c r="BJ27" s="220"/>
      <c r="BK27" s="103">
        <v>1790097.1</v>
      </c>
      <c r="BL27" s="103">
        <v>30279252.899999999</v>
      </c>
      <c r="BM27" s="113">
        <v>5.9119593352079391E-2</v>
      </c>
      <c r="BN27" s="210"/>
      <c r="BO27" s="223"/>
    </row>
    <row r="28" spans="2:82" ht="15" thickBot="1">
      <c r="B28" s="155" t="s">
        <v>161</v>
      </c>
      <c r="C28" s="156">
        <v>0.04</v>
      </c>
      <c r="P28" s="94">
        <v>99.994003295898438</v>
      </c>
      <c r="Q28" s="200"/>
      <c r="R28" s="16">
        <v>2096</v>
      </c>
      <c r="S28" s="90">
        <v>16717069</v>
      </c>
      <c r="T28" s="90">
        <v>146483584</v>
      </c>
      <c r="U28" s="21">
        <v>0.11412247270345688</v>
      </c>
      <c r="V28" s="210"/>
      <c r="W28" s="90">
        <v>2186</v>
      </c>
      <c r="X28" s="90">
        <v>21714692</v>
      </c>
      <c r="Y28" s="90">
        <v>215559648</v>
      </c>
      <c r="Z28" s="21">
        <v>0.1007363498210907</v>
      </c>
      <c r="AA28" s="210"/>
      <c r="AB28" s="90">
        <v>17497543.399999999</v>
      </c>
      <c r="AC28" s="90">
        <v>169160031</v>
      </c>
      <c r="AD28" s="21">
        <v>0.10343781113624573</v>
      </c>
      <c r="AE28" s="210"/>
      <c r="AF28" s="90">
        <v>19101574</v>
      </c>
      <c r="AG28" s="16">
        <v>239286586.80000001</v>
      </c>
      <c r="AH28" s="21">
        <v>7.9827181994915009E-2</v>
      </c>
      <c r="AI28" s="210"/>
      <c r="AJ28" s="123">
        <f t="shared" si="1"/>
        <v>1.1032955110886635</v>
      </c>
      <c r="AK28" s="211"/>
      <c r="AL28" s="131">
        <f t="shared" si="2"/>
        <v>1.2619304264994298</v>
      </c>
      <c r="AM28" s="212"/>
      <c r="AO28" s="213"/>
      <c r="AQ28" s="16">
        <v>4791478.5</v>
      </c>
      <c r="AR28" s="16">
        <v>52986828.600000001</v>
      </c>
      <c r="AS28" s="21">
        <v>9.042772650718689E-2</v>
      </c>
      <c r="AT28" s="210"/>
      <c r="AU28" s="217"/>
      <c r="AV28" s="103">
        <v>21106838.100000001</v>
      </c>
      <c r="AW28" s="103">
        <v>215532571.5</v>
      </c>
      <c r="AX28" s="113">
        <v>9.7928762435913086E-2</v>
      </c>
      <c r="AY28" s="210"/>
      <c r="AZ28" s="219"/>
      <c r="BA28" s="16">
        <v>1877430.8</v>
      </c>
      <c r="BB28" s="16">
        <v>26122526</v>
      </c>
      <c r="BC28" s="21">
        <v>7.1870185434818268E-2</v>
      </c>
      <c r="BD28" s="210"/>
      <c r="BE28" s="221"/>
      <c r="BF28" s="16">
        <v>4833502.4000000004</v>
      </c>
      <c r="BG28" s="16">
        <v>101821523.59999999</v>
      </c>
      <c r="BH28" s="142">
        <v>4.7470342367887497E-2</v>
      </c>
      <c r="BI28" s="210"/>
      <c r="BJ28" s="220"/>
      <c r="BK28" s="103">
        <v>1928641.5</v>
      </c>
      <c r="BL28" s="103">
        <v>32008459.5</v>
      </c>
      <c r="BM28" s="113">
        <v>6.0254119336605072E-2</v>
      </c>
      <c r="BN28" s="210"/>
      <c r="BO28" s="223"/>
    </row>
    <row r="29" spans="2:82">
      <c r="P29" s="94">
        <v>99.995002746582031</v>
      </c>
      <c r="Q29" s="200"/>
      <c r="R29" s="16">
        <v>2117</v>
      </c>
      <c r="S29" s="90">
        <v>19298572</v>
      </c>
      <c r="T29" s="90">
        <v>185438960</v>
      </c>
      <c r="U29" s="21">
        <v>0.10406967252492905</v>
      </c>
      <c r="V29" s="210"/>
      <c r="W29" s="90">
        <v>2203</v>
      </c>
      <c r="X29" s="90">
        <v>25117100</v>
      </c>
      <c r="Y29" s="90">
        <v>299028064</v>
      </c>
      <c r="Z29" s="21">
        <v>8.3995796740055084E-2</v>
      </c>
      <c r="AA29" s="210"/>
      <c r="AB29" s="90">
        <v>19987355</v>
      </c>
      <c r="AC29" s="90">
        <v>195669081</v>
      </c>
      <c r="AD29" s="21">
        <v>0.10214876383543015</v>
      </c>
      <c r="AE29" s="210"/>
      <c r="AF29" s="90">
        <v>21857267</v>
      </c>
      <c r="AG29" s="16">
        <v>277233070.89999998</v>
      </c>
      <c r="AH29" s="21">
        <v>7.8840762376785278E-2</v>
      </c>
      <c r="AI29" s="210"/>
      <c r="AJ29" s="123">
        <f t="shared" si="1"/>
        <v>1.0188050116063434</v>
      </c>
      <c r="AK29" s="211"/>
      <c r="AL29" s="131">
        <f t="shared" si="2"/>
        <v>1.0653853946595995</v>
      </c>
      <c r="AM29" s="212"/>
      <c r="AO29" s="213"/>
      <c r="AQ29" s="16">
        <v>5407766.7000000002</v>
      </c>
      <c r="AR29" s="16">
        <v>59079320</v>
      </c>
      <c r="AS29" s="21">
        <v>9.1534003615379333E-2</v>
      </c>
      <c r="AT29" s="210"/>
      <c r="AU29" s="217"/>
      <c r="AV29" s="103">
        <v>24199964.300000001</v>
      </c>
      <c r="AW29" s="103">
        <v>249534090.19999999</v>
      </c>
      <c r="AX29" s="113">
        <v>9.6980594098567963E-2</v>
      </c>
      <c r="AY29" s="210"/>
      <c r="AZ29" s="219"/>
      <c r="BA29" s="16">
        <v>2022799.1</v>
      </c>
      <c r="BB29" s="16">
        <v>28444376.199999999</v>
      </c>
      <c r="BC29" s="21">
        <v>7.1114204823970795E-2</v>
      </c>
      <c r="BD29" s="210"/>
      <c r="BE29" s="221"/>
      <c r="BF29" s="16">
        <v>5170644.7</v>
      </c>
      <c r="BG29" s="16">
        <v>115334086.2</v>
      </c>
      <c r="BH29" s="142">
        <v>4.4831886887550354E-2</v>
      </c>
      <c r="BI29" s="210"/>
      <c r="BJ29" s="220"/>
      <c r="BK29" s="103">
        <v>2109598.9</v>
      </c>
      <c r="BL29" s="103">
        <v>34135717.200000003</v>
      </c>
      <c r="BM29" s="113">
        <v>6.1800338327884674E-2</v>
      </c>
      <c r="BN29" s="210"/>
      <c r="BO29" s="223"/>
    </row>
    <row r="30" spans="2:82">
      <c r="P30" s="94">
        <v>99.996002197265625</v>
      </c>
      <c r="Q30" s="200"/>
      <c r="R30" s="16">
        <v>2121</v>
      </c>
      <c r="S30" s="90">
        <v>23027076</v>
      </c>
      <c r="T30" s="90">
        <v>256886176</v>
      </c>
      <c r="U30" s="21">
        <v>8.9639216661453247E-2</v>
      </c>
      <c r="V30" s="210"/>
      <c r="W30" s="90">
        <v>2201</v>
      </c>
      <c r="X30" s="90">
        <v>30304552</v>
      </c>
      <c r="Y30" s="90">
        <v>394639232</v>
      </c>
      <c r="Z30" s="21">
        <v>7.6790519058704376E-2</v>
      </c>
      <c r="AA30" s="210"/>
      <c r="AB30" s="90">
        <v>23620624.899999999</v>
      </c>
      <c r="AC30" s="90">
        <v>235033331.30000001</v>
      </c>
      <c r="AD30" s="21">
        <v>0.10049904137849808</v>
      </c>
      <c r="AE30" s="210"/>
      <c r="AF30" s="90">
        <v>25883100.699999999</v>
      </c>
      <c r="AG30" s="16">
        <v>333398939.69999999</v>
      </c>
      <c r="AH30" s="21">
        <v>7.7634021639823914E-2</v>
      </c>
      <c r="AI30" s="210"/>
      <c r="AJ30" s="123">
        <f t="shared" si="1"/>
        <v>0.89194101189339003</v>
      </c>
      <c r="AK30" s="211"/>
      <c r="AL30" s="131">
        <f t="shared" si="2"/>
        <v>0.98913488489578849</v>
      </c>
      <c r="AM30" s="212"/>
      <c r="AO30" s="213"/>
      <c r="AQ30" s="16">
        <v>6327701.6000000006</v>
      </c>
      <c r="AR30" s="16">
        <v>67729301</v>
      </c>
      <c r="AS30" s="21">
        <v>9.3426354229450226E-2</v>
      </c>
      <c r="AT30" s="210"/>
      <c r="AU30" s="217"/>
      <c r="AV30" s="103">
        <v>28731479.699999999</v>
      </c>
      <c r="AW30" s="103">
        <v>299830916.60000002</v>
      </c>
      <c r="AX30" s="113">
        <v>9.5825605094432831E-2</v>
      </c>
      <c r="AY30" s="210"/>
      <c r="AZ30" s="219"/>
      <c r="BA30" s="16">
        <v>2221414</v>
      </c>
      <c r="BB30" s="16">
        <v>31653663.699999999</v>
      </c>
      <c r="BC30" s="21">
        <v>7.017873227596283E-2</v>
      </c>
      <c r="BD30" s="210"/>
      <c r="BE30" s="221"/>
      <c r="BF30" s="16">
        <v>5700303.8000000007</v>
      </c>
      <c r="BG30" s="16">
        <v>134760343.69999999</v>
      </c>
      <c r="BH30" s="142">
        <v>4.2299564927816391E-2</v>
      </c>
      <c r="BI30" s="210"/>
      <c r="BJ30" s="220"/>
      <c r="BK30" s="103">
        <v>2361113.7000000002</v>
      </c>
      <c r="BL30" s="103">
        <v>37812750.899999999</v>
      </c>
      <c r="BM30" s="113">
        <v>6.2442261725664139E-2</v>
      </c>
      <c r="BN30" s="210"/>
      <c r="BO30" s="223"/>
    </row>
    <row r="31" spans="2:82">
      <c r="P31" s="94">
        <v>99.997001647949219</v>
      </c>
      <c r="Q31" s="200"/>
      <c r="R31" s="16">
        <v>2091</v>
      </c>
      <c r="S31" s="90">
        <v>27986140</v>
      </c>
      <c r="T31" s="90">
        <v>260775776</v>
      </c>
      <c r="U31" s="21">
        <v>0.10731878876686096</v>
      </c>
      <c r="V31" s="210"/>
      <c r="W31" s="90">
        <v>2174</v>
      </c>
      <c r="X31" s="90">
        <v>36481820</v>
      </c>
      <c r="Y31" s="90">
        <v>413471584</v>
      </c>
      <c r="Z31" s="21">
        <v>8.8232956826686859E-2</v>
      </c>
      <c r="AA31" s="210"/>
      <c r="AB31" s="90">
        <v>29582612.300000001</v>
      </c>
      <c r="AC31" s="90">
        <v>301137852.60000002</v>
      </c>
      <c r="AD31" s="21">
        <v>9.8236113786697388E-2</v>
      </c>
      <c r="AE31" s="210"/>
      <c r="AF31" s="90">
        <v>32499235.300000001</v>
      </c>
      <c r="AG31" s="16">
        <v>427313277.60000002</v>
      </c>
      <c r="AH31" s="21">
        <v>7.605481892824173E-2</v>
      </c>
      <c r="AI31" s="210"/>
      <c r="AJ31" s="123">
        <f t="shared" si="1"/>
        <v>1.092457596601236</v>
      </c>
      <c r="AK31" s="211"/>
      <c r="AL31" s="131">
        <f t="shared" si="2"/>
        <v>1.1601231594533845</v>
      </c>
      <c r="AM31" s="212"/>
      <c r="AO31" s="213"/>
      <c r="AQ31" s="16">
        <v>7747105.3000000007</v>
      </c>
      <c r="AR31" s="16">
        <v>80936961.300000012</v>
      </c>
      <c r="AS31" s="21">
        <v>9.5717765390872955E-2</v>
      </c>
      <c r="AT31" s="210"/>
      <c r="AU31" s="217"/>
      <c r="AV31" s="103">
        <v>36206480.899999999</v>
      </c>
      <c r="AW31" s="103">
        <v>384177269.89999998</v>
      </c>
      <c r="AX31" s="113">
        <v>9.4244204461574554E-2</v>
      </c>
      <c r="AY31" s="210"/>
      <c r="AZ31" s="219"/>
      <c r="BA31" s="16">
        <v>2520161.2000000002</v>
      </c>
      <c r="BB31" s="16">
        <v>36492351.100000001</v>
      </c>
      <c r="BC31" s="21">
        <v>6.9059982895851135E-2</v>
      </c>
      <c r="BD31" s="210"/>
      <c r="BE31" s="221"/>
      <c r="BF31" s="16">
        <v>6658688.3000000007</v>
      </c>
      <c r="BG31" s="16">
        <v>160440533.59999999</v>
      </c>
      <c r="BH31" s="142">
        <v>4.1502531617879868E-2</v>
      </c>
      <c r="BI31" s="210"/>
      <c r="BJ31" s="220"/>
      <c r="BK31" s="103">
        <v>2748110.2</v>
      </c>
      <c r="BL31" s="103">
        <v>41618689.600000001</v>
      </c>
      <c r="BM31" s="113">
        <v>6.6030673682689667E-2</v>
      </c>
      <c r="BN31" s="210"/>
      <c r="BO31" s="223"/>
    </row>
    <row r="32" spans="2:82">
      <c r="P32" s="94">
        <v>99.998001098632813</v>
      </c>
      <c r="Q32" s="200"/>
      <c r="R32" s="16">
        <v>2119</v>
      </c>
      <c r="S32" s="90">
        <v>39599016</v>
      </c>
      <c r="T32" s="90">
        <v>370055168</v>
      </c>
      <c r="U32" s="21">
        <v>0.10700841248035431</v>
      </c>
      <c r="V32" s="210"/>
      <c r="W32" s="90">
        <v>2202</v>
      </c>
      <c r="X32" s="90">
        <v>51464968</v>
      </c>
      <c r="Y32" s="90">
        <v>580350464</v>
      </c>
      <c r="Z32" s="21">
        <v>8.8679119944572449E-2</v>
      </c>
      <c r="AA32" s="210"/>
      <c r="AB32" s="90">
        <v>41959705.400000013</v>
      </c>
      <c r="AC32" s="90">
        <v>443282476.80000001</v>
      </c>
      <c r="AD32" s="21">
        <v>9.4656810164451599E-2</v>
      </c>
      <c r="AE32" s="210"/>
      <c r="AF32" s="90">
        <v>46265857.299999997</v>
      </c>
      <c r="AG32" s="16">
        <v>627935525.70000005</v>
      </c>
      <c r="AH32" s="21">
        <v>7.3679313063621521E-2</v>
      </c>
      <c r="AI32" s="210"/>
      <c r="AJ32" s="123">
        <f t="shared" si="1"/>
        <v>1.1304882585251257</v>
      </c>
      <c r="AK32" s="211"/>
      <c r="AL32" s="131">
        <f t="shared" si="2"/>
        <v>1.2035823388852542</v>
      </c>
      <c r="AM32" s="212"/>
      <c r="AO32" s="213"/>
      <c r="AQ32" s="16">
        <v>10512971.199999999</v>
      </c>
      <c r="AR32" s="16">
        <v>108075120</v>
      </c>
      <c r="AS32" s="21">
        <v>9.7274668514728546E-2</v>
      </c>
      <c r="AT32" s="210"/>
      <c r="AU32" s="217"/>
      <c r="AV32" s="103">
        <v>51848259.299999997</v>
      </c>
      <c r="AW32" s="103">
        <v>563336114.70000005</v>
      </c>
      <c r="AX32" s="113">
        <v>9.2037878930568695E-2</v>
      </c>
      <c r="AY32" s="210"/>
      <c r="AZ32" s="219"/>
      <c r="BA32" s="16">
        <v>3063812</v>
      </c>
      <c r="BB32" s="16">
        <v>45655850.400000013</v>
      </c>
      <c r="BC32" s="21">
        <v>6.7106671631336212E-2</v>
      </c>
      <c r="BD32" s="210"/>
      <c r="BE32" s="221"/>
      <c r="BF32" s="16">
        <v>8968960</v>
      </c>
      <c r="BG32" s="16">
        <v>231988062.80000001</v>
      </c>
      <c r="BH32" s="142">
        <v>3.8661301136016846E-2</v>
      </c>
      <c r="BI32" s="210"/>
      <c r="BJ32" s="220"/>
      <c r="BK32" s="103">
        <v>3476940</v>
      </c>
      <c r="BL32" s="103">
        <v>45481388.600000001</v>
      </c>
      <c r="BM32" s="113">
        <v>7.6447531580924988E-2</v>
      </c>
      <c r="BN32" s="210"/>
      <c r="BO32" s="223"/>
    </row>
    <row r="33" spans="16:77">
      <c r="P33" s="94">
        <v>99.999000549316406</v>
      </c>
      <c r="Q33" s="200" t="s">
        <v>256</v>
      </c>
      <c r="R33" s="16">
        <v>1341</v>
      </c>
      <c r="S33" s="90">
        <v>70569856</v>
      </c>
      <c r="T33" s="90">
        <v>672037184</v>
      </c>
      <c r="U33" s="21">
        <v>0.10500885546207428</v>
      </c>
      <c r="V33" s="210">
        <f>SUMPRODUCT(R33:R34,S33:S34,U33:U34)/SUMPRODUCT(R33:R34,S33:S34)</f>
        <v>8.5416376075403047E-2</v>
      </c>
      <c r="W33" s="90">
        <v>1428</v>
      </c>
      <c r="X33" s="90">
        <v>92380224</v>
      </c>
      <c r="Y33" s="90">
        <v>1060000000</v>
      </c>
      <c r="Z33" s="21">
        <v>8.715115487575531E-2</v>
      </c>
      <c r="AA33" s="210">
        <f>SUMPRODUCT(W33:W34,X33:X34,Z33:Z34)/SUMPRODUCT(W33:W34,X33:X34)</f>
        <v>6.7850011570350907E-2</v>
      </c>
      <c r="AB33" s="90">
        <v>155743735.40000001</v>
      </c>
      <c r="AC33" s="90">
        <v>2149147822.3000002</v>
      </c>
      <c r="AD33" s="21">
        <v>7.246766984462738E-2</v>
      </c>
      <c r="AE33" s="210">
        <f>SUMPRODUCT(V33:V34,AB33:AB34,AD33:AD34)/SUMPRODUCT(V33:V34,AB33:AB34)</f>
        <v>7.246766984462738E-2</v>
      </c>
      <c r="AF33" s="90">
        <v>174823915.80000001</v>
      </c>
      <c r="AG33" s="16">
        <v>2907933214.9000001</v>
      </c>
      <c r="AH33" s="21">
        <v>6.0119647532701402E-2</v>
      </c>
      <c r="AI33" s="210">
        <f>AH33</f>
        <v>6.0119647532701402E-2</v>
      </c>
      <c r="AJ33" s="104">
        <f>V33/AE33</f>
        <v>1.1786825250285822</v>
      </c>
      <c r="AK33" s="211">
        <f>V33/AE33</f>
        <v>1.1786825250285822</v>
      </c>
      <c r="AL33" s="131">
        <f>AA33/AH33</f>
        <v>1.1285829900024724</v>
      </c>
      <c r="AM33" s="211">
        <f>AA33/AH33</f>
        <v>1.1285829900024724</v>
      </c>
      <c r="AO33" s="213">
        <v>1.2</v>
      </c>
      <c r="AQ33" s="16">
        <v>40917220.200000003</v>
      </c>
      <c r="AR33" s="16">
        <v>1489353617.5</v>
      </c>
      <c r="AS33" s="21">
        <v>2.7473140507936478E-2</v>
      </c>
      <c r="AT33" s="210">
        <f>AS33</f>
        <v>2.7473140507936478E-2</v>
      </c>
      <c r="AU33" s="217">
        <f>AT33*$AO33</f>
        <v>3.2967768609523773E-2</v>
      </c>
      <c r="AV33" s="103">
        <v>203814922.09999999</v>
      </c>
      <c r="AW33" s="103">
        <v>2585510709.5999999</v>
      </c>
      <c r="AX33" s="113">
        <v>7.8829653561115265E-2</v>
      </c>
      <c r="AY33" s="210">
        <f>AX33</f>
        <v>7.8829653561115265E-2</v>
      </c>
      <c r="AZ33" s="219">
        <f>AY33*$AO33</f>
        <v>9.4595584273338321E-2</v>
      </c>
      <c r="BA33" s="16">
        <v>5288700.5</v>
      </c>
      <c r="BB33" s="16">
        <v>412899387.80000001</v>
      </c>
      <c r="BC33" s="21">
        <v>1.2808690778911114E-2</v>
      </c>
      <c r="BD33" s="210">
        <f>BC33</f>
        <v>1.2808690778911114E-2</v>
      </c>
      <c r="BE33" s="221">
        <f>BD33*$AO33</f>
        <v>1.5370428934693335E-2</v>
      </c>
      <c r="BF33" s="16">
        <v>298437145.30000001</v>
      </c>
      <c r="BG33" s="16">
        <v>1580275382.0999999</v>
      </c>
      <c r="BH33" s="142">
        <v>0.18885135650634766</v>
      </c>
      <c r="BI33" s="210">
        <f>BH33</f>
        <v>0.18885135650634766</v>
      </c>
      <c r="BJ33" s="220">
        <f>BI33*$AO33</f>
        <v>0.22662162780761719</v>
      </c>
      <c r="BK33" s="103">
        <v>7424933.9000000004</v>
      </c>
      <c r="BL33" s="103">
        <v>750883432.5</v>
      </c>
      <c r="BM33" s="113">
        <v>9.8882643505930901E-3</v>
      </c>
      <c r="BN33" s="210">
        <f>BM33</f>
        <v>9.8882643505930901E-3</v>
      </c>
      <c r="BO33" s="223">
        <f>BN33*$AO33</f>
        <v>1.1865917220711708E-2</v>
      </c>
    </row>
    <row r="34" spans="16:77">
      <c r="P34" s="90">
        <v>400</v>
      </c>
      <c r="Q34" s="200"/>
      <c r="R34" s="16">
        <v>800</v>
      </c>
      <c r="S34" s="90">
        <v>278288192</v>
      </c>
      <c r="T34" s="90">
        <v>3609999872</v>
      </c>
      <c r="U34" s="21">
        <v>7.7088147401809692E-2</v>
      </c>
      <c r="V34" s="210"/>
      <c r="W34" s="90">
        <v>800</v>
      </c>
      <c r="X34" s="90">
        <v>327237888</v>
      </c>
      <c r="Y34" s="90">
        <v>5630000128</v>
      </c>
      <c r="Z34" s="21">
        <v>5.8123957365751266E-2</v>
      </c>
      <c r="AA34" s="210"/>
      <c r="AB34" s="113"/>
      <c r="AC34" s="113"/>
      <c r="AD34" s="16"/>
      <c r="AE34" s="210"/>
      <c r="AF34" s="27"/>
      <c r="AG34" s="86"/>
      <c r="AH34" s="86"/>
      <c r="AI34" s="210"/>
      <c r="AJ34" s="113"/>
      <c r="AK34" s="211"/>
      <c r="AL34" s="113"/>
      <c r="AM34" s="211"/>
      <c r="AN34" s="16"/>
      <c r="AO34" s="213"/>
      <c r="AQ34" s="16"/>
      <c r="AR34" s="16"/>
      <c r="AS34" s="113"/>
      <c r="AT34" s="210"/>
      <c r="AU34" s="217"/>
      <c r="AV34" s="29"/>
      <c r="AW34" s="29"/>
      <c r="AX34" s="29"/>
      <c r="AY34" s="210"/>
      <c r="AZ34" s="219"/>
      <c r="BD34" s="210"/>
      <c r="BE34" s="221"/>
      <c r="BI34" s="210"/>
      <c r="BJ34" s="220"/>
      <c r="BN34" s="210"/>
      <c r="BO34" s="223"/>
    </row>
    <row r="35" spans="16:77">
      <c r="AQ35" s="16"/>
      <c r="AR35" s="16"/>
      <c r="AS35" s="113"/>
    </row>
    <row r="36" spans="16:77">
      <c r="Q36" t="s">
        <v>243</v>
      </c>
      <c r="AS36" s="86" t="s">
        <v>252</v>
      </c>
    </row>
    <row r="37" spans="16:77">
      <c r="Q37" s="105" t="s">
        <v>258</v>
      </c>
      <c r="R37" s="105"/>
      <c r="AS37" s="105" t="s">
        <v>257</v>
      </c>
    </row>
    <row r="38" spans="16:77">
      <c r="AS38" s="110"/>
    </row>
    <row r="39" spans="16:77">
      <c r="AS39" s="110"/>
    </row>
    <row r="40" spans="16:77">
      <c r="AS40" s="110"/>
    </row>
    <row r="41" spans="16:77">
      <c r="AS41" s="110"/>
    </row>
    <row r="47" spans="16:77">
      <c r="BR47" s="83"/>
      <c r="BS47" s="84"/>
      <c r="BT47" s="84"/>
      <c r="BU47" s="84"/>
      <c r="BV47" s="84"/>
      <c r="BW47" s="84"/>
      <c r="BX47" s="16"/>
      <c r="BY47" s="16"/>
    </row>
    <row r="48" spans="16:77">
      <c r="BS48" s="84"/>
      <c r="BT48" s="84"/>
      <c r="BU48" s="84"/>
      <c r="BV48" s="84"/>
      <c r="BW48" s="84"/>
      <c r="BX48" s="16"/>
      <c r="BY48" s="16"/>
    </row>
    <row r="49" spans="17:77">
      <c r="BS49" s="84"/>
      <c r="BT49" s="84"/>
      <c r="BU49" s="84"/>
      <c r="BV49" s="84"/>
      <c r="BW49" s="84"/>
      <c r="BX49" s="16"/>
      <c r="BY49" s="16"/>
    </row>
    <row r="51" spans="17:77">
      <c r="Q51" s="16"/>
      <c r="R51" s="16"/>
      <c r="S51"/>
      <c r="T51"/>
    </row>
  </sheetData>
  <mergeCells count="103">
    <mergeCell ref="B2:L2"/>
    <mergeCell ref="C3:G3"/>
    <mergeCell ref="H3:L3"/>
    <mergeCell ref="BN15:BN23"/>
    <mergeCell ref="BO15:BO23"/>
    <mergeCell ref="BN24:BN32"/>
    <mergeCell ref="BO24:BO32"/>
    <mergeCell ref="BN33:BN34"/>
    <mergeCell ref="BO33:BO34"/>
    <mergeCell ref="BM4:BN4"/>
    <mergeCell ref="BN6:BN14"/>
    <mergeCell ref="BO6:BO14"/>
    <mergeCell ref="AQ2:BO2"/>
    <mergeCell ref="BK3:BO3"/>
    <mergeCell ref="BI15:BI23"/>
    <mergeCell ref="BJ15:BJ23"/>
    <mergeCell ref="BI24:BI32"/>
    <mergeCell ref="BJ24:BJ32"/>
    <mergeCell ref="BI33:BI34"/>
    <mergeCell ref="BJ33:BJ34"/>
    <mergeCell ref="BC4:BD4"/>
    <mergeCell ref="BA3:BE3"/>
    <mergeCell ref="BH4:BI4"/>
    <mergeCell ref="BF3:BJ3"/>
    <mergeCell ref="BI6:BI14"/>
    <mergeCell ref="BJ6:BJ14"/>
    <mergeCell ref="BE33:BE34"/>
    <mergeCell ref="BD6:BD14"/>
    <mergeCell ref="BD15:BD23"/>
    <mergeCell ref="BD24:BD32"/>
    <mergeCell ref="BD33:BD34"/>
    <mergeCell ref="BE6:BE14"/>
    <mergeCell ref="BE15:BE23"/>
    <mergeCell ref="BE24:BE32"/>
    <mergeCell ref="AT24:AT32"/>
    <mergeCell ref="AU24:AU32"/>
    <mergeCell ref="AT33:AT34"/>
    <mergeCell ref="AU33:AU34"/>
    <mergeCell ref="AQ3:AU3"/>
    <mergeCell ref="AS4:AT4"/>
    <mergeCell ref="AX4:AY4"/>
    <mergeCell ref="AV3:AZ3"/>
    <mergeCell ref="AT6:AT14"/>
    <mergeCell ref="AU6:AU14"/>
    <mergeCell ref="AT15:AT23"/>
    <mergeCell ref="AU15:AU23"/>
    <mergeCell ref="AY6:AY14"/>
    <mergeCell ref="AY15:AY23"/>
    <mergeCell ref="AY24:AY32"/>
    <mergeCell ref="AY33:AY34"/>
    <mergeCell ref="AZ6:AZ14"/>
    <mergeCell ref="AZ15:AZ23"/>
    <mergeCell ref="AZ24:AZ32"/>
    <mergeCell ref="AZ33:AZ34"/>
    <mergeCell ref="AO6:AO14"/>
    <mergeCell ref="AO15:AO23"/>
    <mergeCell ref="AO24:AO32"/>
    <mergeCell ref="AO33:AO34"/>
    <mergeCell ref="P4:Q4"/>
    <mergeCell ref="Q6:Q14"/>
    <mergeCell ref="Q15:Q23"/>
    <mergeCell ref="Q24:Q32"/>
    <mergeCell ref="Q33:Q34"/>
    <mergeCell ref="AK24:AK32"/>
    <mergeCell ref="AM24:AM32"/>
    <mergeCell ref="AK33:AK34"/>
    <mergeCell ref="AM33:AM34"/>
    <mergeCell ref="AO2:AO4"/>
    <mergeCell ref="P2:AM2"/>
    <mergeCell ref="P3:Q3"/>
    <mergeCell ref="AE24:AE32"/>
    <mergeCell ref="AE33:AE34"/>
    <mergeCell ref="U5:V5"/>
    <mergeCell ref="V6:V14"/>
    <mergeCell ref="V15:V23"/>
    <mergeCell ref="V24:V32"/>
    <mergeCell ref="V33:V34"/>
    <mergeCell ref="AA33:AA34"/>
    <mergeCell ref="AJ3:AM3"/>
    <mergeCell ref="AK6:AK14"/>
    <mergeCell ref="AM6:AM14"/>
    <mergeCell ref="AK15:AK23"/>
    <mergeCell ref="AM15:AM23"/>
    <mergeCell ref="AB4:AE4"/>
    <mergeCell ref="AF4:AI4"/>
    <mergeCell ref="AJ4:AK4"/>
    <mergeCell ref="AL4:AM4"/>
    <mergeCell ref="AD5:AE5"/>
    <mergeCell ref="AE6:AE14"/>
    <mergeCell ref="AE15:AE23"/>
    <mergeCell ref="R3:AA3"/>
    <mergeCell ref="AB3:AI3"/>
    <mergeCell ref="R4:V4"/>
    <mergeCell ref="W4:AA4"/>
    <mergeCell ref="AI33:AI34"/>
    <mergeCell ref="AH5:AI5"/>
    <mergeCell ref="AA6:AA14"/>
    <mergeCell ref="AA15:AA23"/>
    <mergeCell ref="AA24:AA32"/>
    <mergeCell ref="Z5:AA5"/>
    <mergeCell ref="AI6:AI14"/>
    <mergeCell ref="AI15:AI23"/>
    <mergeCell ref="AI24:AI32"/>
  </mergeCells>
  <pageMargins left="0.7" right="0.7" top="0.75" bottom="0.75" header="0.3" footer="0.3"/>
  <pageSetup paperSize="9" orientation="portrait" r:id="rId1"/>
  <ignoredErrors>
    <ignoredError sqref="AY6:AY34 AT7:AT14"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5522-3DEA-425A-B8AF-466B345A54FE}">
  <sheetPr codeName="Feuil2"/>
  <dimension ref="B2:R53"/>
  <sheetViews>
    <sheetView zoomScale="115" zoomScaleNormal="115" workbookViewId="0">
      <selection activeCell="H8" sqref="H8"/>
    </sheetView>
  </sheetViews>
  <sheetFormatPr baseColWidth="10" defaultRowHeight="14.4"/>
  <cols>
    <col min="1" max="1" width="3.109375" customWidth="1"/>
    <col min="2" max="10" width="13" style="23" customWidth="1"/>
    <col min="11" max="11" width="11.5546875" style="21"/>
    <col min="14" max="15" width="13.6640625" bestFit="1" customWidth="1"/>
    <col min="16" max="16" width="14.6640625" bestFit="1" customWidth="1"/>
  </cols>
  <sheetData>
    <row r="2" spans="2:18" s="31" customFormat="1" ht="23.4" customHeight="1">
      <c r="B2" s="29"/>
      <c r="C2" s="199" t="s">
        <v>49</v>
      </c>
      <c r="D2" s="199"/>
      <c r="E2" s="199"/>
      <c r="F2" s="199"/>
      <c r="G2" s="199"/>
      <c r="H2" s="199"/>
      <c r="I2" s="199"/>
      <c r="J2" s="199"/>
      <c r="K2" s="25"/>
      <c r="N2" s="199" t="s">
        <v>103</v>
      </c>
      <c r="O2" s="199"/>
      <c r="P2" s="199"/>
      <c r="Q2" s="199"/>
    </row>
    <row r="3" spans="2:18" s="29" customFormat="1" ht="42.6" customHeight="1">
      <c r="B3" s="14" t="s">
        <v>11</v>
      </c>
      <c r="C3" s="13" t="s">
        <v>50</v>
      </c>
      <c r="D3" s="13" t="s">
        <v>51</v>
      </c>
      <c r="E3" s="13" t="s">
        <v>52</v>
      </c>
      <c r="F3" s="13" t="s">
        <v>53</v>
      </c>
      <c r="G3" s="13" t="s">
        <v>54</v>
      </c>
      <c r="H3" s="13" t="s">
        <v>55</v>
      </c>
      <c r="I3" s="13" t="s">
        <v>56</v>
      </c>
      <c r="J3" s="13" t="s">
        <v>57</v>
      </c>
      <c r="K3" s="121" t="s">
        <v>102</v>
      </c>
      <c r="L3" s="18"/>
      <c r="M3" s="22" t="s">
        <v>16</v>
      </c>
      <c r="N3" s="22" t="s">
        <v>100</v>
      </c>
      <c r="O3" s="22" t="s">
        <v>22</v>
      </c>
      <c r="P3" s="40" t="s">
        <v>101</v>
      </c>
      <c r="Q3" s="40" t="s">
        <v>102</v>
      </c>
      <c r="R3" s="39"/>
    </row>
    <row r="4" spans="2:18">
      <c r="B4" s="15">
        <v>90</v>
      </c>
      <c r="C4" s="140">
        <v>6.4</v>
      </c>
      <c r="D4" s="140">
        <v>0.19</v>
      </c>
      <c r="E4" s="140">
        <v>12.48</v>
      </c>
      <c r="F4" s="140">
        <v>7.42</v>
      </c>
      <c r="G4" s="140">
        <v>0.28000000000000003</v>
      </c>
      <c r="H4" s="140">
        <v>0.01</v>
      </c>
      <c r="I4" s="140">
        <v>0.27</v>
      </c>
      <c r="J4" s="140">
        <v>26.76</v>
      </c>
      <c r="K4" s="108">
        <v>1.77E-2</v>
      </c>
      <c r="L4" s="44"/>
      <c r="M4" s="161" t="s">
        <v>85</v>
      </c>
      <c r="N4" s="193">
        <v>37833502</v>
      </c>
      <c r="O4" s="98"/>
      <c r="P4" s="98">
        <v>32900</v>
      </c>
      <c r="Q4" s="194">
        <v>100</v>
      </c>
      <c r="R4" s="44"/>
    </row>
    <row r="5" spans="2:18">
      <c r="B5" s="15">
        <v>91</v>
      </c>
      <c r="C5" s="140">
        <v>6.64</v>
      </c>
      <c r="D5" s="140">
        <v>0.21</v>
      </c>
      <c r="E5" s="140">
        <v>12.73</v>
      </c>
      <c r="F5" s="140">
        <v>7.4</v>
      </c>
      <c r="G5" s="140">
        <v>0.3</v>
      </c>
      <c r="H5" s="140">
        <v>0.01</v>
      </c>
      <c r="I5" s="140">
        <v>0.3</v>
      </c>
      <c r="J5" s="140">
        <v>27.28</v>
      </c>
      <c r="K5" s="108">
        <v>1.84E-2</v>
      </c>
      <c r="L5" s="44"/>
      <c r="M5" s="161" t="s">
        <v>86</v>
      </c>
      <c r="N5" s="193">
        <v>34050091</v>
      </c>
      <c r="O5" s="98">
        <v>3400</v>
      </c>
      <c r="P5" s="98">
        <v>36500</v>
      </c>
      <c r="Q5" s="194">
        <v>99.85</v>
      </c>
      <c r="R5" s="44"/>
    </row>
    <row r="6" spans="2:18">
      <c r="B6" s="15">
        <v>92</v>
      </c>
      <c r="C6" s="140">
        <v>6.89</v>
      </c>
      <c r="D6" s="140">
        <v>0.22</v>
      </c>
      <c r="E6" s="140">
        <v>13.07</v>
      </c>
      <c r="F6" s="140">
        <v>7.37</v>
      </c>
      <c r="G6" s="140">
        <v>0.35</v>
      </c>
      <c r="H6" s="140">
        <v>0.01</v>
      </c>
      <c r="I6" s="140">
        <v>0.34</v>
      </c>
      <c r="J6" s="140">
        <v>27.9</v>
      </c>
      <c r="K6" s="108">
        <v>1.9099999999999999E-2</v>
      </c>
      <c r="L6" s="44"/>
      <c r="M6" s="161" t="s">
        <v>87</v>
      </c>
      <c r="N6" s="193">
        <v>30266479</v>
      </c>
      <c r="O6" s="98">
        <v>9700</v>
      </c>
      <c r="P6" s="98">
        <v>40200</v>
      </c>
      <c r="Q6" s="194">
        <v>97.75</v>
      </c>
      <c r="R6" s="44"/>
    </row>
    <row r="7" spans="2:18">
      <c r="B7" s="15">
        <v>93</v>
      </c>
      <c r="C7" s="140">
        <v>7.2</v>
      </c>
      <c r="D7" s="140">
        <v>0.26</v>
      </c>
      <c r="E7" s="140">
        <v>13.43</v>
      </c>
      <c r="F7" s="140">
        <v>7.36</v>
      </c>
      <c r="G7" s="140">
        <v>0.4</v>
      </c>
      <c r="H7" s="140">
        <v>0.01</v>
      </c>
      <c r="I7" s="140">
        <v>0.39</v>
      </c>
      <c r="J7" s="140">
        <v>28.65</v>
      </c>
      <c r="K7" s="108">
        <v>1.9699999999999999E-2</v>
      </c>
      <c r="L7" s="44"/>
      <c r="M7" s="15" t="s">
        <v>88</v>
      </c>
      <c r="N7" s="54">
        <v>26483450</v>
      </c>
      <c r="O7" s="98">
        <v>14500</v>
      </c>
      <c r="P7" s="98">
        <v>44200</v>
      </c>
      <c r="Q7" s="194">
        <v>94.04</v>
      </c>
      <c r="R7" s="44"/>
    </row>
    <row r="8" spans="2:18">
      <c r="B8" s="15">
        <v>94</v>
      </c>
      <c r="C8" s="140">
        <v>7.53</v>
      </c>
      <c r="D8" s="140">
        <v>0.28000000000000003</v>
      </c>
      <c r="E8" s="140">
        <v>13.85</v>
      </c>
      <c r="F8" s="140">
        <v>7.33</v>
      </c>
      <c r="G8" s="140">
        <v>0.46</v>
      </c>
      <c r="H8" s="140">
        <v>0.01</v>
      </c>
      <c r="I8" s="140">
        <v>0.45</v>
      </c>
      <c r="J8" s="140">
        <v>29.46</v>
      </c>
      <c r="K8" s="108">
        <v>2.1000000000000001E-2</v>
      </c>
      <c r="L8" s="48"/>
      <c r="M8" s="15" t="s">
        <v>89</v>
      </c>
      <c r="N8" s="54">
        <v>22699895</v>
      </c>
      <c r="O8" s="98">
        <v>18200</v>
      </c>
      <c r="P8" s="98">
        <v>48900</v>
      </c>
      <c r="Q8" s="194">
        <v>89.18</v>
      </c>
      <c r="R8" s="44"/>
    </row>
    <row r="9" spans="2:18">
      <c r="B9" s="15">
        <v>95</v>
      </c>
      <c r="C9" s="140">
        <v>7.98</v>
      </c>
      <c r="D9" s="140">
        <v>0.33</v>
      </c>
      <c r="E9" s="140">
        <v>14.15</v>
      </c>
      <c r="F9" s="140">
        <v>7.29</v>
      </c>
      <c r="G9" s="140">
        <v>0.53</v>
      </c>
      <c r="H9" s="140">
        <v>0.01</v>
      </c>
      <c r="I9" s="140">
        <v>0.52</v>
      </c>
      <c r="J9" s="140">
        <v>30.3</v>
      </c>
      <c r="K9" s="108">
        <v>2.5100000000000001E-2</v>
      </c>
      <c r="L9" s="48"/>
      <c r="M9" s="15" t="s">
        <v>90</v>
      </c>
      <c r="N9" s="54">
        <v>18915941</v>
      </c>
      <c r="O9" s="98">
        <v>21900</v>
      </c>
      <c r="P9" s="98">
        <v>54600</v>
      </c>
      <c r="Q9" s="194">
        <v>82.98</v>
      </c>
      <c r="R9" s="44"/>
    </row>
    <row r="10" spans="2:18">
      <c r="B10" s="15">
        <v>96</v>
      </c>
      <c r="C10" s="140">
        <v>8.66</v>
      </c>
      <c r="D10" s="140">
        <v>0.38</v>
      </c>
      <c r="E10" s="140">
        <v>14.36</v>
      </c>
      <c r="F10" s="140">
        <v>7.28</v>
      </c>
      <c r="G10" s="140">
        <v>0.67</v>
      </c>
      <c r="H10" s="140">
        <v>0.01</v>
      </c>
      <c r="I10" s="140">
        <v>0.66</v>
      </c>
      <c r="J10" s="140">
        <v>31.36</v>
      </c>
      <c r="K10" s="108">
        <v>2.9499999999999998E-2</v>
      </c>
      <c r="L10" s="48"/>
      <c r="M10" s="15" t="s">
        <v>91</v>
      </c>
      <c r="N10" s="54">
        <v>15133006</v>
      </c>
      <c r="O10" s="98">
        <v>27000</v>
      </c>
      <c r="P10" s="98">
        <v>62200</v>
      </c>
      <c r="Q10" s="194">
        <v>75.62</v>
      </c>
      <c r="R10" s="44"/>
    </row>
    <row r="11" spans="2:18">
      <c r="B11" s="15">
        <v>97</v>
      </c>
      <c r="C11" s="140">
        <v>9.5399999999999991</v>
      </c>
      <c r="D11" s="140">
        <v>0.47</v>
      </c>
      <c r="E11" s="140">
        <v>14.52</v>
      </c>
      <c r="F11" s="140">
        <v>7.26</v>
      </c>
      <c r="G11" s="140">
        <v>0.88</v>
      </c>
      <c r="H11" s="140">
        <v>0.02</v>
      </c>
      <c r="I11" s="140">
        <v>0.86</v>
      </c>
      <c r="J11" s="140">
        <v>32.67</v>
      </c>
      <c r="K11" s="108">
        <v>3.15E-2</v>
      </c>
      <c r="L11" s="48"/>
      <c r="M11" s="15" t="s">
        <v>92</v>
      </c>
      <c r="N11" s="54">
        <v>11349720</v>
      </c>
      <c r="O11" s="98">
        <v>33600</v>
      </c>
      <c r="P11" s="98">
        <v>72900</v>
      </c>
      <c r="Q11" s="194">
        <v>66.47</v>
      </c>
      <c r="R11" s="44"/>
    </row>
    <row r="12" spans="2:18">
      <c r="B12" s="15">
        <v>98</v>
      </c>
      <c r="C12" s="140">
        <v>10.65</v>
      </c>
      <c r="D12" s="140">
        <v>0.6</v>
      </c>
      <c r="E12" s="140">
        <v>14.42</v>
      </c>
      <c r="F12" s="140">
        <v>7.25</v>
      </c>
      <c r="G12" s="140">
        <v>1.25</v>
      </c>
      <c r="H12" s="140">
        <v>0.03</v>
      </c>
      <c r="I12" s="140">
        <v>1.22</v>
      </c>
      <c r="J12" s="140">
        <v>34.17</v>
      </c>
      <c r="K12" s="108">
        <v>3.9800000000000002E-2</v>
      </c>
      <c r="L12" s="48"/>
      <c r="M12" s="15" t="s">
        <v>93</v>
      </c>
      <c r="N12" s="54">
        <v>7566688</v>
      </c>
      <c r="O12" s="98">
        <v>44300</v>
      </c>
      <c r="P12" s="98">
        <v>90100</v>
      </c>
      <c r="Q12" s="194">
        <v>54.77</v>
      </c>
      <c r="R12" s="44"/>
    </row>
    <row r="13" spans="2:18">
      <c r="B13" s="15">
        <v>99</v>
      </c>
      <c r="C13" s="140">
        <v>12.13</v>
      </c>
      <c r="D13" s="140">
        <v>0.8</v>
      </c>
      <c r="E13" s="140">
        <v>13.78</v>
      </c>
      <c r="F13" s="140">
        <v>7.22</v>
      </c>
      <c r="G13" s="140">
        <v>2.13</v>
      </c>
      <c r="H13" s="140">
        <v>0.05</v>
      </c>
      <c r="I13" s="140">
        <v>2.08</v>
      </c>
      <c r="J13" s="140">
        <v>36.049999999999997</v>
      </c>
      <c r="K13" s="108">
        <v>5.1000000000000004E-3</v>
      </c>
      <c r="L13" s="48"/>
      <c r="M13" s="15" t="s">
        <v>94</v>
      </c>
      <c r="N13" s="54">
        <v>3783318</v>
      </c>
      <c r="O13" s="98">
        <v>62900</v>
      </c>
      <c r="P13" s="98">
        <v>128000</v>
      </c>
      <c r="Q13" s="194">
        <v>38.909999999999997</v>
      </c>
      <c r="R13" s="44"/>
    </row>
    <row r="14" spans="2:18">
      <c r="B14" s="15">
        <v>99.1</v>
      </c>
      <c r="C14" s="140">
        <v>13.24</v>
      </c>
      <c r="D14" s="140">
        <v>0.95</v>
      </c>
      <c r="E14" s="140">
        <v>13.16</v>
      </c>
      <c r="F14" s="140">
        <v>7.14</v>
      </c>
      <c r="G14" s="140">
        <v>3.11</v>
      </c>
      <c r="H14" s="140">
        <v>7.0000000000000007E-2</v>
      </c>
      <c r="I14" s="140">
        <v>3.04</v>
      </c>
      <c r="J14" s="140">
        <v>37.6</v>
      </c>
      <c r="K14" s="108">
        <v>5.7000000000000002E-3</v>
      </c>
      <c r="L14" s="48"/>
      <c r="M14" s="15" t="s">
        <v>95</v>
      </c>
      <c r="N14" s="54">
        <v>1891637</v>
      </c>
      <c r="O14" s="98">
        <v>86300</v>
      </c>
      <c r="P14" s="98">
        <v>183000</v>
      </c>
      <c r="Q14" s="194">
        <v>27.81</v>
      </c>
      <c r="R14" s="44"/>
    </row>
    <row r="15" spans="2:18">
      <c r="B15" s="15">
        <v>99.2</v>
      </c>
      <c r="C15" s="140">
        <v>13.56</v>
      </c>
      <c r="D15" s="140">
        <v>0.95</v>
      </c>
      <c r="E15" s="140">
        <v>13.1</v>
      </c>
      <c r="F15" s="140">
        <v>7.1</v>
      </c>
      <c r="G15" s="140">
        <v>3.42</v>
      </c>
      <c r="H15" s="140">
        <v>0.08</v>
      </c>
      <c r="I15" s="140">
        <v>3.34</v>
      </c>
      <c r="J15" s="140">
        <v>38.130000000000003</v>
      </c>
      <c r="K15" s="108">
        <v>6.3E-3</v>
      </c>
      <c r="L15" s="48"/>
      <c r="M15" s="15" t="s">
        <v>62</v>
      </c>
      <c r="N15" s="54">
        <v>378333</v>
      </c>
      <c r="O15" s="98">
        <v>180000</v>
      </c>
      <c r="P15" s="98">
        <v>455000</v>
      </c>
      <c r="Q15" s="194">
        <v>13.83</v>
      </c>
      <c r="R15" s="44"/>
    </row>
    <row r="16" spans="2:18">
      <c r="B16" s="15">
        <v>99.3</v>
      </c>
      <c r="C16" s="140">
        <v>14.06</v>
      </c>
      <c r="D16" s="140">
        <v>1.01</v>
      </c>
      <c r="E16" s="140">
        <v>13.01</v>
      </c>
      <c r="F16" s="140">
        <v>7.1</v>
      </c>
      <c r="G16" s="140">
        <v>3.72</v>
      </c>
      <c r="H16" s="140">
        <v>0.09</v>
      </c>
      <c r="I16" s="140">
        <v>3.63</v>
      </c>
      <c r="J16" s="140">
        <v>38.909999999999997</v>
      </c>
      <c r="K16" s="108">
        <v>6.7000000000000002E-3</v>
      </c>
      <c r="L16" s="48"/>
      <c r="M16" s="15" t="s">
        <v>96</v>
      </c>
      <c r="N16" s="54">
        <v>37833</v>
      </c>
      <c r="O16" s="98">
        <v>626000</v>
      </c>
      <c r="P16" s="98">
        <v>2035000</v>
      </c>
      <c r="Q16" s="194">
        <v>6.19</v>
      </c>
      <c r="R16" s="44"/>
    </row>
    <row r="17" spans="2:18">
      <c r="B17" s="15">
        <v>99.4</v>
      </c>
      <c r="C17" s="140">
        <v>14.43</v>
      </c>
      <c r="D17" s="140">
        <v>1.0900000000000001</v>
      </c>
      <c r="E17" s="140">
        <v>12.7</v>
      </c>
      <c r="F17" s="140">
        <v>7</v>
      </c>
      <c r="G17" s="140">
        <v>4.26</v>
      </c>
      <c r="H17" s="140">
        <v>0.09</v>
      </c>
      <c r="I17" s="140">
        <v>4.17</v>
      </c>
      <c r="J17" s="140">
        <v>39.479999999999997</v>
      </c>
      <c r="K17" s="108">
        <v>6.7999999999999996E-3</v>
      </c>
      <c r="L17" s="48"/>
      <c r="M17" s="15" t="s">
        <v>97</v>
      </c>
      <c r="N17" s="54">
        <v>3783</v>
      </c>
      <c r="O17" s="98">
        <v>2592000</v>
      </c>
      <c r="P17" s="98">
        <v>10875000</v>
      </c>
      <c r="Q17" s="194">
        <v>3.31</v>
      </c>
      <c r="R17" s="44"/>
    </row>
    <row r="18" spans="2:18">
      <c r="B18" s="15">
        <v>99.5</v>
      </c>
      <c r="C18" s="140">
        <v>14.83</v>
      </c>
      <c r="D18" s="140">
        <v>1.1000000000000001</v>
      </c>
      <c r="E18" s="140">
        <v>12.47</v>
      </c>
      <c r="F18" s="140">
        <v>6.93</v>
      </c>
      <c r="G18" s="140">
        <v>4.74</v>
      </c>
      <c r="H18" s="140">
        <v>0.11</v>
      </c>
      <c r="I18" s="140">
        <v>4.63</v>
      </c>
      <c r="J18" s="140">
        <v>40.07</v>
      </c>
      <c r="K18" s="108">
        <v>7.3000000000000001E-3</v>
      </c>
      <c r="L18" s="48"/>
      <c r="M18" s="15" t="s">
        <v>98</v>
      </c>
      <c r="N18" s="54">
        <v>378</v>
      </c>
      <c r="O18" s="98">
        <v>14876000</v>
      </c>
      <c r="P18" s="98">
        <v>64768000</v>
      </c>
      <c r="Q18" s="194">
        <v>1.97</v>
      </c>
      <c r="R18" s="44"/>
    </row>
    <row r="19" spans="2:18">
      <c r="B19" s="15">
        <v>99.6</v>
      </c>
      <c r="C19" s="140">
        <v>15.23</v>
      </c>
      <c r="D19" s="140">
        <v>1.18</v>
      </c>
      <c r="E19" s="140">
        <v>12.13</v>
      </c>
      <c r="F19" s="140">
        <v>6.84</v>
      </c>
      <c r="G19" s="140">
        <v>5.41</v>
      </c>
      <c r="H19" s="140">
        <v>0.14000000000000001</v>
      </c>
      <c r="I19" s="140">
        <v>5.27</v>
      </c>
      <c r="J19" s="140">
        <v>40.78</v>
      </c>
      <c r="K19" s="108">
        <v>8.3999999999999995E-3</v>
      </c>
      <c r="L19" s="48"/>
      <c r="M19" s="15" t="s">
        <v>99</v>
      </c>
      <c r="N19" s="54">
        <v>75</v>
      </c>
      <c r="O19" s="98">
        <v>61540000</v>
      </c>
      <c r="P19" s="98">
        <v>217289000</v>
      </c>
      <c r="Q19" s="194">
        <v>1.31</v>
      </c>
      <c r="R19" s="44"/>
    </row>
    <row r="20" spans="2:18">
      <c r="B20" s="15">
        <v>99.7</v>
      </c>
      <c r="C20" s="140">
        <v>15.64</v>
      </c>
      <c r="D20" s="140">
        <v>1.21</v>
      </c>
      <c r="E20" s="140">
        <v>11.53</v>
      </c>
      <c r="F20" s="140">
        <v>6.66</v>
      </c>
      <c r="G20" s="140">
        <v>6.43</v>
      </c>
      <c r="H20" s="140">
        <v>0.15</v>
      </c>
      <c r="I20" s="140">
        <v>6.28</v>
      </c>
      <c r="J20" s="140">
        <v>41.47</v>
      </c>
      <c r="K20" s="108">
        <v>1.0500000000000001E-2</v>
      </c>
      <c r="L20" s="48"/>
      <c r="M20" s="48"/>
      <c r="N20" s="48"/>
      <c r="O20" s="44"/>
      <c r="P20" s="44"/>
      <c r="Q20" s="44"/>
      <c r="R20" s="44"/>
    </row>
    <row r="21" spans="2:18">
      <c r="B21" s="15">
        <v>99.8</v>
      </c>
      <c r="C21" s="140">
        <v>16.12</v>
      </c>
      <c r="D21" s="140">
        <v>1.34</v>
      </c>
      <c r="E21" s="140">
        <v>10.71</v>
      </c>
      <c r="F21" s="140">
        <v>6.53</v>
      </c>
      <c r="G21" s="140">
        <v>7.75</v>
      </c>
      <c r="H21" s="140">
        <v>0.2</v>
      </c>
      <c r="I21" s="140">
        <v>7.55</v>
      </c>
      <c r="J21" s="140">
        <v>42.45</v>
      </c>
      <c r="K21" s="108">
        <v>1.41E-2</v>
      </c>
      <c r="L21" s="48"/>
      <c r="M21" s="2" t="s">
        <v>107</v>
      </c>
      <c r="N21" s="48"/>
      <c r="O21" s="44"/>
      <c r="P21" s="44"/>
      <c r="Q21" s="44"/>
      <c r="R21" s="44"/>
    </row>
    <row r="22" spans="2:18">
      <c r="B22" s="15">
        <v>99.9</v>
      </c>
      <c r="C22" s="140">
        <v>16.3</v>
      </c>
      <c r="D22" s="140">
        <v>1.35</v>
      </c>
      <c r="E22" s="140">
        <v>9.9499999999999993</v>
      </c>
      <c r="F22" s="140">
        <v>6.15</v>
      </c>
      <c r="G22" s="140">
        <v>9.9</v>
      </c>
      <c r="H22" s="140">
        <v>0.28000000000000003</v>
      </c>
      <c r="I22" s="140">
        <v>9.61</v>
      </c>
      <c r="J22" s="140">
        <v>43.65</v>
      </c>
      <c r="K22" s="108">
        <v>1.8E-3</v>
      </c>
      <c r="L22" s="48"/>
      <c r="M22" s="2"/>
      <c r="N22" s="48"/>
      <c r="O22" s="44"/>
      <c r="P22" s="44"/>
      <c r="Q22" s="44"/>
      <c r="R22" s="44"/>
    </row>
    <row r="23" spans="2:18">
      <c r="B23" s="15">
        <v>99.91</v>
      </c>
      <c r="C23" s="140">
        <v>16.510000000000002</v>
      </c>
      <c r="D23" s="140">
        <v>1.44</v>
      </c>
      <c r="E23" s="140">
        <v>9.2200000000000006</v>
      </c>
      <c r="F23" s="140">
        <v>5.91</v>
      </c>
      <c r="G23" s="140">
        <v>11.67</v>
      </c>
      <c r="H23" s="140">
        <v>0.35</v>
      </c>
      <c r="I23" s="140">
        <v>11.32</v>
      </c>
      <c r="J23" s="140">
        <v>44.75</v>
      </c>
      <c r="K23" s="108">
        <v>2E-3</v>
      </c>
      <c r="L23" s="48"/>
      <c r="M23" s="48"/>
      <c r="N23" s="48"/>
      <c r="O23" s="44"/>
      <c r="P23" s="44"/>
      <c r="Q23" s="44"/>
      <c r="R23" s="44"/>
    </row>
    <row r="24" spans="2:18">
      <c r="B24" s="15">
        <v>99.92</v>
      </c>
      <c r="C24" s="140">
        <v>16.28</v>
      </c>
      <c r="D24" s="140">
        <v>1.38</v>
      </c>
      <c r="E24" s="140">
        <v>9.24</v>
      </c>
      <c r="F24" s="140">
        <v>5.75</v>
      </c>
      <c r="G24" s="140">
        <v>12.07</v>
      </c>
      <c r="H24" s="140">
        <v>0.36</v>
      </c>
      <c r="I24" s="140">
        <v>11.71</v>
      </c>
      <c r="J24" s="140">
        <v>44.72</v>
      </c>
      <c r="K24" s="108">
        <v>2.0999999999999999E-3</v>
      </c>
      <c r="L24" s="48"/>
      <c r="M24" s="48"/>
      <c r="N24" s="48"/>
      <c r="O24" s="44"/>
      <c r="P24" s="44"/>
      <c r="Q24" s="44"/>
      <c r="R24" s="44"/>
    </row>
    <row r="25" spans="2:18">
      <c r="B25" s="15">
        <v>99.93</v>
      </c>
      <c r="C25" s="140">
        <v>15.61</v>
      </c>
      <c r="D25" s="140">
        <v>1.44</v>
      </c>
      <c r="E25" s="140">
        <v>8.57</v>
      </c>
      <c r="F25" s="140">
        <v>5.51</v>
      </c>
      <c r="G25" s="140">
        <v>12.94</v>
      </c>
      <c r="H25" s="140">
        <v>0.42</v>
      </c>
      <c r="I25" s="140">
        <v>12.52</v>
      </c>
      <c r="J25" s="140">
        <v>44.06</v>
      </c>
      <c r="K25" s="108">
        <v>2.3E-3</v>
      </c>
      <c r="L25" s="48"/>
      <c r="M25" s="48"/>
      <c r="N25" s="48"/>
      <c r="O25" s="44"/>
      <c r="P25" s="44"/>
      <c r="Q25" s="44"/>
      <c r="R25" s="44"/>
    </row>
    <row r="26" spans="2:18">
      <c r="B26" s="15">
        <v>99.94</v>
      </c>
      <c r="C26" s="140">
        <v>15.46</v>
      </c>
      <c r="D26" s="140">
        <v>1.48</v>
      </c>
      <c r="E26" s="140">
        <v>8.19</v>
      </c>
      <c r="F26" s="140">
        <v>5.51</v>
      </c>
      <c r="G26" s="140">
        <v>13.7</v>
      </c>
      <c r="H26" s="140">
        <v>0.47</v>
      </c>
      <c r="I26" s="140">
        <v>13.23</v>
      </c>
      <c r="J26" s="140">
        <v>44.35</v>
      </c>
      <c r="K26" s="108">
        <v>2.5999999999999999E-3</v>
      </c>
      <c r="L26" s="48"/>
      <c r="M26" s="48"/>
      <c r="N26" s="48"/>
      <c r="O26" s="44"/>
      <c r="P26" s="44"/>
      <c r="Q26" s="44"/>
      <c r="R26" s="44"/>
    </row>
    <row r="27" spans="2:18">
      <c r="B27" s="15">
        <v>99.95</v>
      </c>
      <c r="C27" s="140">
        <v>15.44</v>
      </c>
      <c r="D27" s="140">
        <v>1.51</v>
      </c>
      <c r="E27" s="140">
        <v>7.62</v>
      </c>
      <c r="F27" s="140">
        <v>5.34</v>
      </c>
      <c r="G27" s="140">
        <v>14.06</v>
      </c>
      <c r="H27" s="140">
        <v>0.48</v>
      </c>
      <c r="I27" s="140">
        <v>13.59</v>
      </c>
      <c r="J27" s="140">
        <v>43.98</v>
      </c>
      <c r="K27" s="108">
        <v>2.8999999999999998E-3</v>
      </c>
      <c r="L27" s="48"/>
      <c r="M27" s="48"/>
      <c r="N27" s="48"/>
      <c r="O27" s="44"/>
      <c r="P27" s="44"/>
      <c r="Q27" s="44"/>
      <c r="R27" s="44"/>
    </row>
    <row r="28" spans="2:18">
      <c r="B28" s="15">
        <v>99.96</v>
      </c>
      <c r="C28" s="140">
        <v>15.21</v>
      </c>
      <c r="D28" s="140">
        <v>1.48</v>
      </c>
      <c r="E28" s="140">
        <v>7.39</v>
      </c>
      <c r="F28" s="140">
        <v>5.21</v>
      </c>
      <c r="G28" s="140">
        <v>14.88</v>
      </c>
      <c r="H28" s="140">
        <v>0.47</v>
      </c>
      <c r="I28" s="140">
        <v>14.41</v>
      </c>
      <c r="J28" s="140">
        <v>44.16</v>
      </c>
      <c r="K28" s="108">
        <v>3.3999999999999998E-3</v>
      </c>
      <c r="L28" s="48"/>
      <c r="M28" s="48"/>
      <c r="N28" s="48"/>
      <c r="O28" s="44"/>
      <c r="P28" s="44"/>
      <c r="Q28" s="44"/>
      <c r="R28" s="44"/>
    </row>
    <row r="29" spans="2:18">
      <c r="B29" s="15">
        <v>99.97</v>
      </c>
      <c r="C29" s="140">
        <v>14.62</v>
      </c>
      <c r="D29" s="140">
        <v>1.39</v>
      </c>
      <c r="E29" s="140">
        <v>6.74</v>
      </c>
      <c r="F29" s="140">
        <v>4.82</v>
      </c>
      <c r="G29" s="140">
        <v>15.73</v>
      </c>
      <c r="H29" s="140">
        <v>0.71</v>
      </c>
      <c r="I29" s="140">
        <v>15.01</v>
      </c>
      <c r="J29" s="140">
        <v>43.29</v>
      </c>
      <c r="K29" s="108">
        <v>4.3E-3</v>
      </c>
      <c r="L29" s="48"/>
      <c r="M29" s="48"/>
      <c r="N29" s="48"/>
      <c r="O29" s="44"/>
      <c r="P29" s="44"/>
      <c r="Q29" s="44"/>
      <c r="R29" s="44"/>
    </row>
    <row r="30" spans="2:18">
      <c r="B30" s="15">
        <v>99.98</v>
      </c>
      <c r="C30" s="140">
        <v>13.71</v>
      </c>
      <c r="D30" s="140">
        <v>1.52</v>
      </c>
      <c r="E30" s="140">
        <v>5.81</v>
      </c>
      <c r="F30" s="140">
        <v>4.5599999999999996</v>
      </c>
      <c r="G30" s="140">
        <v>17.079999999999998</v>
      </c>
      <c r="H30" s="140">
        <v>0.77</v>
      </c>
      <c r="I30" s="140">
        <v>16.3</v>
      </c>
      <c r="J30" s="140">
        <v>42.68</v>
      </c>
      <c r="K30" s="108">
        <v>5.8999999999999999E-3</v>
      </c>
      <c r="L30" s="48"/>
      <c r="M30" s="48"/>
      <c r="N30" s="48"/>
      <c r="O30" s="44"/>
      <c r="P30" s="44"/>
      <c r="Q30" s="44"/>
      <c r="R30" s="44"/>
    </row>
    <row r="31" spans="2:18">
      <c r="B31" s="15">
        <v>99.99</v>
      </c>
      <c r="C31" s="140">
        <v>12.41</v>
      </c>
      <c r="D31" s="140">
        <v>1.41</v>
      </c>
      <c r="E31" s="140">
        <v>4.63</v>
      </c>
      <c r="F31" s="140">
        <v>4.21</v>
      </c>
      <c r="G31" s="140">
        <v>19.02</v>
      </c>
      <c r="H31" s="140">
        <v>0.93</v>
      </c>
      <c r="I31" s="140">
        <v>18.09</v>
      </c>
      <c r="J31" s="140">
        <v>41.68</v>
      </c>
      <c r="K31" s="108">
        <v>8.0000000000000004E-4</v>
      </c>
      <c r="L31" s="48"/>
      <c r="M31" s="48"/>
      <c r="N31" s="48"/>
      <c r="O31" s="44"/>
      <c r="P31" s="44"/>
      <c r="Q31" s="44"/>
      <c r="R31" s="44"/>
    </row>
    <row r="32" spans="2:18">
      <c r="B32" s="15">
        <v>99.991</v>
      </c>
      <c r="C32" s="140">
        <v>10.67</v>
      </c>
      <c r="D32" s="140">
        <v>1.43</v>
      </c>
      <c r="E32" s="140">
        <v>3.63</v>
      </c>
      <c r="F32" s="140">
        <v>3.49</v>
      </c>
      <c r="G32" s="140">
        <v>21.71</v>
      </c>
      <c r="H32" s="140">
        <v>1.33</v>
      </c>
      <c r="I32" s="140">
        <v>20.38</v>
      </c>
      <c r="J32" s="140">
        <v>40.93</v>
      </c>
      <c r="K32" s="108">
        <v>8.0000000000000004E-4</v>
      </c>
      <c r="L32" s="48"/>
      <c r="M32" s="48"/>
      <c r="N32" s="48"/>
      <c r="O32" s="44"/>
      <c r="P32" s="44"/>
      <c r="Q32" s="44"/>
      <c r="R32" s="44"/>
    </row>
    <row r="33" spans="2:18">
      <c r="B33" s="15">
        <v>99.992000000000004</v>
      </c>
      <c r="C33" s="140">
        <v>12.23</v>
      </c>
      <c r="D33" s="140">
        <v>1.26</v>
      </c>
      <c r="E33" s="140">
        <v>3.91</v>
      </c>
      <c r="F33" s="140">
        <v>3.56</v>
      </c>
      <c r="G33" s="140">
        <v>19.850000000000001</v>
      </c>
      <c r="H33" s="140">
        <v>1.06</v>
      </c>
      <c r="I33" s="140">
        <v>18.79</v>
      </c>
      <c r="J33" s="140">
        <v>40.81</v>
      </c>
      <c r="K33" s="108">
        <v>8.9999999999999998E-4</v>
      </c>
      <c r="L33" s="48"/>
      <c r="M33" s="48"/>
      <c r="N33" s="48"/>
      <c r="O33" s="44"/>
      <c r="P33" s="44"/>
      <c r="Q33" s="44"/>
      <c r="R33" s="44"/>
    </row>
    <row r="34" spans="2:18">
      <c r="B34" s="15">
        <v>99.992999999999995</v>
      </c>
      <c r="C34" s="140">
        <v>12.08</v>
      </c>
      <c r="D34" s="140">
        <v>1.42</v>
      </c>
      <c r="E34" s="140">
        <v>3.88</v>
      </c>
      <c r="F34" s="140">
        <v>4.2699999999999996</v>
      </c>
      <c r="G34" s="140">
        <v>21.35</v>
      </c>
      <c r="H34" s="140">
        <v>1.28</v>
      </c>
      <c r="I34" s="140">
        <v>20.079999999999998</v>
      </c>
      <c r="J34" s="140">
        <v>43</v>
      </c>
      <c r="K34" s="108">
        <v>1E-3</v>
      </c>
      <c r="L34" s="48"/>
      <c r="M34" s="48"/>
      <c r="N34" s="48"/>
      <c r="O34" s="44"/>
      <c r="P34" s="44"/>
      <c r="Q34" s="44"/>
      <c r="R34" s="44"/>
    </row>
    <row r="35" spans="2:18">
      <c r="B35" s="15">
        <v>99.994</v>
      </c>
      <c r="C35" s="140">
        <v>11.24</v>
      </c>
      <c r="D35" s="140">
        <v>1.2</v>
      </c>
      <c r="E35" s="140">
        <v>3.5</v>
      </c>
      <c r="F35" s="140">
        <v>3.68</v>
      </c>
      <c r="G35" s="140">
        <v>20.72</v>
      </c>
      <c r="H35" s="140">
        <v>1.56</v>
      </c>
      <c r="I35" s="140">
        <v>19.16</v>
      </c>
      <c r="J35" s="140">
        <v>40.35</v>
      </c>
      <c r="K35" s="108">
        <v>1E-3</v>
      </c>
      <c r="L35" s="48"/>
      <c r="M35" s="48"/>
      <c r="N35" s="48"/>
      <c r="O35" s="44"/>
      <c r="P35" s="44"/>
      <c r="Q35" s="44"/>
      <c r="R35" s="44"/>
    </row>
    <row r="36" spans="2:18">
      <c r="B36" s="15">
        <v>99.995000000000005</v>
      </c>
      <c r="C36" s="140">
        <v>9.52</v>
      </c>
      <c r="D36" s="140">
        <v>1.17</v>
      </c>
      <c r="E36" s="140">
        <v>3.12</v>
      </c>
      <c r="F36" s="140">
        <v>2.98</v>
      </c>
      <c r="G36" s="140">
        <v>21.82</v>
      </c>
      <c r="H36" s="140">
        <v>1.88</v>
      </c>
      <c r="I36" s="140">
        <v>19.95</v>
      </c>
      <c r="J36" s="140">
        <v>38.61</v>
      </c>
      <c r="K36" s="108">
        <v>1.1999999999999999E-3</v>
      </c>
      <c r="L36" s="48"/>
      <c r="M36" s="48"/>
      <c r="N36" s="48"/>
      <c r="O36" s="44"/>
      <c r="P36" s="44"/>
      <c r="Q36" s="44"/>
      <c r="R36" s="44"/>
    </row>
    <row r="37" spans="2:18">
      <c r="B37" s="15">
        <v>99.995999999999995</v>
      </c>
      <c r="C37" s="140">
        <v>10.67</v>
      </c>
      <c r="D37" s="140">
        <v>1.3</v>
      </c>
      <c r="E37" s="140">
        <v>3.09</v>
      </c>
      <c r="F37" s="140">
        <v>3.63</v>
      </c>
      <c r="G37" s="140">
        <v>22.13</v>
      </c>
      <c r="H37" s="140">
        <v>1.82</v>
      </c>
      <c r="I37" s="140">
        <v>20.3</v>
      </c>
      <c r="J37" s="140">
        <v>40.83</v>
      </c>
      <c r="K37" s="108">
        <v>1.4E-3</v>
      </c>
      <c r="L37" s="48"/>
      <c r="M37" s="48"/>
      <c r="N37" s="48"/>
      <c r="O37" s="44"/>
      <c r="P37" s="44"/>
      <c r="Q37" s="44"/>
      <c r="R37" s="44"/>
    </row>
    <row r="38" spans="2:18">
      <c r="B38" s="15">
        <v>99.997</v>
      </c>
      <c r="C38" s="140">
        <v>9.43</v>
      </c>
      <c r="D38" s="140">
        <v>0.97</v>
      </c>
      <c r="E38" s="140">
        <v>2.8</v>
      </c>
      <c r="F38" s="140">
        <v>3.43</v>
      </c>
      <c r="G38" s="140">
        <v>22.33</v>
      </c>
      <c r="H38" s="140">
        <v>2.2799999999999998</v>
      </c>
      <c r="I38" s="140">
        <v>20.05</v>
      </c>
      <c r="J38" s="140">
        <v>38.96</v>
      </c>
      <c r="K38" s="108">
        <v>1.6999999999999999E-3</v>
      </c>
      <c r="L38" s="48"/>
      <c r="M38" s="48"/>
      <c r="N38" s="48"/>
      <c r="O38" s="44"/>
      <c r="P38" s="44"/>
      <c r="Q38" s="44"/>
      <c r="R38" s="44"/>
    </row>
    <row r="39" spans="2:18">
      <c r="B39" s="15">
        <v>99.998000000000005</v>
      </c>
      <c r="C39" s="140">
        <v>8.11</v>
      </c>
      <c r="D39" s="140">
        <v>1.05</v>
      </c>
      <c r="E39" s="140">
        <v>2.52</v>
      </c>
      <c r="F39" s="140">
        <v>2.6</v>
      </c>
      <c r="G39" s="140">
        <v>23.73</v>
      </c>
      <c r="H39" s="140">
        <v>2.64</v>
      </c>
      <c r="I39" s="140">
        <v>21.08</v>
      </c>
      <c r="J39" s="140">
        <v>38.01</v>
      </c>
      <c r="K39" s="108">
        <v>2.3E-3</v>
      </c>
      <c r="L39" s="48"/>
      <c r="M39" s="48"/>
      <c r="N39" s="48"/>
      <c r="O39" s="44"/>
      <c r="P39" s="44"/>
      <c r="Q39" s="44"/>
      <c r="R39" s="44"/>
    </row>
    <row r="40" spans="2:18">
      <c r="B40" s="15">
        <v>99.998999999999995</v>
      </c>
      <c r="C40" s="140">
        <v>7.12</v>
      </c>
      <c r="D40" s="140">
        <v>0.86</v>
      </c>
      <c r="E40" s="140">
        <v>1.53</v>
      </c>
      <c r="F40" s="140">
        <v>2.56</v>
      </c>
      <c r="G40" s="140">
        <v>23.96</v>
      </c>
      <c r="H40" s="140">
        <v>4.09</v>
      </c>
      <c r="I40" s="140">
        <v>19.87</v>
      </c>
      <c r="J40" s="140">
        <v>36.04</v>
      </c>
      <c r="K40" s="188">
        <v>8.8000000000000005E-3</v>
      </c>
      <c r="L40" s="48"/>
      <c r="M40" s="48"/>
      <c r="N40" s="48"/>
      <c r="O40" s="44"/>
      <c r="P40" s="44"/>
      <c r="Q40" s="44"/>
      <c r="R40" s="44"/>
    </row>
    <row r="41" spans="2:18">
      <c r="B41" s="15">
        <v>99.999200000000002</v>
      </c>
      <c r="C41" s="140">
        <v>4.87</v>
      </c>
      <c r="D41" s="140">
        <v>0.97</v>
      </c>
      <c r="E41" s="140">
        <v>1.1000000000000001</v>
      </c>
      <c r="F41" s="140">
        <v>1.88</v>
      </c>
      <c r="G41" s="140">
        <v>22.93</v>
      </c>
      <c r="H41" s="140">
        <v>6.78</v>
      </c>
      <c r="I41" s="140">
        <v>16.14</v>
      </c>
      <c r="J41" s="140">
        <v>31.76</v>
      </c>
      <c r="K41" s="188"/>
      <c r="L41" s="48"/>
      <c r="M41" s="48"/>
      <c r="N41" s="48"/>
      <c r="O41" s="44"/>
      <c r="P41" s="44"/>
      <c r="Q41" s="44"/>
      <c r="R41" s="44"/>
    </row>
    <row r="42" spans="2:18">
      <c r="B42" s="15">
        <v>99.999399999999994</v>
      </c>
      <c r="C42" s="140">
        <v>4.43</v>
      </c>
      <c r="D42" s="140">
        <v>0.47</v>
      </c>
      <c r="E42" s="140">
        <v>1.19</v>
      </c>
      <c r="F42" s="140">
        <v>0.98</v>
      </c>
      <c r="G42" s="140">
        <v>17.440000000000001</v>
      </c>
      <c r="H42" s="140">
        <v>7.73</v>
      </c>
      <c r="I42" s="140">
        <v>9.7100000000000009</v>
      </c>
      <c r="J42" s="140">
        <v>24.51</v>
      </c>
      <c r="K42" s="188"/>
      <c r="L42" s="48"/>
      <c r="M42" s="48"/>
      <c r="N42" s="48"/>
      <c r="O42" s="44"/>
      <c r="P42" s="44"/>
      <c r="Q42" s="44"/>
      <c r="R42" s="44"/>
    </row>
    <row r="43" spans="2:18">
      <c r="B43" s="15">
        <v>99.999600000000001</v>
      </c>
      <c r="C43" s="140">
        <v>4.34</v>
      </c>
      <c r="D43" s="140">
        <v>0.38</v>
      </c>
      <c r="E43" s="140">
        <v>0.59</v>
      </c>
      <c r="F43" s="140">
        <v>0.86</v>
      </c>
      <c r="G43" s="140">
        <v>24.33</v>
      </c>
      <c r="H43" s="140">
        <v>7.97</v>
      </c>
      <c r="I43" s="140">
        <v>16.36</v>
      </c>
      <c r="J43" s="140">
        <v>30.52</v>
      </c>
      <c r="K43" s="188"/>
      <c r="L43" s="48"/>
      <c r="M43" s="48"/>
      <c r="N43" s="48"/>
      <c r="O43" s="44"/>
      <c r="P43" s="44"/>
      <c r="Q43" s="44"/>
      <c r="R43" s="44"/>
    </row>
    <row r="44" spans="2:18">
      <c r="B44" s="15">
        <v>99.999799999999993</v>
      </c>
      <c r="C44" s="140">
        <v>2.04</v>
      </c>
      <c r="D44" s="140">
        <v>0.32</v>
      </c>
      <c r="E44" s="140">
        <v>0.2</v>
      </c>
      <c r="F44" s="140">
        <v>0.97</v>
      </c>
      <c r="G44" s="140">
        <v>25.26</v>
      </c>
      <c r="H44" s="140">
        <v>12.83</v>
      </c>
      <c r="I44" s="140">
        <v>12.43</v>
      </c>
      <c r="J44" s="140">
        <v>28.79</v>
      </c>
      <c r="K44" s="188"/>
      <c r="L44" s="48"/>
      <c r="M44" s="48"/>
      <c r="N44" s="48"/>
      <c r="O44" s="44"/>
      <c r="P44" s="44"/>
      <c r="Q44" s="44"/>
      <c r="R44" s="44"/>
    </row>
    <row r="45" spans="2:18">
      <c r="B45" s="15">
        <v>100</v>
      </c>
      <c r="C45" s="140">
        <v>1.22</v>
      </c>
      <c r="D45" s="140">
        <v>0.13</v>
      </c>
      <c r="E45" s="140">
        <v>7.0000000000000007E-2</v>
      </c>
      <c r="F45" s="140">
        <v>0.6</v>
      </c>
      <c r="G45" s="140">
        <v>23.04</v>
      </c>
      <c r="H45" s="140">
        <v>11.83</v>
      </c>
      <c r="I45" s="140">
        <v>11.22</v>
      </c>
      <c r="J45" s="140">
        <v>25.06</v>
      </c>
      <c r="K45" s="188"/>
      <c r="L45" s="48"/>
      <c r="M45" s="48"/>
      <c r="N45" s="48"/>
      <c r="O45" s="44"/>
      <c r="P45" s="44"/>
      <c r="Q45" s="44"/>
      <c r="R45" s="44"/>
    </row>
    <row r="46" spans="2:18">
      <c r="B46" s="15"/>
      <c r="C46" s="15"/>
      <c r="D46" s="15"/>
      <c r="E46" s="15"/>
      <c r="F46" s="15"/>
      <c r="G46" s="15"/>
      <c r="H46" s="15"/>
      <c r="I46" s="15"/>
      <c r="J46" s="15"/>
      <c r="K46" s="108"/>
      <c r="L46" s="48"/>
      <c r="M46" s="48"/>
      <c r="N46" s="48"/>
      <c r="O46" s="44"/>
      <c r="P46" s="44"/>
      <c r="Q46" s="44"/>
      <c r="R46" s="44"/>
    </row>
    <row r="47" spans="2:18">
      <c r="B47" s="2" t="s">
        <v>232</v>
      </c>
      <c r="C47" s="15"/>
      <c r="D47" s="15"/>
      <c r="E47" s="15"/>
      <c r="F47" s="15"/>
      <c r="G47" s="15"/>
      <c r="H47" s="15"/>
      <c r="I47" s="15"/>
      <c r="J47" s="15"/>
      <c r="K47" s="108"/>
      <c r="L47" s="48"/>
      <c r="M47" s="48"/>
      <c r="N47" s="48"/>
      <c r="O47" s="44"/>
      <c r="P47" s="44"/>
      <c r="Q47" s="44"/>
      <c r="R47" s="44"/>
    </row>
    <row r="48" spans="2:18" s="86" customFormat="1">
      <c r="B48" s="2" t="s">
        <v>338</v>
      </c>
      <c r="C48" s="15"/>
      <c r="D48" s="15"/>
      <c r="E48" s="15"/>
      <c r="F48" s="15"/>
      <c r="G48" s="15"/>
      <c r="H48" s="15"/>
      <c r="I48" s="15"/>
      <c r="J48" s="15"/>
      <c r="K48" s="161"/>
      <c r="L48" s="48"/>
      <c r="M48" s="48"/>
      <c r="N48" s="48"/>
      <c r="O48" s="44"/>
      <c r="P48" s="44"/>
      <c r="Q48" s="44"/>
      <c r="R48" s="44"/>
    </row>
    <row r="49" spans="2:18">
      <c r="B49" s="162" t="s">
        <v>233</v>
      </c>
      <c r="C49" s="15"/>
      <c r="D49" s="15"/>
      <c r="E49" s="15"/>
      <c r="F49" s="15"/>
      <c r="G49" s="15"/>
      <c r="H49" s="15"/>
      <c r="I49" s="15"/>
      <c r="J49" s="15"/>
      <c r="K49" s="108"/>
      <c r="L49" s="48"/>
      <c r="M49" s="48"/>
      <c r="N49" s="48"/>
      <c r="O49" s="44"/>
      <c r="P49" s="44"/>
      <c r="Q49" s="44"/>
      <c r="R49" s="44"/>
    </row>
    <row r="50" spans="2:18">
      <c r="B50" s="2"/>
      <c r="C50" s="15"/>
      <c r="D50" s="15"/>
      <c r="E50" s="15"/>
      <c r="F50" s="15"/>
      <c r="G50" s="15"/>
      <c r="H50" s="15"/>
      <c r="I50" s="15"/>
      <c r="J50" s="15"/>
      <c r="K50" s="74"/>
      <c r="L50" s="48"/>
      <c r="M50" s="48"/>
      <c r="N50" s="48"/>
      <c r="O50" s="44"/>
      <c r="P50" s="44"/>
      <c r="Q50" s="44"/>
      <c r="R50" s="44"/>
    </row>
    <row r="51" spans="2:18">
      <c r="B51" s="15"/>
      <c r="C51" s="15"/>
      <c r="D51" s="15"/>
      <c r="E51" s="12"/>
      <c r="F51" s="15"/>
      <c r="G51" s="15"/>
      <c r="H51" s="15"/>
      <c r="I51" s="15"/>
      <c r="J51" s="15"/>
      <c r="K51" s="74"/>
      <c r="L51" s="48"/>
      <c r="M51" s="48"/>
      <c r="N51" s="48"/>
      <c r="O51" s="44"/>
      <c r="P51" s="44"/>
      <c r="Q51" s="44"/>
      <c r="R51" s="44"/>
    </row>
    <row r="52" spans="2:18">
      <c r="B52" s="15"/>
      <c r="C52" s="15"/>
      <c r="D52" s="15"/>
      <c r="E52" s="15"/>
      <c r="F52" s="15"/>
      <c r="G52" s="15"/>
      <c r="H52" s="15"/>
      <c r="I52" s="15"/>
      <c r="J52" s="15"/>
      <c r="K52" s="74"/>
      <c r="L52" s="48"/>
      <c r="M52" s="48"/>
      <c r="N52" s="48"/>
    </row>
    <row r="53" spans="2:18">
      <c r="B53" s="15"/>
      <c r="C53" s="15"/>
      <c r="D53" s="15"/>
      <c r="E53" s="15"/>
      <c r="F53" s="11"/>
      <c r="G53" s="15"/>
      <c r="H53" s="15"/>
      <c r="I53" s="15"/>
      <c r="J53" s="15"/>
      <c r="K53" s="74"/>
      <c r="L53" s="48"/>
      <c r="M53" s="48"/>
      <c r="N53" s="48"/>
    </row>
  </sheetData>
  <mergeCells count="2">
    <mergeCell ref="C2:J2"/>
    <mergeCell ref="N2:Q2"/>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933B8-BD46-427F-9CCC-6B4722EE66A1}">
  <dimension ref="B2:I19"/>
  <sheetViews>
    <sheetView zoomScale="130" zoomScaleNormal="130" workbookViewId="0">
      <selection activeCell="G20" sqref="G20"/>
    </sheetView>
  </sheetViews>
  <sheetFormatPr baseColWidth="10" defaultRowHeight="14.4"/>
  <cols>
    <col min="1" max="1" width="5.109375" customWidth="1"/>
  </cols>
  <sheetData>
    <row r="2" spans="2:9">
      <c r="C2" s="199" t="s">
        <v>49</v>
      </c>
      <c r="D2" s="199"/>
      <c r="E2" s="199"/>
      <c r="F2" s="199"/>
      <c r="G2" s="199"/>
      <c r="H2" s="199"/>
    </row>
    <row r="3" spans="2:9" ht="43.2">
      <c r="B3" s="40" t="s">
        <v>13</v>
      </c>
      <c r="C3" s="43" t="s">
        <v>57</v>
      </c>
      <c r="D3" s="43" t="s">
        <v>58</v>
      </c>
      <c r="E3" s="43" t="s">
        <v>116</v>
      </c>
      <c r="F3" s="43" t="s">
        <v>61</v>
      </c>
      <c r="G3" s="43" t="s">
        <v>52</v>
      </c>
      <c r="H3" s="43" t="s">
        <v>59</v>
      </c>
      <c r="I3" s="44"/>
    </row>
    <row r="4" spans="2:9">
      <c r="B4" s="180" t="s">
        <v>0</v>
      </c>
      <c r="C4" s="121">
        <v>0.27</v>
      </c>
      <c r="D4" s="9">
        <v>0.17</v>
      </c>
      <c r="E4" s="8">
        <v>0</v>
      </c>
      <c r="F4" s="188">
        <v>0.03</v>
      </c>
      <c r="G4" s="188">
        <v>0.05</v>
      </c>
      <c r="H4" s="192">
        <v>0.02</v>
      </c>
      <c r="I4" s="184"/>
    </row>
    <row r="5" spans="2:9">
      <c r="B5" s="180" t="s">
        <v>1</v>
      </c>
      <c r="C5" s="121">
        <v>0.28000000000000003</v>
      </c>
      <c r="D5" s="9">
        <v>0.17</v>
      </c>
      <c r="E5" s="8">
        <v>0</v>
      </c>
      <c r="F5" s="188">
        <v>0.04</v>
      </c>
      <c r="G5" s="188">
        <v>0.06</v>
      </c>
      <c r="H5" s="192">
        <v>0.02</v>
      </c>
      <c r="I5" s="184"/>
    </row>
    <row r="6" spans="2:9">
      <c r="B6" s="180" t="s">
        <v>2</v>
      </c>
      <c r="C6" s="121">
        <v>0.31</v>
      </c>
      <c r="D6" s="9">
        <v>0.18</v>
      </c>
      <c r="E6" s="8">
        <v>0</v>
      </c>
      <c r="F6" s="188">
        <v>0.05</v>
      </c>
      <c r="G6" s="188">
        <v>0.06</v>
      </c>
      <c r="H6" s="192">
        <v>0.02</v>
      </c>
      <c r="I6" s="184"/>
    </row>
    <row r="7" spans="2:9">
      <c r="B7" s="180" t="s">
        <v>3</v>
      </c>
      <c r="C7" s="121">
        <v>0.33</v>
      </c>
      <c r="D7" s="9">
        <v>0.16</v>
      </c>
      <c r="E7" s="8">
        <v>5.0000000000000001E-3</v>
      </c>
      <c r="F7" s="188">
        <v>0.06</v>
      </c>
      <c r="G7" s="188">
        <v>0.08</v>
      </c>
      <c r="H7" s="192">
        <v>2.5000000000000001E-2</v>
      </c>
      <c r="I7" s="184"/>
    </row>
    <row r="8" spans="2:9">
      <c r="B8" s="180" t="s">
        <v>4</v>
      </c>
      <c r="C8" s="121">
        <v>0.35</v>
      </c>
      <c r="D8" s="9">
        <v>0.15</v>
      </c>
      <c r="E8" s="8">
        <v>1.4999999999999999E-2</v>
      </c>
      <c r="F8" s="188">
        <v>0.06</v>
      </c>
      <c r="G8" s="188">
        <v>0.1</v>
      </c>
      <c r="H8" s="192">
        <v>2.5000000000000001E-2</v>
      </c>
      <c r="I8" s="184"/>
    </row>
    <row r="9" spans="2:9">
      <c r="B9" s="180" t="s">
        <v>5</v>
      </c>
      <c r="C9" s="121">
        <v>0.38</v>
      </c>
      <c r="D9" s="9">
        <v>0.15</v>
      </c>
      <c r="E9" s="8">
        <v>2.5000000000000001E-2</v>
      </c>
      <c r="F9" s="188">
        <v>0.06</v>
      </c>
      <c r="G9" s="188">
        <v>0.12</v>
      </c>
      <c r="H9" s="192">
        <v>2.5000000000000001E-2</v>
      </c>
      <c r="I9" s="184"/>
    </row>
    <row r="10" spans="2:9">
      <c r="B10" s="180" t="s">
        <v>6</v>
      </c>
      <c r="C10" s="121">
        <v>0.41</v>
      </c>
      <c r="D10" s="9">
        <v>0.15</v>
      </c>
      <c r="E10" s="8">
        <v>0.03</v>
      </c>
      <c r="F10" s="188">
        <v>0.06</v>
      </c>
      <c r="G10" s="188">
        <v>0.14000000000000001</v>
      </c>
      <c r="H10" s="192">
        <v>0.03</v>
      </c>
      <c r="I10" s="184"/>
    </row>
    <row r="11" spans="2:9">
      <c r="B11" s="180" t="s">
        <v>7</v>
      </c>
      <c r="C11" s="121">
        <v>0.43</v>
      </c>
      <c r="D11" s="9">
        <v>0.15</v>
      </c>
      <c r="E11" s="8">
        <v>0.04</v>
      </c>
      <c r="F11" s="188">
        <v>0.06</v>
      </c>
      <c r="G11" s="188">
        <v>0.15</v>
      </c>
      <c r="H11" s="192">
        <v>0.03</v>
      </c>
      <c r="I11" s="184"/>
    </row>
    <row r="12" spans="2:9">
      <c r="B12" s="180" t="s">
        <v>8</v>
      </c>
      <c r="C12" s="121">
        <v>0.45</v>
      </c>
      <c r="D12" s="9">
        <v>0.14000000000000001</v>
      </c>
      <c r="E12" s="8">
        <v>0.05</v>
      </c>
      <c r="F12" s="188">
        <v>0.06</v>
      </c>
      <c r="G12" s="188">
        <v>0.16</v>
      </c>
      <c r="H12" s="192">
        <v>0.04</v>
      </c>
      <c r="I12" s="184"/>
    </row>
    <row r="13" spans="2:9">
      <c r="B13" s="180" t="s">
        <v>9</v>
      </c>
      <c r="C13" s="121">
        <v>0.48</v>
      </c>
      <c r="D13" s="9">
        <v>0.11</v>
      </c>
      <c r="E13" s="8">
        <v>0.08</v>
      </c>
      <c r="F13" s="188">
        <v>0.08</v>
      </c>
      <c r="G13" s="188">
        <v>0.15</v>
      </c>
      <c r="H13" s="192">
        <v>0.06</v>
      </c>
      <c r="I13" s="184"/>
    </row>
    <row r="14" spans="2:9">
      <c r="B14" s="180" t="s">
        <v>117</v>
      </c>
      <c r="C14" s="121">
        <v>0.51</v>
      </c>
      <c r="D14" s="9">
        <v>0.1</v>
      </c>
      <c r="E14" s="8">
        <v>0.1</v>
      </c>
      <c r="F14" s="188">
        <v>0.06</v>
      </c>
      <c r="G14" s="188">
        <v>0.11</v>
      </c>
      <c r="H14" s="192">
        <v>0.13</v>
      </c>
      <c r="I14" s="184"/>
    </row>
    <row r="15" spans="2:9">
      <c r="B15" s="180" t="s">
        <v>118</v>
      </c>
      <c r="C15" s="121">
        <v>0.52</v>
      </c>
      <c r="D15" s="9">
        <v>0.08</v>
      </c>
      <c r="E15" s="8">
        <v>0.11</v>
      </c>
      <c r="F15" s="188">
        <v>0.06</v>
      </c>
      <c r="G15" s="188">
        <v>0.08</v>
      </c>
      <c r="H15" s="192">
        <v>0.19</v>
      </c>
      <c r="I15" s="184"/>
    </row>
    <row r="16" spans="2:9">
      <c r="B16" s="180" t="s">
        <v>119</v>
      </c>
      <c r="C16" s="121">
        <v>0.53</v>
      </c>
      <c r="D16" s="9">
        <v>0.08</v>
      </c>
      <c r="E16" s="8">
        <v>0.1</v>
      </c>
      <c r="F16" s="188">
        <v>0.04</v>
      </c>
      <c r="G16" s="188">
        <v>0.03</v>
      </c>
      <c r="H16" s="192">
        <v>0.28000000000000003</v>
      </c>
      <c r="I16" s="184"/>
    </row>
    <row r="17" spans="2:9">
      <c r="B17" s="39"/>
      <c r="C17" s="36"/>
      <c r="D17" s="36"/>
      <c r="E17" s="36"/>
      <c r="F17" s="44"/>
      <c r="G17" s="44"/>
      <c r="H17" s="44"/>
      <c r="I17" s="44"/>
    </row>
    <row r="18" spans="2:9">
      <c r="B18" s="24" t="s">
        <v>115</v>
      </c>
      <c r="C18" s="36"/>
      <c r="D18" s="36"/>
      <c r="E18" s="33"/>
    </row>
    <row r="19" spans="2:9">
      <c r="B19" s="1"/>
      <c r="C19" s="36"/>
      <c r="D19" s="36"/>
      <c r="E19" s="33"/>
    </row>
  </sheetData>
  <mergeCells count="1">
    <mergeCell ref="C2:H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4EF5F-D00F-4F11-96F3-1FA9FF4FEF1A}">
  <dimension ref="B1:P135"/>
  <sheetViews>
    <sheetView topLeftCell="A100" workbookViewId="0">
      <selection activeCell="P118" sqref="P118"/>
    </sheetView>
  </sheetViews>
  <sheetFormatPr baseColWidth="10" defaultRowHeight="14.4"/>
  <cols>
    <col min="1" max="1" width="5" customWidth="1"/>
    <col min="2" max="14" width="11.5546875" style="29"/>
  </cols>
  <sheetData>
    <row r="1" spans="2:16" s="86" customFormat="1">
      <c r="B1" s="29"/>
      <c r="C1" s="29"/>
      <c r="D1" s="29"/>
      <c r="E1" s="29"/>
      <c r="F1" s="29"/>
      <c r="G1" s="29"/>
      <c r="H1" s="29"/>
      <c r="I1" s="29"/>
      <c r="J1" s="29"/>
      <c r="K1" s="29"/>
      <c r="L1" s="29"/>
      <c r="M1" s="29"/>
      <c r="N1" s="29"/>
    </row>
    <row r="2" spans="2:16">
      <c r="B2" s="199" t="s">
        <v>103</v>
      </c>
      <c r="C2" s="199"/>
      <c r="D2" s="199"/>
      <c r="E2" s="199"/>
      <c r="F2" s="199"/>
      <c r="G2" s="199" t="s">
        <v>49</v>
      </c>
      <c r="H2" s="199"/>
      <c r="I2" s="199"/>
      <c r="J2" s="199"/>
      <c r="K2" s="199"/>
      <c r="L2" s="199"/>
      <c r="M2" s="199"/>
      <c r="N2" s="199"/>
    </row>
    <row r="3" spans="2:16">
      <c r="B3" s="39" t="s">
        <v>202</v>
      </c>
      <c r="C3" s="39" t="s">
        <v>203</v>
      </c>
      <c r="D3" s="39" t="s">
        <v>204</v>
      </c>
      <c r="E3" s="39" t="s">
        <v>205</v>
      </c>
      <c r="F3" s="39" t="s">
        <v>206</v>
      </c>
      <c r="G3" s="39" t="s">
        <v>207</v>
      </c>
      <c r="H3" s="39" t="s">
        <v>208</v>
      </c>
      <c r="I3" s="39" t="s">
        <v>209</v>
      </c>
      <c r="J3" s="39" t="s">
        <v>210</v>
      </c>
      <c r="K3" s="39" t="s">
        <v>211</v>
      </c>
      <c r="L3" s="39" t="s">
        <v>212</v>
      </c>
      <c r="M3" s="39" t="s">
        <v>213</v>
      </c>
      <c r="N3" s="39" t="s">
        <v>214</v>
      </c>
      <c r="O3" s="44"/>
      <c r="P3" s="44"/>
    </row>
    <row r="4" spans="2:16">
      <c r="B4" s="186">
        <v>0</v>
      </c>
      <c r="C4" s="186">
        <v>1631580</v>
      </c>
      <c r="D4" s="186">
        <v>7550</v>
      </c>
      <c r="E4" s="187">
        <v>7.2000001091510057E-4</v>
      </c>
      <c r="F4" s="186">
        <v>8046</v>
      </c>
      <c r="G4" s="186">
        <v>2462</v>
      </c>
      <c r="H4" s="188">
        <v>0.3059905469417572</v>
      </c>
      <c r="I4" s="188">
        <v>0.15274670720100403</v>
      </c>
      <c r="J4" s="188">
        <v>1.478995755314827E-2</v>
      </c>
      <c r="K4" s="188">
        <v>0.12938106060028076</v>
      </c>
      <c r="L4" s="188">
        <v>6.4628385007381439E-3</v>
      </c>
      <c r="M4" s="188">
        <v>2.6099926326423883E-3</v>
      </c>
      <c r="N4" s="188">
        <v>0</v>
      </c>
      <c r="O4" s="44"/>
      <c r="P4" s="44"/>
    </row>
    <row r="5" spans="2:16">
      <c r="B5" s="186">
        <v>1</v>
      </c>
      <c r="C5" s="186">
        <v>1634432</v>
      </c>
      <c r="D5" s="186">
        <v>8550</v>
      </c>
      <c r="E5" s="187">
        <v>8.0999999772757292E-4</v>
      </c>
      <c r="F5" s="186">
        <v>9031</v>
      </c>
      <c r="G5" s="186">
        <v>2565</v>
      </c>
      <c r="H5" s="188">
        <v>0.28402170538902283</v>
      </c>
      <c r="I5" s="188">
        <v>0.14317351579666138</v>
      </c>
      <c r="J5" s="188">
        <v>9.6334842965006828E-3</v>
      </c>
      <c r="K5" s="188">
        <v>0.12423873692750931</v>
      </c>
      <c r="L5" s="188">
        <v>5.3150258027017117E-3</v>
      </c>
      <c r="M5" s="188">
        <v>1.7716753063723445E-3</v>
      </c>
      <c r="N5" s="188">
        <v>0</v>
      </c>
      <c r="O5" s="44"/>
      <c r="P5" s="44"/>
    </row>
    <row r="6" spans="2:16">
      <c r="B6" s="186">
        <v>2</v>
      </c>
      <c r="C6" s="186">
        <v>1632170</v>
      </c>
      <c r="D6" s="186">
        <v>9550</v>
      </c>
      <c r="E6" s="187">
        <v>8.9000002481043339E-4</v>
      </c>
      <c r="F6" s="186">
        <v>9975</v>
      </c>
      <c r="G6" s="186">
        <v>2746</v>
      </c>
      <c r="H6" s="188">
        <v>0.27528822422027588</v>
      </c>
      <c r="I6" s="188">
        <v>0.14005012810230255</v>
      </c>
      <c r="J6" s="188">
        <v>8.120301179587841E-3</v>
      </c>
      <c r="K6" s="188">
        <v>0.11879698932170868</v>
      </c>
      <c r="L6" s="188">
        <v>6.5162908285856247E-3</v>
      </c>
      <c r="M6" s="188">
        <v>1.7042607069015503E-3</v>
      </c>
      <c r="N6" s="188">
        <v>0</v>
      </c>
      <c r="O6" s="44"/>
      <c r="P6" s="44"/>
    </row>
    <row r="7" spans="2:16">
      <c r="B7" s="186">
        <v>3</v>
      </c>
      <c r="C7" s="186">
        <v>1632079</v>
      </c>
      <c r="D7" s="186">
        <v>10400</v>
      </c>
      <c r="E7" s="187">
        <v>9.5999997574836016E-4</v>
      </c>
      <c r="F7" s="186">
        <v>10774</v>
      </c>
      <c r="G7" s="186">
        <v>2939</v>
      </c>
      <c r="H7" s="188">
        <v>0.27278634905815125</v>
      </c>
      <c r="I7" s="188">
        <v>0.13495452702045441</v>
      </c>
      <c r="J7" s="188">
        <v>8.817523717880249E-3</v>
      </c>
      <c r="K7" s="188">
        <v>0.12186745554208755</v>
      </c>
      <c r="L7" s="188">
        <v>5.5689625442028046E-3</v>
      </c>
      <c r="M7" s="188">
        <v>1.4850565930828452E-3</v>
      </c>
      <c r="N7" s="188">
        <v>0</v>
      </c>
      <c r="O7" s="44"/>
      <c r="P7" s="44"/>
    </row>
    <row r="8" spans="2:16">
      <c r="B8" s="186">
        <v>4</v>
      </c>
      <c r="C8" s="186">
        <v>1634874</v>
      </c>
      <c r="D8" s="186">
        <v>11200</v>
      </c>
      <c r="E8" s="187">
        <v>1.0400000028312206E-3</v>
      </c>
      <c r="F8" s="186">
        <v>11587</v>
      </c>
      <c r="G8" s="186">
        <v>2937</v>
      </c>
      <c r="H8" s="188">
        <v>0.25347372889518738</v>
      </c>
      <c r="I8" s="188">
        <v>0.13195823132991791</v>
      </c>
      <c r="J8" s="188">
        <v>1.0011219419538975E-2</v>
      </c>
      <c r="K8" s="188">
        <v>0.10451368242502213</v>
      </c>
      <c r="L8" s="188">
        <v>5.4371277801692486E-3</v>
      </c>
      <c r="M8" s="188">
        <v>1.5534651465713978E-3</v>
      </c>
      <c r="N8" s="188">
        <v>0</v>
      </c>
      <c r="O8" s="44"/>
      <c r="P8" s="44"/>
    </row>
    <row r="9" spans="2:16">
      <c r="B9" s="186">
        <v>5</v>
      </c>
      <c r="C9" s="186">
        <v>1632086</v>
      </c>
      <c r="D9" s="186">
        <v>11900</v>
      </c>
      <c r="E9" s="187">
        <v>1.0900000343099236E-3</v>
      </c>
      <c r="F9" s="186">
        <v>12239</v>
      </c>
      <c r="G9" s="186">
        <v>3255</v>
      </c>
      <c r="H9" s="188">
        <v>0.26595309376716614</v>
      </c>
      <c r="I9" s="188">
        <v>0.13285398483276367</v>
      </c>
      <c r="J9" s="188">
        <v>9.1510741040110588E-3</v>
      </c>
      <c r="K9" s="188">
        <v>0.12027126550674438</v>
      </c>
      <c r="L9" s="188">
        <v>2.0426504779607058E-3</v>
      </c>
      <c r="M9" s="188">
        <v>1.6341204755008221E-3</v>
      </c>
      <c r="N9" s="188">
        <v>0</v>
      </c>
      <c r="O9" s="44"/>
      <c r="P9" s="44"/>
    </row>
    <row r="10" spans="2:16">
      <c r="B10" s="186">
        <v>6</v>
      </c>
      <c r="C10" s="186">
        <v>1633527</v>
      </c>
      <c r="D10" s="186">
        <v>12600</v>
      </c>
      <c r="E10" s="187">
        <v>1.1599999852478504E-3</v>
      </c>
      <c r="F10" s="186">
        <v>12991</v>
      </c>
      <c r="G10" s="186">
        <v>3263</v>
      </c>
      <c r="H10" s="188">
        <v>0.25117388367652893</v>
      </c>
      <c r="I10" s="188">
        <v>0.12885844707489014</v>
      </c>
      <c r="J10" s="188">
        <v>9.237164631485939E-3</v>
      </c>
      <c r="K10" s="188">
        <v>0.10915248841047287</v>
      </c>
      <c r="L10" s="188">
        <v>2.6941727846860886E-3</v>
      </c>
      <c r="M10" s="188">
        <v>1.23162183444947E-3</v>
      </c>
      <c r="N10" s="188">
        <v>0</v>
      </c>
      <c r="O10" s="44"/>
      <c r="P10" s="44"/>
    </row>
    <row r="11" spans="2:16">
      <c r="B11" s="186">
        <v>7</v>
      </c>
      <c r="C11" s="186">
        <v>1632069</v>
      </c>
      <c r="D11" s="186">
        <v>13300</v>
      </c>
      <c r="E11" s="187">
        <v>1.230000052601099E-3</v>
      </c>
      <c r="F11" s="186">
        <v>13720</v>
      </c>
      <c r="G11" s="186">
        <v>3482</v>
      </c>
      <c r="H11" s="188">
        <v>0.25379008054733276</v>
      </c>
      <c r="I11" s="188">
        <v>0.12776967883110046</v>
      </c>
      <c r="J11" s="188">
        <v>7.7259475365281105E-3</v>
      </c>
      <c r="K11" s="188">
        <v>0.11144314706325531</v>
      </c>
      <c r="L11" s="188">
        <v>6.0495627112686634E-3</v>
      </c>
      <c r="M11" s="188">
        <v>8.0174929462373257E-4</v>
      </c>
      <c r="N11" s="188">
        <v>0</v>
      </c>
      <c r="O11" s="44"/>
      <c r="P11" s="44"/>
    </row>
    <row r="12" spans="2:16">
      <c r="B12" s="186">
        <v>8</v>
      </c>
      <c r="C12" s="186">
        <v>1633630</v>
      </c>
      <c r="D12" s="186">
        <v>14100</v>
      </c>
      <c r="E12" s="187">
        <v>1.2900000438094139E-3</v>
      </c>
      <c r="F12" s="186">
        <v>14459</v>
      </c>
      <c r="G12" s="186">
        <v>3659</v>
      </c>
      <c r="H12" s="188">
        <v>0.25306037068367004</v>
      </c>
      <c r="I12" s="188">
        <v>0.12684141099452972</v>
      </c>
      <c r="J12" s="188">
        <v>9.6133891493082047E-3</v>
      </c>
      <c r="K12" s="188">
        <v>0.10429490357637405</v>
      </c>
      <c r="L12" s="188">
        <v>1.0927449911832809E-2</v>
      </c>
      <c r="M12" s="188">
        <v>1.3832214754074812E-3</v>
      </c>
      <c r="N12" s="188">
        <v>0</v>
      </c>
      <c r="O12" s="44"/>
      <c r="P12" s="44"/>
    </row>
    <row r="13" spans="2:16">
      <c r="B13" s="186">
        <v>9</v>
      </c>
      <c r="C13" s="186">
        <v>1632694</v>
      </c>
      <c r="D13" s="186">
        <v>14800</v>
      </c>
      <c r="E13" s="187">
        <v>1.3599999947473407E-3</v>
      </c>
      <c r="F13" s="186">
        <v>15181</v>
      </c>
      <c r="G13" s="186">
        <v>3883</v>
      </c>
      <c r="H13" s="188">
        <v>0.25578024983406067</v>
      </c>
      <c r="I13" s="188">
        <v>0.12647388875484467</v>
      </c>
      <c r="J13" s="188">
        <v>1.0539489798247814E-2</v>
      </c>
      <c r="K13" s="188">
        <v>0.107700414955616</v>
      </c>
      <c r="L13" s="188">
        <v>9.551413357257843E-3</v>
      </c>
      <c r="M13" s="188">
        <v>1.5150516992434859E-3</v>
      </c>
      <c r="N13" s="188">
        <v>0</v>
      </c>
      <c r="O13" s="44"/>
      <c r="P13" s="44"/>
    </row>
    <row r="14" spans="2:16">
      <c r="B14" s="186">
        <v>10</v>
      </c>
      <c r="C14" s="186">
        <v>1630797</v>
      </c>
      <c r="D14" s="186">
        <v>15600</v>
      </c>
      <c r="E14" s="187">
        <v>1.4299999456852674E-3</v>
      </c>
      <c r="F14" s="186">
        <v>16011</v>
      </c>
      <c r="G14" s="186">
        <v>3531</v>
      </c>
      <c r="H14" s="188">
        <v>0.22053587436676025</v>
      </c>
      <c r="I14" s="188">
        <v>0.12141652405261993</v>
      </c>
      <c r="J14" s="188">
        <v>8.8689029216766357E-3</v>
      </c>
      <c r="K14" s="188">
        <v>8.2505777478218079E-2</v>
      </c>
      <c r="L14" s="188">
        <v>6.1207921244204044E-3</v>
      </c>
      <c r="M14" s="188">
        <v>1.5614265576004982E-3</v>
      </c>
      <c r="N14" s="188">
        <v>0</v>
      </c>
      <c r="O14" s="44"/>
      <c r="P14" s="44"/>
    </row>
    <row r="15" spans="2:16">
      <c r="B15" s="186">
        <v>11</v>
      </c>
      <c r="C15" s="186">
        <v>1634492</v>
      </c>
      <c r="D15" s="186">
        <v>16300</v>
      </c>
      <c r="E15" s="187">
        <v>1.500000013038516E-3</v>
      </c>
      <c r="F15" s="186">
        <v>16730</v>
      </c>
      <c r="G15" s="186">
        <v>4166</v>
      </c>
      <c r="H15" s="188">
        <v>0.249013751745224</v>
      </c>
      <c r="I15" s="188">
        <v>0.12229527533054352</v>
      </c>
      <c r="J15" s="188">
        <v>1.0400477796792984E-2</v>
      </c>
      <c r="K15" s="188">
        <v>0.10065750032663345</v>
      </c>
      <c r="L15" s="188">
        <v>1.4225941151380539E-2</v>
      </c>
      <c r="M15" s="188">
        <v>1.4345487579703331E-3</v>
      </c>
      <c r="N15" s="188">
        <v>0</v>
      </c>
      <c r="O15" s="44"/>
      <c r="P15" s="44"/>
    </row>
    <row r="16" spans="2:16">
      <c r="B16" s="186">
        <v>12</v>
      </c>
      <c r="C16" s="186">
        <v>1634519</v>
      </c>
      <c r="D16" s="186">
        <v>17200</v>
      </c>
      <c r="E16" s="187">
        <v>1.5699999639764428E-3</v>
      </c>
      <c r="F16" s="186">
        <v>17545</v>
      </c>
      <c r="G16" s="186">
        <v>3873</v>
      </c>
      <c r="H16" s="188">
        <v>0.22074665129184723</v>
      </c>
      <c r="I16" s="188">
        <v>0.11530350893735886</v>
      </c>
      <c r="J16" s="188">
        <v>8.6634373292326927E-3</v>
      </c>
      <c r="K16" s="188">
        <v>8.7204329669475555E-2</v>
      </c>
      <c r="L16" s="188">
        <v>7.9224854707717896E-3</v>
      </c>
      <c r="M16" s="188">
        <v>1.7098888056352735E-3</v>
      </c>
      <c r="N16" s="188">
        <v>0</v>
      </c>
      <c r="O16" s="44"/>
      <c r="P16" s="44"/>
    </row>
    <row r="17" spans="2:16">
      <c r="B17" s="186">
        <v>13</v>
      </c>
      <c r="C17" s="186">
        <v>1632826</v>
      </c>
      <c r="D17" s="186">
        <v>17900</v>
      </c>
      <c r="E17" s="187">
        <v>1.6299999551847577E-3</v>
      </c>
      <c r="F17" s="186">
        <v>18255</v>
      </c>
      <c r="G17" s="186">
        <v>4447</v>
      </c>
      <c r="H17" s="188">
        <v>0.24360449612140656</v>
      </c>
      <c r="I17" s="188">
        <v>0.11772117018699646</v>
      </c>
      <c r="J17" s="188">
        <v>1.0188989341259003E-2</v>
      </c>
      <c r="K17" s="188">
        <v>0.1048479899764061</v>
      </c>
      <c r="L17" s="188">
        <v>9.6411937847733498E-3</v>
      </c>
      <c r="M17" s="188">
        <v>1.2051492230966687E-3</v>
      </c>
      <c r="N17" s="188">
        <v>0</v>
      </c>
      <c r="O17" s="44"/>
      <c r="P17" s="44"/>
    </row>
    <row r="18" spans="2:16">
      <c r="B18" s="186">
        <v>14</v>
      </c>
      <c r="C18" s="186">
        <v>1633813</v>
      </c>
      <c r="D18" s="186">
        <v>18600</v>
      </c>
      <c r="E18" s="187">
        <v>1.7000000225380063E-3</v>
      </c>
      <c r="F18" s="186">
        <v>18956</v>
      </c>
      <c r="G18" s="186">
        <v>4504</v>
      </c>
      <c r="H18" s="188">
        <v>0.23760287463665009</v>
      </c>
      <c r="I18" s="188">
        <v>0.11415910720825195</v>
      </c>
      <c r="J18" s="188">
        <v>9.2846592888236046E-3</v>
      </c>
      <c r="K18" s="188">
        <v>0.10461067408323288</v>
      </c>
      <c r="L18" s="188">
        <v>7.860308513045311E-3</v>
      </c>
      <c r="M18" s="188">
        <v>1.7408735584467649E-3</v>
      </c>
      <c r="N18" s="188">
        <v>0</v>
      </c>
      <c r="O18" s="44"/>
      <c r="P18" s="44"/>
    </row>
    <row r="19" spans="2:16">
      <c r="B19" s="186">
        <v>15</v>
      </c>
      <c r="C19" s="186">
        <v>1633088</v>
      </c>
      <c r="D19" s="186">
        <v>19300</v>
      </c>
      <c r="E19" s="187">
        <v>1.7500000540167093E-3</v>
      </c>
      <c r="F19" s="186">
        <v>19585</v>
      </c>
      <c r="G19" s="186">
        <v>4483</v>
      </c>
      <c r="H19" s="188">
        <v>0.22889967262744904</v>
      </c>
      <c r="I19" s="188">
        <v>0.10998212546110153</v>
      </c>
      <c r="J19" s="188">
        <v>9.3949446454644203E-3</v>
      </c>
      <c r="K19" s="188">
        <v>9.885115921497345E-2</v>
      </c>
      <c r="L19" s="188">
        <v>8.8843498378992081E-3</v>
      </c>
      <c r="M19" s="188">
        <v>1.7360224155709147E-3</v>
      </c>
      <c r="N19" s="188">
        <v>0</v>
      </c>
      <c r="O19" s="44"/>
      <c r="P19" s="44"/>
    </row>
    <row r="20" spans="2:16">
      <c r="B20" s="186">
        <v>16</v>
      </c>
      <c r="C20" s="186">
        <v>1632915</v>
      </c>
      <c r="D20" s="186">
        <v>19900</v>
      </c>
      <c r="E20" s="187">
        <v>1.8200000049546361E-3</v>
      </c>
      <c r="F20" s="186">
        <v>20298</v>
      </c>
      <c r="G20" s="186">
        <v>4969</v>
      </c>
      <c r="H20" s="188">
        <v>0.24480244517326355</v>
      </c>
      <c r="I20" s="188">
        <v>0.11153808236122131</v>
      </c>
      <c r="J20" s="188">
        <v>1.0493644513189793E-2</v>
      </c>
      <c r="K20" s="188">
        <v>0.1082865297794342</v>
      </c>
      <c r="L20" s="188">
        <v>1.2513548135757446E-2</v>
      </c>
      <c r="M20" s="188">
        <v>1.9706375896930695E-3</v>
      </c>
      <c r="N20" s="188">
        <v>0</v>
      </c>
      <c r="O20" s="44"/>
      <c r="P20" s="44"/>
    </row>
    <row r="21" spans="2:16">
      <c r="B21" s="186">
        <v>17</v>
      </c>
      <c r="C21" s="186">
        <v>1632807</v>
      </c>
      <c r="D21" s="186">
        <v>20700</v>
      </c>
      <c r="E21" s="187">
        <v>1.879999996162951E-3</v>
      </c>
      <c r="F21" s="186">
        <v>20969</v>
      </c>
      <c r="G21" s="186">
        <v>5063</v>
      </c>
      <c r="H21" s="188">
        <v>0.24145166575908661</v>
      </c>
      <c r="I21" s="188">
        <v>0.10897038131952286</v>
      </c>
      <c r="J21" s="188">
        <v>1.1302398517727852E-2</v>
      </c>
      <c r="K21" s="188">
        <v>0.10620439797639847</v>
      </c>
      <c r="L21" s="188">
        <v>1.3162286952137947E-2</v>
      </c>
      <c r="M21" s="188">
        <v>1.7645094776526093E-3</v>
      </c>
      <c r="N21" s="188">
        <v>0</v>
      </c>
      <c r="O21" s="44"/>
      <c r="P21" s="44"/>
    </row>
    <row r="22" spans="2:16">
      <c r="B22" s="186">
        <v>18</v>
      </c>
      <c r="C22" s="186">
        <v>1633032</v>
      </c>
      <c r="D22" s="186">
        <v>21300</v>
      </c>
      <c r="E22" s="187">
        <v>1.9399999873712659E-3</v>
      </c>
      <c r="F22" s="186">
        <v>21674</v>
      </c>
      <c r="G22" s="186">
        <v>5532</v>
      </c>
      <c r="H22" s="188">
        <v>0.25523668527603149</v>
      </c>
      <c r="I22" s="188">
        <v>0.11040878295898438</v>
      </c>
      <c r="J22" s="188">
        <v>1.0473378002643585E-2</v>
      </c>
      <c r="K22" s="188">
        <v>0.11977484822273254</v>
      </c>
      <c r="L22" s="188">
        <v>1.2918704189360142E-2</v>
      </c>
      <c r="M22" s="188">
        <v>1.6148380236700177E-3</v>
      </c>
      <c r="N22" s="188">
        <v>0</v>
      </c>
      <c r="O22" s="44"/>
      <c r="P22" s="44"/>
    </row>
    <row r="23" spans="2:16">
      <c r="B23" s="186">
        <v>19</v>
      </c>
      <c r="C23" s="186">
        <v>1632729</v>
      </c>
      <c r="D23" s="186">
        <v>22100</v>
      </c>
      <c r="E23" s="187">
        <v>2.0000000949949026E-3</v>
      </c>
      <c r="F23" s="186">
        <v>22392</v>
      </c>
      <c r="G23" s="186">
        <v>5449</v>
      </c>
      <c r="H23" s="188">
        <v>0.24334584176540375</v>
      </c>
      <c r="I23" s="188">
        <v>0.10700250416994095</v>
      </c>
      <c r="J23" s="188">
        <v>9.9589135497808456E-3</v>
      </c>
      <c r="K23" s="188">
        <v>0.10892283171415329</v>
      </c>
      <c r="L23" s="188">
        <v>1.5764558687806129E-2</v>
      </c>
      <c r="M23" s="188">
        <v>1.6970346914604306E-3</v>
      </c>
      <c r="N23" s="188">
        <v>0</v>
      </c>
      <c r="O23" s="44"/>
      <c r="P23" s="44"/>
    </row>
    <row r="24" spans="2:16">
      <c r="B24" s="186">
        <v>20</v>
      </c>
      <c r="C24" s="186">
        <v>1633097</v>
      </c>
      <c r="D24" s="186">
        <v>22700</v>
      </c>
      <c r="E24" s="187">
        <v>2.0699999295175076E-3</v>
      </c>
      <c r="F24" s="186">
        <v>23118</v>
      </c>
      <c r="G24" s="186">
        <v>5703</v>
      </c>
      <c r="H24" s="188">
        <v>0.24669088423252106</v>
      </c>
      <c r="I24" s="188">
        <v>0.10675664246082306</v>
      </c>
      <c r="J24" s="188">
        <v>1.0597802698612213E-2</v>
      </c>
      <c r="K24" s="188">
        <v>0.1118176281452179</v>
      </c>
      <c r="L24" s="188">
        <v>1.5182974748313427E-2</v>
      </c>
      <c r="M24" s="188">
        <v>2.3358422331511974E-3</v>
      </c>
      <c r="N24" s="188">
        <v>0</v>
      </c>
      <c r="O24" s="44"/>
      <c r="P24" s="44"/>
    </row>
    <row r="25" spans="2:16">
      <c r="B25" s="186">
        <v>21</v>
      </c>
      <c r="C25" s="186">
        <v>1632777</v>
      </c>
      <c r="D25" s="186">
        <v>23500</v>
      </c>
      <c r="E25" s="187">
        <v>2.1399999968707561E-3</v>
      </c>
      <c r="F25" s="186">
        <v>23889</v>
      </c>
      <c r="G25" s="186">
        <v>6161</v>
      </c>
      <c r="H25" s="188">
        <v>0.25790113210678101</v>
      </c>
      <c r="I25" s="188">
        <v>0.10640880465507507</v>
      </c>
      <c r="J25" s="188">
        <v>1.234877947717905E-2</v>
      </c>
      <c r="K25" s="188">
        <v>0.11369249224662781</v>
      </c>
      <c r="L25" s="188">
        <v>2.3441750556230545E-2</v>
      </c>
      <c r="M25" s="188">
        <v>2.0511532202363014E-3</v>
      </c>
      <c r="N25" s="188">
        <v>0</v>
      </c>
      <c r="O25" s="44"/>
      <c r="P25" s="44"/>
    </row>
    <row r="26" spans="2:16">
      <c r="B26" s="186">
        <v>22</v>
      </c>
      <c r="C26" s="186">
        <v>1633650</v>
      </c>
      <c r="D26" s="186">
        <v>24300</v>
      </c>
      <c r="E26" s="187">
        <v>2.2100000642240047E-3</v>
      </c>
      <c r="F26" s="186">
        <v>24735</v>
      </c>
      <c r="G26" s="186">
        <v>6284</v>
      </c>
      <c r="H26" s="188">
        <v>0.25405296683311462</v>
      </c>
      <c r="I26" s="188">
        <v>0.10491206496953964</v>
      </c>
      <c r="J26" s="188">
        <v>1.2047705240547657E-2</v>
      </c>
      <c r="K26" s="188">
        <v>0.11477663367986679</v>
      </c>
      <c r="L26" s="188">
        <v>2.0214270800352097E-2</v>
      </c>
      <c r="M26" s="188">
        <v>2.0618557464331388E-3</v>
      </c>
      <c r="N26" s="188">
        <v>0</v>
      </c>
      <c r="O26" s="44"/>
      <c r="P26" s="44"/>
    </row>
    <row r="27" spans="2:16">
      <c r="B27" s="186">
        <v>23</v>
      </c>
      <c r="C27" s="186">
        <v>1632201</v>
      </c>
      <c r="D27" s="186">
        <v>25100</v>
      </c>
      <c r="E27" s="187">
        <v>2.2799998987466097E-3</v>
      </c>
      <c r="F27" s="186">
        <v>25518</v>
      </c>
      <c r="G27" s="186">
        <v>6199</v>
      </c>
      <c r="H27" s="188">
        <v>0.24292656779289246</v>
      </c>
      <c r="I27" s="188">
        <v>0.10404420644044876</v>
      </c>
      <c r="J27" s="188">
        <v>1.1834783479571342E-2</v>
      </c>
      <c r="K27" s="188">
        <v>0.10764950513839722</v>
      </c>
      <c r="L27" s="188">
        <v>1.7438670620322227E-2</v>
      </c>
      <c r="M27" s="188">
        <v>1.9594011828303337E-3</v>
      </c>
      <c r="N27" s="188">
        <v>0</v>
      </c>
      <c r="O27" s="44"/>
      <c r="P27" s="44"/>
    </row>
    <row r="28" spans="2:16">
      <c r="B28" s="186">
        <v>24</v>
      </c>
      <c r="C28" s="186">
        <v>1632908</v>
      </c>
      <c r="D28" s="186">
        <v>25900</v>
      </c>
      <c r="E28" s="187">
        <v>2.360000042244792E-3</v>
      </c>
      <c r="F28" s="186">
        <v>26376</v>
      </c>
      <c r="G28" s="186">
        <v>6662</v>
      </c>
      <c r="H28" s="188">
        <v>0.25257810950279236</v>
      </c>
      <c r="I28" s="188">
        <v>0.10395814478397369</v>
      </c>
      <c r="J28" s="188">
        <v>1.0919017717242241E-2</v>
      </c>
      <c r="K28" s="188">
        <v>0.11593873053789139</v>
      </c>
      <c r="L28" s="188">
        <v>1.9487412646412849E-2</v>
      </c>
      <c r="M28" s="188">
        <v>2.2368819918483496E-3</v>
      </c>
      <c r="N28" s="188">
        <v>0</v>
      </c>
      <c r="O28" s="44"/>
      <c r="P28" s="44"/>
    </row>
    <row r="29" spans="2:16">
      <c r="B29" s="186">
        <v>25</v>
      </c>
      <c r="C29" s="186">
        <v>1633824</v>
      </c>
      <c r="D29" s="186">
        <v>26800</v>
      </c>
      <c r="E29" s="187">
        <v>2.4399999529123306E-3</v>
      </c>
      <c r="F29" s="186">
        <v>27234</v>
      </c>
      <c r="G29" s="186">
        <v>6794</v>
      </c>
      <c r="H29" s="188">
        <v>0.24946758151054382</v>
      </c>
      <c r="I29" s="188">
        <v>0.10141734778881073</v>
      </c>
      <c r="J29" s="188">
        <v>1.1566424742341042E-2</v>
      </c>
      <c r="K29" s="188">
        <v>0.11393845826387405</v>
      </c>
      <c r="L29" s="188">
        <v>2.0195344462990761E-2</v>
      </c>
      <c r="M29" s="188">
        <v>2.3132849019020796E-3</v>
      </c>
      <c r="N29" s="188">
        <v>0</v>
      </c>
      <c r="O29" s="44"/>
      <c r="P29" s="44"/>
    </row>
    <row r="30" spans="2:16">
      <c r="B30" s="186">
        <v>26</v>
      </c>
      <c r="C30" s="186">
        <v>1632757</v>
      </c>
      <c r="D30" s="186">
        <v>27700</v>
      </c>
      <c r="E30" s="187">
        <v>2.5100000202655792E-3</v>
      </c>
      <c r="F30" s="186">
        <v>28107</v>
      </c>
      <c r="G30" s="186">
        <v>7123</v>
      </c>
      <c r="H30" s="188">
        <v>0.25342440605163574</v>
      </c>
      <c r="I30" s="188">
        <v>0.10210979729890823</v>
      </c>
      <c r="J30" s="188">
        <v>1.1242751032114029E-2</v>
      </c>
      <c r="K30" s="188">
        <v>0.11740847676992416</v>
      </c>
      <c r="L30" s="188">
        <v>2.0457537844777107E-2</v>
      </c>
      <c r="M30" s="188">
        <v>2.2058561444282532E-3</v>
      </c>
      <c r="N30" s="188">
        <v>0</v>
      </c>
      <c r="O30" s="44"/>
      <c r="P30" s="44"/>
    </row>
    <row r="31" spans="2:16">
      <c r="B31" s="186">
        <v>27</v>
      </c>
      <c r="C31" s="186">
        <v>1632452</v>
      </c>
      <c r="D31" s="186">
        <v>28500</v>
      </c>
      <c r="E31" s="187">
        <v>2.5899999309331179E-3</v>
      </c>
      <c r="F31" s="186">
        <v>28928</v>
      </c>
      <c r="G31" s="186">
        <v>7493</v>
      </c>
      <c r="H31" s="188">
        <v>0.25902241468429565</v>
      </c>
      <c r="I31" s="188">
        <v>0.10142422467470169</v>
      </c>
      <c r="J31" s="188">
        <v>1.0232300497591496E-2</v>
      </c>
      <c r="K31" s="188">
        <v>0.12047151476144791</v>
      </c>
      <c r="L31" s="188">
        <v>2.4820243939757347E-2</v>
      </c>
      <c r="M31" s="188">
        <v>2.074114978313446E-3</v>
      </c>
      <c r="N31" s="188">
        <v>0</v>
      </c>
      <c r="O31" s="44"/>
      <c r="P31" s="44"/>
    </row>
    <row r="32" spans="2:16">
      <c r="B32" s="186">
        <v>28</v>
      </c>
      <c r="C32" s="186">
        <v>1634258</v>
      </c>
      <c r="D32" s="186">
        <v>29400</v>
      </c>
      <c r="E32" s="187">
        <v>2.6700000744313002E-3</v>
      </c>
      <c r="F32" s="186">
        <v>29834</v>
      </c>
      <c r="G32" s="186">
        <v>7782</v>
      </c>
      <c r="H32" s="188">
        <v>0.26084333658218384</v>
      </c>
      <c r="I32" s="188">
        <v>0.10058993101119995</v>
      </c>
      <c r="J32" s="188">
        <v>1.1563987471163273E-2</v>
      </c>
      <c r="K32" s="188">
        <v>0.12086880952119827</v>
      </c>
      <c r="L32" s="188">
        <v>2.5507809594273567E-2</v>
      </c>
      <c r="M32" s="188">
        <v>2.27927858941257E-3</v>
      </c>
      <c r="N32" s="188">
        <v>0</v>
      </c>
      <c r="O32" s="44"/>
      <c r="P32" s="44"/>
    </row>
    <row r="33" spans="2:16">
      <c r="B33" s="186">
        <v>29</v>
      </c>
      <c r="C33" s="186">
        <v>1631804</v>
      </c>
      <c r="D33" s="186">
        <v>30300</v>
      </c>
      <c r="E33" s="187">
        <v>2.7499999850988388E-3</v>
      </c>
      <c r="F33" s="186">
        <v>30826</v>
      </c>
      <c r="G33" s="186">
        <v>8083</v>
      </c>
      <c r="H33" s="188">
        <v>0.26221370697021484</v>
      </c>
      <c r="I33" s="188">
        <v>9.8812691867351532E-2</v>
      </c>
      <c r="J33" s="188">
        <v>1.2846298515796661E-2</v>
      </c>
      <c r="K33" s="188">
        <v>0.11782261729240417</v>
      </c>
      <c r="L33" s="188">
        <v>2.9261013492941856E-2</v>
      </c>
      <c r="M33" s="188">
        <v>3.4710958134382963E-3</v>
      </c>
      <c r="N33" s="188">
        <v>0</v>
      </c>
      <c r="O33" s="44"/>
      <c r="P33" s="44"/>
    </row>
    <row r="34" spans="2:16">
      <c r="B34" s="186">
        <v>30</v>
      </c>
      <c r="C34" s="186">
        <v>1633300</v>
      </c>
      <c r="D34" s="186">
        <v>31400</v>
      </c>
      <c r="E34" s="187">
        <v>2.8599998913705349E-3</v>
      </c>
      <c r="F34" s="186">
        <v>31935</v>
      </c>
      <c r="G34" s="186">
        <v>8203</v>
      </c>
      <c r="H34" s="188">
        <v>0.25686550140380859</v>
      </c>
      <c r="I34" s="188">
        <v>9.7103491425514221E-2</v>
      </c>
      <c r="J34" s="188">
        <v>1.2306246906518936E-2</v>
      </c>
      <c r="K34" s="188">
        <v>0.11398152261972427</v>
      </c>
      <c r="L34" s="188">
        <v>3.0155003070831299E-2</v>
      </c>
      <c r="M34" s="188">
        <v>3.3505558967590332E-3</v>
      </c>
      <c r="N34" s="188">
        <v>0</v>
      </c>
      <c r="O34" s="44"/>
      <c r="P34" s="44"/>
    </row>
    <row r="35" spans="2:16">
      <c r="B35" s="186">
        <v>31</v>
      </c>
      <c r="C35" s="186">
        <v>1633408</v>
      </c>
      <c r="D35" s="186">
        <v>32500</v>
      </c>
      <c r="E35" s="187">
        <v>2.9599999543279409E-3</v>
      </c>
      <c r="F35" s="186">
        <v>33055</v>
      </c>
      <c r="G35" s="186">
        <v>8484</v>
      </c>
      <c r="H35" s="188">
        <v>0.25666314363479614</v>
      </c>
      <c r="I35" s="188">
        <v>9.5356225967407227E-2</v>
      </c>
      <c r="J35" s="188">
        <v>1.337165292352438E-2</v>
      </c>
      <c r="K35" s="188">
        <v>0.11499016731977463</v>
      </c>
      <c r="L35" s="188">
        <v>2.925427258014679E-2</v>
      </c>
      <c r="M35" s="188">
        <v>3.7210709415376186E-3</v>
      </c>
      <c r="N35" s="188">
        <v>0</v>
      </c>
      <c r="O35" s="44"/>
      <c r="P35" s="44"/>
    </row>
    <row r="36" spans="2:16">
      <c r="B36" s="186">
        <v>32</v>
      </c>
      <c r="C36" s="186">
        <v>1633099</v>
      </c>
      <c r="D36" s="186">
        <v>33600</v>
      </c>
      <c r="E36" s="187">
        <v>3.0499999411404133E-3</v>
      </c>
      <c r="F36" s="186">
        <v>34127</v>
      </c>
      <c r="G36" s="186">
        <v>8917</v>
      </c>
      <c r="H36" s="188">
        <v>0.26128870248794556</v>
      </c>
      <c r="I36" s="188">
        <v>9.467577189207077E-2</v>
      </c>
      <c r="J36" s="188">
        <v>1.1076274327933788E-2</v>
      </c>
      <c r="K36" s="188">
        <v>0.11931901425123215</v>
      </c>
      <c r="L36" s="188">
        <v>3.322882205247879E-2</v>
      </c>
      <c r="M36" s="188">
        <v>2.988835796713829E-3</v>
      </c>
      <c r="N36" s="188">
        <v>0</v>
      </c>
      <c r="O36" s="44"/>
      <c r="P36" s="44"/>
    </row>
    <row r="37" spans="2:16">
      <c r="B37" s="186">
        <v>33</v>
      </c>
      <c r="C37" s="186">
        <v>1632353</v>
      </c>
      <c r="D37" s="186">
        <v>34600</v>
      </c>
      <c r="E37" s="187">
        <v>3.1399999279528856E-3</v>
      </c>
      <c r="F37" s="186">
        <v>35165</v>
      </c>
      <c r="G37" s="186">
        <v>9073</v>
      </c>
      <c r="H37" s="188">
        <v>0.25801223516464233</v>
      </c>
      <c r="I37" s="188">
        <v>9.2193946242332458E-2</v>
      </c>
      <c r="J37" s="188">
        <v>1.3394000008702278E-2</v>
      </c>
      <c r="K37" s="188">
        <v>0.11514289677143097</v>
      </c>
      <c r="L37" s="188">
        <v>3.3271718770265579E-2</v>
      </c>
      <c r="M37" s="188">
        <v>4.0096687152981758E-3</v>
      </c>
      <c r="N37" s="188">
        <v>0</v>
      </c>
      <c r="O37" s="44"/>
      <c r="P37" s="44"/>
    </row>
    <row r="38" spans="2:16">
      <c r="B38" s="186">
        <v>34</v>
      </c>
      <c r="C38" s="186">
        <v>1634162</v>
      </c>
      <c r="D38" s="186">
        <v>35700</v>
      </c>
      <c r="E38" s="187">
        <v>3.2399999909102917E-3</v>
      </c>
      <c r="F38" s="186">
        <v>36255</v>
      </c>
      <c r="G38" s="186">
        <v>9475</v>
      </c>
      <c r="H38" s="188">
        <v>0.26134327054023743</v>
      </c>
      <c r="I38" s="188">
        <v>9.0718522667884827E-2</v>
      </c>
      <c r="J38" s="188">
        <v>1.4535926282405853E-2</v>
      </c>
      <c r="K38" s="188">
        <v>0.11490828543901443</v>
      </c>
      <c r="L38" s="188">
        <v>3.6519099026918411E-2</v>
      </c>
      <c r="M38" s="188">
        <v>4.6338434331119061E-3</v>
      </c>
      <c r="N38" s="188">
        <v>0</v>
      </c>
      <c r="O38" s="44"/>
      <c r="P38" s="44"/>
    </row>
    <row r="39" spans="2:16">
      <c r="B39" s="186">
        <v>35</v>
      </c>
      <c r="C39" s="186">
        <v>1631899</v>
      </c>
      <c r="D39" s="186">
        <v>36800</v>
      </c>
      <c r="E39" s="187">
        <v>3.3400000538676977E-3</v>
      </c>
      <c r="F39" s="186">
        <v>37335</v>
      </c>
      <c r="G39" s="186">
        <v>9444</v>
      </c>
      <c r="H39" s="188">
        <v>0.25295299291610718</v>
      </c>
      <c r="I39" s="188">
        <v>8.8629968464374542E-2</v>
      </c>
      <c r="J39" s="188">
        <v>1.4035088010132313E-2</v>
      </c>
      <c r="K39" s="188">
        <v>0.11222713440656662</v>
      </c>
      <c r="L39" s="188">
        <v>3.3373508602380753E-2</v>
      </c>
      <c r="M39" s="188">
        <v>4.6337218955159187E-3</v>
      </c>
      <c r="N39" s="188">
        <v>0</v>
      </c>
      <c r="O39" s="44"/>
      <c r="P39" s="44"/>
    </row>
    <row r="40" spans="2:16">
      <c r="B40" s="186">
        <v>36</v>
      </c>
      <c r="C40" s="186">
        <v>1633251</v>
      </c>
      <c r="D40" s="186">
        <v>37900</v>
      </c>
      <c r="E40" s="187">
        <v>3.4399998839944601E-3</v>
      </c>
      <c r="F40" s="186">
        <v>38431</v>
      </c>
      <c r="G40" s="186">
        <v>9954</v>
      </c>
      <c r="H40" s="188">
        <v>0.25900965929031372</v>
      </c>
      <c r="I40" s="188">
        <v>8.6128383874893188E-2</v>
      </c>
      <c r="J40" s="188">
        <v>1.3556764461100101E-2</v>
      </c>
      <c r="K40" s="188">
        <v>0.11899247765541077</v>
      </c>
      <c r="L40" s="188">
        <v>3.5726368427276611E-2</v>
      </c>
      <c r="M40" s="188">
        <v>4.6056569553911686E-3</v>
      </c>
      <c r="N40" s="188">
        <v>0</v>
      </c>
      <c r="O40" s="44"/>
      <c r="P40" s="44"/>
    </row>
    <row r="41" spans="2:16">
      <c r="B41" s="186">
        <v>37</v>
      </c>
      <c r="C41" s="186">
        <v>1633100</v>
      </c>
      <c r="D41" s="186">
        <v>38900</v>
      </c>
      <c r="E41" s="187">
        <v>3.5300001036375761E-3</v>
      </c>
      <c r="F41" s="186">
        <v>39488</v>
      </c>
      <c r="G41" s="186">
        <v>10283</v>
      </c>
      <c r="H41" s="188">
        <v>0.26040822267532349</v>
      </c>
      <c r="I41" s="188">
        <v>8.4430709481239319E-2</v>
      </c>
      <c r="J41" s="188">
        <v>1.4688006602227688E-2</v>
      </c>
      <c r="K41" s="188">
        <v>0.1192767396569252</v>
      </c>
      <c r="L41" s="188">
        <v>3.7277147173881531E-2</v>
      </c>
      <c r="M41" s="188">
        <v>4.7609400935471058E-3</v>
      </c>
      <c r="N41" s="188">
        <v>0</v>
      </c>
      <c r="O41" s="44"/>
      <c r="P41" s="44"/>
    </row>
    <row r="42" spans="2:16">
      <c r="B42" s="186">
        <v>38</v>
      </c>
      <c r="C42" s="186">
        <v>1632827</v>
      </c>
      <c r="D42" s="186">
        <v>40000</v>
      </c>
      <c r="E42" s="187">
        <v>3.6299999337643385E-3</v>
      </c>
      <c r="F42" s="186">
        <v>40594</v>
      </c>
      <c r="G42" s="186">
        <v>10587</v>
      </c>
      <c r="H42" s="188">
        <v>0.26080209016799927</v>
      </c>
      <c r="I42" s="188">
        <v>8.3756223320960999E-2</v>
      </c>
      <c r="J42" s="188">
        <v>1.4460264705121517E-2</v>
      </c>
      <c r="K42" s="188">
        <v>0.1184411495923996</v>
      </c>
      <c r="L42" s="188">
        <v>3.9266888052225113E-2</v>
      </c>
      <c r="M42" s="188">
        <v>4.902202170342207E-3</v>
      </c>
      <c r="N42" s="188">
        <v>0</v>
      </c>
      <c r="O42" s="44"/>
      <c r="P42" s="44"/>
    </row>
    <row r="43" spans="2:16">
      <c r="B43" s="186">
        <v>39</v>
      </c>
      <c r="C43" s="186">
        <v>1633694</v>
      </c>
      <c r="D43" s="186">
        <v>41200</v>
      </c>
      <c r="E43" s="187">
        <v>3.7299999967217445E-3</v>
      </c>
      <c r="F43" s="186">
        <v>41718</v>
      </c>
      <c r="G43" s="186">
        <v>10824</v>
      </c>
      <c r="H43" s="188">
        <v>0.2594563364982605</v>
      </c>
      <c r="I43" s="188">
        <v>8.2650177180767059E-2</v>
      </c>
      <c r="J43" s="188">
        <v>1.5772568061947823E-2</v>
      </c>
      <c r="K43" s="188">
        <v>0.11467471718788147</v>
      </c>
      <c r="L43" s="188">
        <v>4.0821708738803864E-2</v>
      </c>
      <c r="M43" s="188">
        <v>5.5371783673763275E-3</v>
      </c>
      <c r="N43" s="188">
        <v>0</v>
      </c>
      <c r="O43" s="44"/>
      <c r="P43" s="44"/>
    </row>
    <row r="44" spans="2:16">
      <c r="B44" s="186">
        <v>40</v>
      </c>
      <c r="C44" s="186">
        <v>1632302</v>
      </c>
      <c r="D44" s="186">
        <v>42300</v>
      </c>
      <c r="E44" s="187">
        <v>3.8300000596791506E-3</v>
      </c>
      <c r="F44" s="186">
        <v>42824</v>
      </c>
      <c r="G44" s="186">
        <v>11017</v>
      </c>
      <c r="H44" s="188">
        <v>0.25726228952407837</v>
      </c>
      <c r="I44" s="188">
        <v>8.1869982182979584E-2</v>
      </c>
      <c r="J44" s="188">
        <v>1.5692135319113731E-2</v>
      </c>
      <c r="K44" s="188">
        <v>0.11302073299884796</v>
      </c>
      <c r="L44" s="188">
        <v>4.0794882923364639E-2</v>
      </c>
      <c r="M44" s="188">
        <v>5.8845505118370056E-3</v>
      </c>
      <c r="N44" s="188">
        <v>0</v>
      </c>
      <c r="O44" s="44"/>
      <c r="P44" s="44"/>
    </row>
    <row r="45" spans="2:16">
      <c r="B45" s="186">
        <v>41</v>
      </c>
      <c r="C45" s="186">
        <v>1633331</v>
      </c>
      <c r="D45" s="186">
        <v>43400</v>
      </c>
      <c r="E45" s="187">
        <v>3.9300001226365566E-3</v>
      </c>
      <c r="F45" s="186">
        <v>43975</v>
      </c>
      <c r="G45" s="186">
        <v>11558</v>
      </c>
      <c r="H45" s="188">
        <v>0.26283115148544312</v>
      </c>
      <c r="I45" s="188">
        <v>8.1023305654525757E-2</v>
      </c>
      <c r="J45" s="188">
        <v>1.6236497089266777E-2</v>
      </c>
      <c r="K45" s="188">
        <v>0.11522456258535385</v>
      </c>
      <c r="L45" s="188">
        <v>4.4366117566823959E-2</v>
      </c>
      <c r="M45" s="188">
        <v>6.0034110210835934E-3</v>
      </c>
      <c r="N45" s="188">
        <v>0</v>
      </c>
      <c r="O45" s="44"/>
      <c r="P45" s="44"/>
    </row>
    <row r="46" spans="2:16">
      <c r="B46" s="186">
        <v>42</v>
      </c>
      <c r="C46" s="186">
        <v>1632950</v>
      </c>
      <c r="D46" s="186">
        <v>44600</v>
      </c>
      <c r="E46" s="187">
        <v>4.029999952763319E-3</v>
      </c>
      <c r="F46" s="186">
        <v>45114</v>
      </c>
      <c r="G46" s="186">
        <v>11909</v>
      </c>
      <c r="H46" s="188">
        <v>0.26397570967674255</v>
      </c>
      <c r="I46" s="188">
        <v>8.039633184671402E-2</v>
      </c>
      <c r="J46" s="188">
        <v>1.7223034054040909E-2</v>
      </c>
      <c r="K46" s="188">
        <v>0.11490889638662338</v>
      </c>
      <c r="L46" s="188">
        <v>4.4864121824502945E-2</v>
      </c>
      <c r="M46" s="188">
        <v>6.6054882481694221E-3</v>
      </c>
      <c r="N46" s="188">
        <v>0</v>
      </c>
      <c r="O46" s="44"/>
      <c r="P46" s="44"/>
    </row>
    <row r="47" spans="2:16">
      <c r="B47" s="186">
        <v>43</v>
      </c>
      <c r="C47" s="186">
        <v>1632870</v>
      </c>
      <c r="D47" s="186">
        <v>45700</v>
      </c>
      <c r="E47" s="187">
        <v>4.1399998590350151E-3</v>
      </c>
      <c r="F47" s="186">
        <v>46298</v>
      </c>
      <c r="G47" s="186">
        <v>12373</v>
      </c>
      <c r="H47" s="188">
        <v>0.26724696159362793</v>
      </c>
      <c r="I47" s="188">
        <v>8.0154649913311005E-2</v>
      </c>
      <c r="J47" s="188">
        <v>1.6696184873580933E-2</v>
      </c>
      <c r="K47" s="188">
        <v>0.11646291613578796</v>
      </c>
      <c r="L47" s="188">
        <v>4.7237463295459747E-2</v>
      </c>
      <c r="M47" s="188">
        <v>6.6957534290850163E-3</v>
      </c>
      <c r="N47" s="188">
        <v>0</v>
      </c>
      <c r="O47" s="44"/>
      <c r="P47" s="44"/>
    </row>
    <row r="48" spans="2:16">
      <c r="B48" s="186">
        <v>44</v>
      </c>
      <c r="C48" s="186">
        <v>1633516</v>
      </c>
      <c r="D48" s="186">
        <v>46900</v>
      </c>
      <c r="E48" s="187">
        <v>4.2500002309679985E-3</v>
      </c>
      <c r="F48" s="186">
        <v>47455</v>
      </c>
      <c r="G48" s="186">
        <v>12422</v>
      </c>
      <c r="H48" s="188">
        <v>0.26176378130912781</v>
      </c>
      <c r="I48" s="188">
        <v>7.8832581639289856E-2</v>
      </c>
      <c r="J48" s="188">
        <v>1.6794858500361443E-2</v>
      </c>
      <c r="K48" s="188">
        <v>0.11138974130153656</v>
      </c>
      <c r="L48" s="188">
        <v>4.7307975590229034E-2</v>
      </c>
      <c r="M48" s="188">
        <v>7.459698710590601E-3</v>
      </c>
      <c r="N48" s="188">
        <v>0</v>
      </c>
      <c r="O48" s="44"/>
      <c r="P48" s="44"/>
    </row>
    <row r="49" spans="2:16">
      <c r="B49" s="186">
        <v>45</v>
      </c>
      <c r="C49" s="186">
        <v>1633639</v>
      </c>
      <c r="D49" s="186">
        <v>48100</v>
      </c>
      <c r="E49" s="187">
        <v>4.3600001372396946E-3</v>
      </c>
      <c r="F49" s="186">
        <v>48736</v>
      </c>
      <c r="G49" s="186">
        <v>12787</v>
      </c>
      <c r="H49" s="188">
        <v>0.26237279176712036</v>
      </c>
      <c r="I49" s="188">
        <v>7.8176297247409821E-2</v>
      </c>
      <c r="J49" s="188">
        <v>1.7871798947453499E-2</v>
      </c>
      <c r="K49" s="188">
        <v>0.11110883206129074</v>
      </c>
      <c r="L49" s="188">
        <v>4.7152001410722733E-2</v>
      </c>
      <c r="M49" s="188">
        <v>8.0433357506990433E-3</v>
      </c>
      <c r="N49" s="188">
        <v>0</v>
      </c>
      <c r="O49" s="44"/>
      <c r="P49" s="44"/>
    </row>
    <row r="50" spans="2:16">
      <c r="B50" s="186">
        <v>46</v>
      </c>
      <c r="C50" s="186">
        <v>1632529</v>
      </c>
      <c r="D50" s="186">
        <v>49400</v>
      </c>
      <c r="E50" s="187">
        <v>4.4700000435113907E-3</v>
      </c>
      <c r="F50" s="186">
        <v>50039</v>
      </c>
      <c r="G50" s="186">
        <v>12862</v>
      </c>
      <c r="H50" s="188">
        <v>0.25703951716423035</v>
      </c>
      <c r="I50" s="188">
        <v>7.7799320220947266E-2</v>
      </c>
      <c r="J50" s="188">
        <v>1.8265752121806145E-2</v>
      </c>
      <c r="K50" s="188">
        <v>0.10883510857820511</v>
      </c>
      <c r="L50" s="188">
        <v>4.4305440038442612E-2</v>
      </c>
      <c r="M50" s="188">
        <v>7.8538740053772926E-3</v>
      </c>
      <c r="N50" s="188">
        <v>0</v>
      </c>
      <c r="O50" s="44"/>
      <c r="P50" s="44"/>
    </row>
    <row r="51" spans="2:16">
      <c r="B51" s="186">
        <v>47</v>
      </c>
      <c r="C51" s="186">
        <v>1632606</v>
      </c>
      <c r="D51" s="186">
        <v>50700</v>
      </c>
      <c r="E51" s="187">
        <v>4.6000001020729542E-3</v>
      </c>
      <c r="F51" s="186">
        <v>51412</v>
      </c>
      <c r="G51" s="186">
        <v>13394</v>
      </c>
      <c r="H51" s="188">
        <v>0.26052284240722656</v>
      </c>
      <c r="I51" s="188">
        <v>7.7083170413970947E-2</v>
      </c>
      <c r="J51" s="188">
        <v>1.9275655969977379E-2</v>
      </c>
      <c r="K51" s="188">
        <v>0.10752353817224503</v>
      </c>
      <c r="L51" s="188">
        <v>4.8218313604593277E-2</v>
      </c>
      <c r="M51" s="188">
        <v>8.4221586585044861E-3</v>
      </c>
      <c r="N51" s="188">
        <v>0</v>
      </c>
      <c r="O51" s="44"/>
      <c r="P51" s="44"/>
    </row>
    <row r="52" spans="2:16">
      <c r="B52" s="186">
        <v>48</v>
      </c>
      <c r="C52" s="186">
        <v>1632506</v>
      </c>
      <c r="D52" s="186">
        <v>52100</v>
      </c>
      <c r="E52" s="187">
        <v>4.720000084489584E-3</v>
      </c>
      <c r="F52" s="186">
        <v>52744</v>
      </c>
      <c r="G52" s="186">
        <v>14139</v>
      </c>
      <c r="H52" s="188">
        <v>0.26806840300559998</v>
      </c>
      <c r="I52" s="188">
        <v>7.6558470726013184E-2</v>
      </c>
      <c r="J52" s="188">
        <v>1.8068406730890274E-2</v>
      </c>
      <c r="K52" s="188">
        <v>0.11216441541910172</v>
      </c>
      <c r="L52" s="188">
        <v>5.2764296531677246E-2</v>
      </c>
      <c r="M52" s="188">
        <v>8.5128163918852806E-3</v>
      </c>
      <c r="N52" s="188">
        <v>0</v>
      </c>
      <c r="O52" s="44"/>
      <c r="P52" s="44"/>
    </row>
    <row r="53" spans="2:16">
      <c r="B53" s="186">
        <v>49</v>
      </c>
      <c r="C53" s="186">
        <v>1633761</v>
      </c>
      <c r="D53" s="186">
        <v>53400</v>
      </c>
      <c r="E53" s="187">
        <v>4.8299999907612801E-3</v>
      </c>
      <c r="F53" s="186">
        <v>53987</v>
      </c>
      <c r="G53" s="186">
        <v>14771</v>
      </c>
      <c r="H53" s="188">
        <v>0.27360290288925171</v>
      </c>
      <c r="I53" s="188">
        <v>7.7129676938056946E-2</v>
      </c>
      <c r="J53" s="188">
        <v>1.6263173893094063E-2</v>
      </c>
      <c r="K53" s="188">
        <v>0.11660214513540268</v>
      </c>
      <c r="L53" s="188">
        <v>5.6106097996234894E-2</v>
      </c>
      <c r="M53" s="188">
        <v>7.5018061324954033E-3</v>
      </c>
      <c r="N53" s="188">
        <v>0</v>
      </c>
      <c r="O53" s="44"/>
      <c r="P53" s="44"/>
    </row>
    <row r="54" spans="2:16">
      <c r="B54" s="186">
        <v>50</v>
      </c>
      <c r="C54" s="186">
        <v>1632661</v>
      </c>
      <c r="D54" s="186">
        <v>54700</v>
      </c>
      <c r="E54" s="187">
        <v>4.9499999731779099E-3</v>
      </c>
      <c r="F54" s="186">
        <v>55345</v>
      </c>
      <c r="G54" s="186">
        <v>14942</v>
      </c>
      <c r="H54" s="188">
        <v>0.26997920870780945</v>
      </c>
      <c r="I54" s="188">
        <v>7.6501943171024323E-2</v>
      </c>
      <c r="J54" s="188">
        <v>1.6785617917776108E-2</v>
      </c>
      <c r="K54" s="188">
        <v>0.11509621143341064</v>
      </c>
      <c r="L54" s="188">
        <v>5.4060891270637512E-2</v>
      </c>
      <c r="M54" s="188">
        <v>7.5345560908317566E-3</v>
      </c>
      <c r="N54" s="188">
        <v>0</v>
      </c>
      <c r="O54" s="44"/>
      <c r="P54" s="44"/>
    </row>
    <row r="55" spans="2:16">
      <c r="B55" s="186">
        <v>51</v>
      </c>
      <c r="C55" s="186">
        <v>1634023</v>
      </c>
      <c r="D55" s="186">
        <v>56000</v>
      </c>
      <c r="E55" s="187">
        <v>5.0800000317394733E-3</v>
      </c>
      <c r="F55" s="186">
        <v>56812</v>
      </c>
      <c r="G55" s="186">
        <v>15460</v>
      </c>
      <c r="H55" s="188">
        <v>0.27212560176849365</v>
      </c>
      <c r="I55" s="188">
        <v>7.5793847441673279E-2</v>
      </c>
      <c r="J55" s="188">
        <v>1.8552418798208237E-2</v>
      </c>
      <c r="K55" s="188">
        <v>0.11300429701805115</v>
      </c>
      <c r="L55" s="188">
        <v>5.613250657916069E-2</v>
      </c>
      <c r="M55" s="188">
        <v>8.6601423099637032E-3</v>
      </c>
      <c r="N55" s="188">
        <v>0</v>
      </c>
      <c r="O55" s="44"/>
      <c r="P55" s="44"/>
    </row>
    <row r="56" spans="2:16">
      <c r="B56" s="186">
        <v>52</v>
      </c>
      <c r="C56" s="186">
        <v>1632897</v>
      </c>
      <c r="D56" s="186">
        <v>57600</v>
      </c>
      <c r="E56" s="187">
        <v>5.2299997769296169E-3</v>
      </c>
      <c r="F56" s="186">
        <v>58431</v>
      </c>
      <c r="G56" s="186">
        <v>15778</v>
      </c>
      <c r="H56" s="188">
        <v>0.27002790570259094</v>
      </c>
      <c r="I56" s="188">
        <v>7.4429668486118317E-2</v>
      </c>
      <c r="J56" s="188">
        <v>1.9681332632899284E-2</v>
      </c>
      <c r="K56" s="188">
        <v>0.11050640791654587</v>
      </c>
      <c r="L56" s="188">
        <v>5.6956067681312561E-2</v>
      </c>
      <c r="M56" s="188">
        <v>8.4544159471988678E-3</v>
      </c>
      <c r="N56" s="188">
        <v>0</v>
      </c>
      <c r="O56" s="44"/>
      <c r="P56" s="44"/>
    </row>
    <row r="57" spans="2:16">
      <c r="B57" s="186">
        <v>53</v>
      </c>
      <c r="C57" s="186">
        <v>1633694</v>
      </c>
      <c r="D57" s="186">
        <v>59200</v>
      </c>
      <c r="E57" s="187">
        <v>5.3699999116361141E-3</v>
      </c>
      <c r="F57" s="186">
        <v>60050</v>
      </c>
      <c r="G57" s="186">
        <v>16328</v>
      </c>
      <c r="H57" s="188">
        <v>0.27190673351287842</v>
      </c>
      <c r="I57" s="188">
        <v>7.3538720607757568E-2</v>
      </c>
      <c r="J57" s="188">
        <v>1.9716901704668999E-2</v>
      </c>
      <c r="K57" s="188">
        <v>0.11087427288293839</v>
      </c>
      <c r="L57" s="188">
        <v>5.856785923242569E-2</v>
      </c>
      <c r="M57" s="188">
        <v>9.2089921236038208E-3</v>
      </c>
      <c r="N57" s="188">
        <v>0</v>
      </c>
      <c r="O57" s="44"/>
      <c r="P57" s="44"/>
    </row>
    <row r="58" spans="2:16">
      <c r="B58" s="186">
        <v>54</v>
      </c>
      <c r="C58" s="186">
        <v>1631899</v>
      </c>
      <c r="D58" s="186">
        <v>60800</v>
      </c>
      <c r="E58" s="187">
        <v>5.5100000463426113E-3</v>
      </c>
      <c r="F58" s="186">
        <v>61630</v>
      </c>
      <c r="G58" s="186">
        <v>16867</v>
      </c>
      <c r="H58" s="188">
        <v>0.273681640625</v>
      </c>
      <c r="I58" s="188">
        <v>7.2545841336250305E-2</v>
      </c>
      <c r="J58" s="188">
        <v>1.8497485667467117E-2</v>
      </c>
      <c r="K58" s="188">
        <v>0.11247768998146057</v>
      </c>
      <c r="L58" s="188">
        <v>6.131754070520401E-2</v>
      </c>
      <c r="M58" s="188">
        <v>8.82687047123909E-3</v>
      </c>
      <c r="N58" s="188">
        <v>0</v>
      </c>
      <c r="O58" s="44"/>
      <c r="P58" s="44"/>
    </row>
    <row r="59" spans="2:16">
      <c r="B59" s="186">
        <v>55</v>
      </c>
      <c r="C59" s="186">
        <v>1633424</v>
      </c>
      <c r="D59" s="186">
        <v>62400</v>
      </c>
      <c r="E59" s="187">
        <v>5.6500001810491085E-3</v>
      </c>
      <c r="F59" s="186">
        <v>63172</v>
      </c>
      <c r="G59" s="186">
        <v>16755</v>
      </c>
      <c r="H59" s="188">
        <v>0.265228271484375</v>
      </c>
      <c r="I59" s="188">
        <v>6.8732984364032745E-2</v>
      </c>
      <c r="J59" s="188">
        <v>1.8853290006518364E-2</v>
      </c>
      <c r="K59" s="188">
        <v>0.11023871600627899</v>
      </c>
      <c r="L59" s="188">
        <v>5.9219274669885635E-2</v>
      </c>
      <c r="M59" s="188">
        <v>8.184005506336689E-3</v>
      </c>
      <c r="N59" s="188">
        <v>0</v>
      </c>
      <c r="O59" s="44"/>
      <c r="P59" s="44"/>
    </row>
    <row r="60" spans="2:16">
      <c r="B60" s="186">
        <v>56</v>
      </c>
      <c r="C60" s="186">
        <v>1633382</v>
      </c>
      <c r="D60" s="186">
        <v>64000</v>
      </c>
      <c r="E60" s="187">
        <v>5.7999999262392521E-3</v>
      </c>
      <c r="F60" s="186">
        <v>64865</v>
      </c>
      <c r="G60" s="186">
        <v>17323</v>
      </c>
      <c r="H60" s="188">
        <v>0.26706236600875854</v>
      </c>
      <c r="I60" s="188">
        <v>6.6553615033626556E-2</v>
      </c>
      <c r="J60" s="188">
        <v>1.9671626389026642E-2</v>
      </c>
      <c r="K60" s="188">
        <v>0.11215601861476898</v>
      </c>
      <c r="L60" s="188">
        <v>5.9785708785057068E-2</v>
      </c>
      <c r="M60" s="188">
        <v>8.8953981176018715E-3</v>
      </c>
      <c r="N60" s="188">
        <v>0</v>
      </c>
      <c r="O60" s="44"/>
      <c r="P60" s="44"/>
    </row>
    <row r="61" spans="2:16">
      <c r="B61" s="186">
        <v>57</v>
      </c>
      <c r="C61" s="186">
        <v>1633409</v>
      </c>
      <c r="D61" s="186">
        <v>65800</v>
      </c>
      <c r="E61" s="187">
        <v>5.9600002132356167E-3</v>
      </c>
      <c r="F61" s="186">
        <v>66664</v>
      </c>
      <c r="G61" s="186">
        <v>18034</v>
      </c>
      <c r="H61" s="188">
        <v>0.27052080631256104</v>
      </c>
      <c r="I61" s="188">
        <v>6.5732628107070923E-2</v>
      </c>
      <c r="J61" s="188">
        <v>2.1120844408869743E-2</v>
      </c>
      <c r="K61" s="188">
        <v>0.11041941493749619</v>
      </c>
      <c r="L61" s="188">
        <v>6.3707545399665833E-2</v>
      </c>
      <c r="M61" s="188">
        <v>9.5103802159428596E-3</v>
      </c>
      <c r="N61" s="188">
        <v>0</v>
      </c>
      <c r="O61" s="44"/>
      <c r="P61" s="44"/>
    </row>
    <row r="62" spans="2:16">
      <c r="B62" s="186">
        <v>58</v>
      </c>
      <c r="C62" s="186">
        <v>1632059</v>
      </c>
      <c r="D62" s="186">
        <v>67600</v>
      </c>
      <c r="E62" s="187">
        <v>6.1300001107156277E-3</v>
      </c>
      <c r="F62" s="186">
        <v>68539</v>
      </c>
      <c r="G62" s="186">
        <v>18713</v>
      </c>
      <c r="H62" s="188">
        <v>0.27302703261375427</v>
      </c>
      <c r="I62" s="188">
        <v>6.5437197685241699E-2</v>
      </c>
      <c r="J62" s="188">
        <v>1.9988618791103363E-2</v>
      </c>
      <c r="K62" s="188">
        <v>0.11340988427400589</v>
      </c>
      <c r="L62" s="188">
        <v>6.5583094954490662E-2</v>
      </c>
      <c r="M62" s="188">
        <v>8.6082378402352333E-3</v>
      </c>
      <c r="N62" s="188">
        <v>0</v>
      </c>
      <c r="O62" s="44"/>
      <c r="P62" s="44"/>
    </row>
    <row r="63" spans="2:16">
      <c r="B63" s="186">
        <v>59</v>
      </c>
      <c r="C63" s="186">
        <v>1632570</v>
      </c>
      <c r="D63" s="186">
        <v>69500</v>
      </c>
      <c r="E63" s="187">
        <v>6.3100000843405724E-3</v>
      </c>
      <c r="F63" s="186">
        <v>70526</v>
      </c>
      <c r="G63" s="186">
        <v>19128</v>
      </c>
      <c r="H63" s="188">
        <v>0.27121913433074951</v>
      </c>
      <c r="I63" s="188">
        <v>6.4855515956878662E-2</v>
      </c>
      <c r="J63" s="188">
        <v>2.1070243790745735E-2</v>
      </c>
      <c r="K63" s="188">
        <v>0.10994526743888855</v>
      </c>
      <c r="L63" s="188">
        <v>6.5663725137710571E-2</v>
      </c>
      <c r="M63" s="188">
        <v>9.6701923757791519E-3</v>
      </c>
      <c r="N63" s="188">
        <v>0</v>
      </c>
      <c r="O63" s="44"/>
      <c r="P63" s="44"/>
    </row>
    <row r="64" spans="2:16">
      <c r="B64" s="186">
        <v>60</v>
      </c>
      <c r="C64" s="186">
        <v>1633689</v>
      </c>
      <c r="D64" s="186">
        <v>71500</v>
      </c>
      <c r="E64" s="187">
        <v>6.490000057965517E-3</v>
      </c>
      <c r="F64" s="186">
        <v>72579</v>
      </c>
      <c r="G64" s="186">
        <v>20332</v>
      </c>
      <c r="H64" s="188">
        <v>0.28013613820075989</v>
      </c>
      <c r="I64" s="188">
        <v>6.4922362565994263E-2</v>
      </c>
      <c r="J64" s="188">
        <v>2.1604044362902641E-2</v>
      </c>
      <c r="K64" s="188">
        <v>0.11295278370380402</v>
      </c>
      <c r="L64" s="188">
        <v>7.1329168975353241E-2</v>
      </c>
      <c r="M64" s="188">
        <v>9.3277674168348312E-3</v>
      </c>
      <c r="N64" s="188">
        <v>0</v>
      </c>
      <c r="O64" s="44"/>
      <c r="P64" s="44"/>
    </row>
    <row r="65" spans="2:16">
      <c r="B65" s="186">
        <v>61</v>
      </c>
      <c r="C65" s="186">
        <v>1633230</v>
      </c>
      <c r="D65" s="186">
        <v>73600</v>
      </c>
      <c r="E65" s="187">
        <v>6.6800001077353954E-3</v>
      </c>
      <c r="F65" s="186">
        <v>74716</v>
      </c>
      <c r="G65" s="186">
        <v>20572</v>
      </c>
      <c r="H65" s="188">
        <v>0.27533593773841858</v>
      </c>
      <c r="I65" s="188">
        <v>6.4564481377601624E-2</v>
      </c>
      <c r="J65" s="188">
        <v>2.087906189262867E-2</v>
      </c>
      <c r="K65" s="188">
        <v>0.11223834007978439</v>
      </c>
      <c r="L65" s="188">
        <v>6.8245090544223785E-2</v>
      </c>
      <c r="M65" s="188">
        <v>9.4089619815349579E-3</v>
      </c>
      <c r="N65" s="188">
        <v>0</v>
      </c>
      <c r="O65" s="44"/>
      <c r="P65" s="44"/>
    </row>
    <row r="66" spans="2:16">
      <c r="B66" s="186">
        <v>62</v>
      </c>
      <c r="C66" s="186">
        <v>1633639</v>
      </c>
      <c r="D66" s="186">
        <v>75900</v>
      </c>
      <c r="E66" s="187">
        <v>6.8999999202787876E-3</v>
      </c>
      <c r="F66" s="186">
        <v>77094</v>
      </c>
      <c r="G66" s="186">
        <v>21437</v>
      </c>
      <c r="H66" s="188">
        <v>0.27806314826011658</v>
      </c>
      <c r="I66" s="188">
        <v>6.3312321901321411E-2</v>
      </c>
      <c r="J66" s="188">
        <v>2.3737255483865738E-2</v>
      </c>
      <c r="K66" s="188">
        <v>0.10698627680540085</v>
      </c>
      <c r="L66" s="188">
        <v>7.3261216282844543E-2</v>
      </c>
      <c r="M66" s="188">
        <v>1.0779049247503281E-2</v>
      </c>
      <c r="N66" s="188">
        <v>0</v>
      </c>
      <c r="O66" s="44"/>
      <c r="P66" s="44"/>
    </row>
    <row r="67" spans="2:16">
      <c r="B67" s="186">
        <v>63</v>
      </c>
      <c r="C67" s="186">
        <v>1632945</v>
      </c>
      <c r="D67" s="186">
        <v>78300</v>
      </c>
      <c r="E67" s="187">
        <v>7.1100001223385334E-3</v>
      </c>
      <c r="F67" s="186">
        <v>79506</v>
      </c>
      <c r="G67" s="186">
        <v>22548</v>
      </c>
      <c r="H67" s="188">
        <v>0.28360122442245483</v>
      </c>
      <c r="I67" s="188">
        <v>6.3668154180049896E-2</v>
      </c>
      <c r="J67" s="188">
        <v>2.2526601329445839E-2</v>
      </c>
      <c r="K67" s="188">
        <v>0.11228083074092865</v>
      </c>
      <c r="L67" s="188">
        <v>7.5390540063381195E-2</v>
      </c>
      <c r="M67" s="188">
        <v>9.760269895195961E-3</v>
      </c>
      <c r="N67" s="188">
        <v>0</v>
      </c>
      <c r="O67" s="44"/>
      <c r="P67" s="44"/>
    </row>
    <row r="68" spans="2:16">
      <c r="B68" s="186">
        <v>64</v>
      </c>
      <c r="C68" s="186">
        <v>1632478</v>
      </c>
      <c r="D68" s="186">
        <v>80800</v>
      </c>
      <c r="E68" s="187">
        <v>7.3400000110268593E-3</v>
      </c>
      <c r="F68" s="186">
        <v>82068</v>
      </c>
      <c r="G68" s="186">
        <v>23539</v>
      </c>
      <c r="H68" s="188">
        <v>0.28682312369346619</v>
      </c>
      <c r="I68" s="188">
        <v>6.3642345368862152E-2</v>
      </c>
      <c r="J68" s="188">
        <v>2.2591022774577141E-2</v>
      </c>
      <c r="K68" s="188">
        <v>0.11461227387189865</v>
      </c>
      <c r="L68" s="188">
        <v>7.6789982616901398E-2</v>
      </c>
      <c r="M68" s="188">
        <v>9.1753182932734489E-3</v>
      </c>
      <c r="N68" s="188">
        <v>0</v>
      </c>
      <c r="O68" s="44"/>
      <c r="P68" s="44"/>
    </row>
    <row r="69" spans="2:16">
      <c r="B69" s="186">
        <v>65</v>
      </c>
      <c r="C69" s="186">
        <v>1633425</v>
      </c>
      <c r="D69" s="186">
        <v>83300</v>
      </c>
      <c r="E69" s="187">
        <v>7.5799999758601189E-3</v>
      </c>
      <c r="F69" s="186">
        <v>84699</v>
      </c>
      <c r="G69" s="186">
        <v>24601</v>
      </c>
      <c r="H69" s="188">
        <v>0.29045206308364868</v>
      </c>
      <c r="I69" s="188">
        <v>6.3306532800197601E-2</v>
      </c>
      <c r="J69" s="188">
        <v>2.3435931652784348E-2</v>
      </c>
      <c r="K69" s="188">
        <v>0.11300015449523926</v>
      </c>
      <c r="L69" s="188">
        <v>8.0874629318714142E-2</v>
      </c>
      <c r="M69" s="188">
        <v>9.8466333001852036E-3</v>
      </c>
      <c r="N69" s="188">
        <v>0</v>
      </c>
      <c r="O69" s="44"/>
      <c r="P69" s="44"/>
    </row>
    <row r="70" spans="2:16">
      <c r="B70" s="186">
        <v>66</v>
      </c>
      <c r="C70" s="186">
        <v>1633171</v>
      </c>
      <c r="D70" s="186">
        <v>86100</v>
      </c>
      <c r="E70" s="187">
        <v>7.8400000929832458E-3</v>
      </c>
      <c r="F70" s="186">
        <v>87614</v>
      </c>
      <c r="G70" s="186">
        <v>25461</v>
      </c>
      <c r="H70" s="188">
        <v>0.29060423374176025</v>
      </c>
      <c r="I70" s="188">
        <v>6.28780797123909E-2</v>
      </c>
      <c r="J70" s="188">
        <v>2.280457504093647E-2</v>
      </c>
      <c r="K70" s="188">
        <v>0.11463921517133713</v>
      </c>
      <c r="L70" s="188">
        <v>8.0843247473239899E-2</v>
      </c>
      <c r="M70" s="188">
        <v>9.4391303136944771E-3</v>
      </c>
      <c r="N70" s="188">
        <v>0</v>
      </c>
      <c r="O70" s="44"/>
      <c r="P70" s="44"/>
    </row>
    <row r="71" spans="2:16">
      <c r="B71" s="186">
        <v>67</v>
      </c>
      <c r="C71" s="186">
        <v>1632989</v>
      </c>
      <c r="D71" s="186">
        <v>89100</v>
      </c>
      <c r="E71" s="187">
        <v>8.1000002101063728E-3</v>
      </c>
      <c r="F71" s="186">
        <v>90577</v>
      </c>
      <c r="G71" s="186">
        <v>25892</v>
      </c>
      <c r="H71" s="188">
        <v>0.28585624694824219</v>
      </c>
      <c r="I71" s="188">
        <v>6.2444109469652176E-2</v>
      </c>
      <c r="J71" s="188">
        <v>2.3747749626636505E-2</v>
      </c>
      <c r="K71" s="188">
        <v>0.1091226264834404</v>
      </c>
      <c r="L71" s="188">
        <v>8.0307364463806152E-2</v>
      </c>
      <c r="M71" s="188">
        <v>1.0223345831036568E-2</v>
      </c>
      <c r="N71" s="188">
        <v>0</v>
      </c>
      <c r="O71" s="44"/>
      <c r="P71" s="44"/>
    </row>
    <row r="72" spans="2:16">
      <c r="B72" s="186">
        <v>68</v>
      </c>
      <c r="C72" s="186">
        <v>1631965</v>
      </c>
      <c r="D72" s="186">
        <v>92000</v>
      </c>
      <c r="E72" s="187">
        <v>8.3600003272294998E-3</v>
      </c>
      <c r="F72" s="186">
        <v>93485</v>
      </c>
      <c r="G72" s="186">
        <v>27014</v>
      </c>
      <c r="H72" s="188">
        <v>0.28896614909172058</v>
      </c>
      <c r="I72" s="188">
        <v>6.21597059071064E-2</v>
      </c>
      <c r="J72" s="188">
        <v>2.3329945281147957E-2</v>
      </c>
      <c r="K72" s="188">
        <v>0.10924747586250305</v>
      </c>
      <c r="L72" s="188">
        <v>8.3628386259078979E-2</v>
      </c>
      <c r="M72" s="188">
        <v>1.0611328296363354E-2</v>
      </c>
      <c r="N72" s="188">
        <v>0</v>
      </c>
      <c r="O72" s="44"/>
      <c r="P72" s="44"/>
    </row>
    <row r="73" spans="2:16">
      <c r="B73" s="186">
        <v>69</v>
      </c>
      <c r="C73" s="186">
        <v>1634130</v>
      </c>
      <c r="D73" s="186">
        <v>95000</v>
      </c>
      <c r="E73" s="187">
        <v>8.6399996653199196E-3</v>
      </c>
      <c r="F73" s="186">
        <v>96554</v>
      </c>
      <c r="G73" s="186">
        <v>27927</v>
      </c>
      <c r="H73" s="188">
        <v>0.28923711180686951</v>
      </c>
      <c r="I73" s="188">
        <v>6.1882469803094864E-2</v>
      </c>
      <c r="J73" s="188">
        <v>2.3914078250527382E-2</v>
      </c>
      <c r="K73" s="188">
        <v>0.10879921913146973</v>
      </c>
      <c r="L73" s="188">
        <v>8.3766594529151917E-2</v>
      </c>
      <c r="M73" s="188">
        <v>1.0874743573367596E-2</v>
      </c>
      <c r="N73" s="188">
        <v>0</v>
      </c>
      <c r="O73" s="44"/>
      <c r="P73" s="44"/>
    </row>
    <row r="74" spans="2:16">
      <c r="B74" s="186">
        <v>70</v>
      </c>
      <c r="C74" s="186">
        <v>1632535</v>
      </c>
      <c r="D74" s="186">
        <v>98100</v>
      </c>
      <c r="E74" s="187">
        <v>8.9100003242492676E-3</v>
      </c>
      <c r="F74" s="186">
        <v>99602</v>
      </c>
      <c r="G74" s="186">
        <v>29354</v>
      </c>
      <c r="H74" s="188">
        <v>0.29471296072006226</v>
      </c>
      <c r="I74" s="188">
        <v>6.1826068907976151E-2</v>
      </c>
      <c r="J74" s="188">
        <v>2.3352945223450661E-2</v>
      </c>
      <c r="K74" s="188">
        <v>0.11073070764541626</v>
      </c>
      <c r="L74" s="188">
        <v>8.7829560041427612E-2</v>
      </c>
      <c r="M74" s="188">
        <v>1.0973675176501274E-2</v>
      </c>
      <c r="N74" s="188">
        <v>0</v>
      </c>
      <c r="O74" s="44"/>
      <c r="P74" s="44"/>
    </row>
    <row r="75" spans="2:16">
      <c r="B75" s="186">
        <v>71</v>
      </c>
      <c r="C75" s="186">
        <v>1632582</v>
      </c>
      <c r="D75" s="186">
        <v>101000</v>
      </c>
      <c r="E75" s="187">
        <v>9.1899996623396873E-3</v>
      </c>
      <c r="F75" s="186">
        <v>102825</v>
      </c>
      <c r="G75" s="186">
        <v>30460</v>
      </c>
      <c r="H75" s="188">
        <v>0.29623144865036011</v>
      </c>
      <c r="I75" s="188">
        <v>6.1949916183948517E-2</v>
      </c>
      <c r="J75" s="188">
        <v>2.380743995308876E-2</v>
      </c>
      <c r="K75" s="188">
        <v>0.11093605309724808</v>
      </c>
      <c r="L75" s="188">
        <v>8.878190815448761E-2</v>
      </c>
      <c r="M75" s="188">
        <v>1.0746413841843605E-2</v>
      </c>
      <c r="N75" s="188">
        <v>0</v>
      </c>
      <c r="O75" s="44"/>
      <c r="P75" s="44"/>
    </row>
    <row r="76" spans="2:16">
      <c r="B76" s="186">
        <v>72</v>
      </c>
      <c r="C76" s="186">
        <v>1632906</v>
      </c>
      <c r="D76" s="186">
        <v>104000</v>
      </c>
      <c r="E76" s="187">
        <v>9.4999996945261955E-3</v>
      </c>
      <c r="F76" s="186">
        <v>106239</v>
      </c>
      <c r="G76" s="186">
        <v>31570</v>
      </c>
      <c r="H76" s="188">
        <v>0.29716017842292786</v>
      </c>
      <c r="I76" s="188">
        <v>6.1484012752771378E-2</v>
      </c>
      <c r="J76" s="188">
        <v>2.5677952915430069E-2</v>
      </c>
      <c r="K76" s="188">
        <v>0.10801117867231369</v>
      </c>
      <c r="L76" s="188">
        <v>9.0719982981681824E-2</v>
      </c>
      <c r="M76" s="188">
        <v>1.1276461184024811E-2</v>
      </c>
      <c r="N76" s="188">
        <v>0</v>
      </c>
      <c r="O76" s="44"/>
      <c r="P76" s="44"/>
    </row>
    <row r="77" spans="2:16">
      <c r="B77" s="186">
        <v>73</v>
      </c>
      <c r="C77" s="186">
        <v>1633068</v>
      </c>
      <c r="D77" s="186">
        <v>108000</v>
      </c>
      <c r="E77" s="187">
        <v>9.8400004208087921E-3</v>
      </c>
      <c r="F77" s="186">
        <v>110056</v>
      </c>
      <c r="G77" s="186">
        <v>32269</v>
      </c>
      <c r="H77" s="188">
        <v>0.29320529103279114</v>
      </c>
      <c r="I77" s="188">
        <v>6.0723632574081421E-2</v>
      </c>
      <c r="J77" s="188">
        <v>2.6159409433603287E-2</v>
      </c>
      <c r="K77" s="188">
        <v>0.10411063581705093</v>
      </c>
      <c r="L77" s="188">
        <v>9.0363085269927979E-2</v>
      </c>
      <c r="M77" s="188">
        <v>1.1857599951326847E-2</v>
      </c>
      <c r="N77" s="188">
        <v>0</v>
      </c>
      <c r="O77" s="44"/>
      <c r="P77" s="44"/>
    </row>
    <row r="78" spans="2:16">
      <c r="B78" s="186">
        <v>74</v>
      </c>
      <c r="C78" s="186">
        <v>1633528</v>
      </c>
      <c r="D78" s="186">
        <v>112000</v>
      </c>
      <c r="E78" s="187">
        <v>1.0200000368058681E-2</v>
      </c>
      <c r="F78" s="186">
        <v>114030</v>
      </c>
      <c r="G78" s="186">
        <v>33673</v>
      </c>
      <c r="H78" s="188">
        <v>0.2952994704246521</v>
      </c>
      <c r="I78" s="188">
        <v>6.043146550655365E-2</v>
      </c>
      <c r="J78" s="188">
        <v>2.618609182536602E-2</v>
      </c>
      <c r="K78" s="188">
        <v>0.10607735067605972</v>
      </c>
      <c r="L78" s="188">
        <v>9.0625271201133728E-2</v>
      </c>
      <c r="M78" s="188">
        <v>1.1979303322732449E-2</v>
      </c>
      <c r="N78" s="188">
        <v>0</v>
      </c>
      <c r="O78" s="44"/>
      <c r="P78" s="44"/>
    </row>
    <row r="79" spans="2:16">
      <c r="B79" s="186">
        <v>75</v>
      </c>
      <c r="C79" s="186">
        <v>1633334</v>
      </c>
      <c r="D79" s="186">
        <v>116000</v>
      </c>
      <c r="E79" s="187">
        <v>1.0560000315308571E-2</v>
      </c>
      <c r="F79" s="186">
        <v>118049</v>
      </c>
      <c r="G79" s="186">
        <v>34539</v>
      </c>
      <c r="H79" s="188">
        <v>0.29258188605308533</v>
      </c>
      <c r="I79" s="188">
        <v>5.8433361351490021E-2</v>
      </c>
      <c r="J79" s="188">
        <v>2.7285279706120491E-2</v>
      </c>
      <c r="K79" s="188">
        <v>0.10370270162820816</v>
      </c>
      <c r="L79" s="188">
        <v>9.1165535151958466E-2</v>
      </c>
      <c r="M79" s="188">
        <v>1.2003489769995213E-2</v>
      </c>
      <c r="N79" s="188">
        <v>0</v>
      </c>
      <c r="O79" s="44"/>
      <c r="P79" s="44"/>
    </row>
    <row r="80" spans="2:16">
      <c r="B80" s="186">
        <v>76</v>
      </c>
      <c r="C80" s="186">
        <v>1633377</v>
      </c>
      <c r="D80" s="186">
        <v>120000</v>
      </c>
      <c r="E80" s="187">
        <v>1.0929999873042107E-2</v>
      </c>
      <c r="F80" s="186">
        <v>122237</v>
      </c>
      <c r="G80" s="186">
        <v>35140</v>
      </c>
      <c r="H80" s="188">
        <v>0.28747433423995972</v>
      </c>
      <c r="I80" s="188">
        <v>5.4058916866779327E-2</v>
      </c>
      <c r="J80" s="188">
        <v>2.8502007946372032E-2</v>
      </c>
      <c r="K80" s="188">
        <v>9.9380709230899811E-2</v>
      </c>
      <c r="L80" s="188">
        <v>9.2075228691101074E-2</v>
      </c>
      <c r="M80" s="188">
        <v>1.3449283316731453E-2</v>
      </c>
      <c r="N80" s="188">
        <v>0</v>
      </c>
      <c r="O80" s="44"/>
      <c r="P80" s="44"/>
    </row>
    <row r="81" spans="2:16">
      <c r="B81" s="186">
        <v>77</v>
      </c>
      <c r="C81" s="186">
        <v>1632333</v>
      </c>
      <c r="D81" s="186">
        <v>124000</v>
      </c>
      <c r="E81" s="187">
        <v>1.1289999820291996E-2</v>
      </c>
      <c r="F81" s="186">
        <v>126340</v>
      </c>
      <c r="G81" s="186">
        <v>35858</v>
      </c>
      <c r="H81" s="188">
        <v>0.28382143378257751</v>
      </c>
      <c r="I81" s="188">
        <v>5.1464304327964783E-2</v>
      </c>
      <c r="J81" s="188">
        <v>2.8668671846389771E-2</v>
      </c>
      <c r="K81" s="188">
        <v>9.8575271666049957E-2</v>
      </c>
      <c r="L81" s="188">
        <v>9.1594107449054718E-2</v>
      </c>
      <c r="M81" s="188">
        <v>1.3511160388588905E-2</v>
      </c>
      <c r="N81" s="188">
        <v>0</v>
      </c>
      <c r="O81" s="44"/>
      <c r="P81" s="44"/>
    </row>
    <row r="82" spans="2:16">
      <c r="B82" s="186">
        <v>78</v>
      </c>
      <c r="C82" s="186">
        <v>1633973</v>
      </c>
      <c r="D82" s="186">
        <v>129000</v>
      </c>
      <c r="E82" s="187">
        <v>1.1710000224411488E-2</v>
      </c>
      <c r="F82" s="186">
        <v>130848</v>
      </c>
      <c r="G82" s="186">
        <v>37792</v>
      </c>
      <c r="H82" s="188">
        <v>0.28882366418838501</v>
      </c>
      <c r="I82" s="188">
        <v>5.1158595830202103E-2</v>
      </c>
      <c r="J82" s="188">
        <v>2.7520481497049332E-2</v>
      </c>
      <c r="K82" s="188">
        <v>0.10334128141403198</v>
      </c>
      <c r="L82" s="188">
        <v>9.4177976250648499E-2</v>
      </c>
      <c r="M82" s="188">
        <v>1.2610051780939102E-2</v>
      </c>
      <c r="N82" s="188">
        <v>0</v>
      </c>
      <c r="O82" s="44"/>
      <c r="P82" s="44"/>
    </row>
    <row r="83" spans="2:16">
      <c r="B83" s="186">
        <v>79</v>
      </c>
      <c r="C83" s="186">
        <v>1631653</v>
      </c>
      <c r="D83" s="186">
        <v>133000</v>
      </c>
      <c r="E83" s="187">
        <v>1.2120000086724758E-2</v>
      </c>
      <c r="F83" s="186">
        <v>135646</v>
      </c>
      <c r="G83" s="186">
        <v>38825</v>
      </c>
      <c r="H83" s="188">
        <v>0.28622296452522278</v>
      </c>
      <c r="I83" s="188">
        <v>5.0712883472442627E-2</v>
      </c>
      <c r="J83" s="188">
        <v>2.6834554970264435E-2</v>
      </c>
      <c r="K83" s="188">
        <v>0.10219984501600266</v>
      </c>
      <c r="L83" s="188">
        <v>9.3692407011985779E-2</v>
      </c>
      <c r="M83" s="188">
        <v>1.2775901705026627E-2</v>
      </c>
      <c r="N83" s="188">
        <v>0</v>
      </c>
      <c r="O83" s="44"/>
      <c r="P83" s="44"/>
    </row>
    <row r="84" spans="2:16">
      <c r="B84" s="186">
        <v>80</v>
      </c>
      <c r="C84" s="186">
        <v>1633811</v>
      </c>
      <c r="D84" s="186">
        <v>138000</v>
      </c>
      <c r="E84" s="187">
        <v>1.2600000016391277E-2</v>
      </c>
      <c r="F84" s="186">
        <v>140767</v>
      </c>
      <c r="G84" s="186">
        <v>41129</v>
      </c>
      <c r="H84" s="188">
        <v>0.29217785596847534</v>
      </c>
      <c r="I84" s="188">
        <v>5.0530310720205307E-2</v>
      </c>
      <c r="J84" s="188">
        <v>2.7861643582582474E-2</v>
      </c>
      <c r="K84" s="188">
        <v>0.10398033261299133</v>
      </c>
      <c r="L84" s="188">
        <v>9.7430504858493805E-2</v>
      </c>
      <c r="M84" s="188">
        <v>1.2367955408990383E-2</v>
      </c>
      <c r="N84" s="188">
        <v>0</v>
      </c>
      <c r="O84" s="44"/>
      <c r="P84" s="44"/>
    </row>
    <row r="85" spans="2:16">
      <c r="B85" s="186">
        <v>81</v>
      </c>
      <c r="C85" s="186">
        <v>1633266</v>
      </c>
      <c r="D85" s="186">
        <v>143000</v>
      </c>
      <c r="E85" s="187">
        <v>1.3079999946057796E-2</v>
      </c>
      <c r="F85" s="186">
        <v>146179</v>
      </c>
      <c r="G85" s="186">
        <v>42205</v>
      </c>
      <c r="H85" s="188">
        <v>0.28872135281562805</v>
      </c>
      <c r="I85" s="188">
        <v>4.9801956862211227E-2</v>
      </c>
      <c r="J85" s="188">
        <v>3.0503697693347931E-2</v>
      </c>
      <c r="K85" s="188">
        <v>9.9241338670253754E-2</v>
      </c>
      <c r="L85" s="188">
        <v>9.6156083047389984E-2</v>
      </c>
      <c r="M85" s="188">
        <v>1.3025126419961452E-2</v>
      </c>
      <c r="N85" s="188">
        <v>0</v>
      </c>
      <c r="O85" s="44"/>
      <c r="P85" s="44"/>
    </row>
    <row r="86" spans="2:16">
      <c r="B86" s="186">
        <v>82</v>
      </c>
      <c r="C86" s="186">
        <v>1633069</v>
      </c>
      <c r="D86" s="186">
        <v>149000</v>
      </c>
      <c r="E86" s="187">
        <v>1.3620000332593918E-2</v>
      </c>
      <c r="F86" s="186">
        <v>152239</v>
      </c>
      <c r="G86" s="186">
        <v>45438</v>
      </c>
      <c r="H86" s="188">
        <v>0.29846492409706116</v>
      </c>
      <c r="I86" s="188">
        <v>4.9908366054296494E-2</v>
      </c>
      <c r="J86" s="188">
        <v>2.8928197920322418E-2</v>
      </c>
      <c r="K86" s="188">
        <v>0.10276604443788528</v>
      </c>
      <c r="L86" s="188">
        <v>0.1037382036447525</v>
      </c>
      <c r="M86" s="188">
        <v>1.31175322458148E-2</v>
      </c>
      <c r="N86" s="188">
        <v>0</v>
      </c>
      <c r="O86" s="44"/>
      <c r="P86" s="44"/>
    </row>
    <row r="87" spans="2:16">
      <c r="B87" s="186">
        <v>83</v>
      </c>
      <c r="C87" s="186">
        <v>1632254</v>
      </c>
      <c r="D87" s="186">
        <v>155000</v>
      </c>
      <c r="E87" s="187">
        <v>1.4179999940097332E-2</v>
      </c>
      <c r="F87" s="186">
        <v>158666</v>
      </c>
      <c r="G87" s="186">
        <v>46119</v>
      </c>
      <c r="H87" s="188">
        <v>0.29066717624664307</v>
      </c>
      <c r="I87" s="188">
        <v>4.8882558941841125E-2</v>
      </c>
      <c r="J87" s="188">
        <v>2.8947601094841957E-2</v>
      </c>
      <c r="K87" s="188">
        <v>9.6718892455101013E-2</v>
      </c>
      <c r="L87" s="188">
        <v>0.10206975787878036</v>
      </c>
      <c r="M87" s="188">
        <v>1.4054681174457073E-2</v>
      </c>
      <c r="N87" s="188">
        <v>0</v>
      </c>
      <c r="O87" s="44"/>
      <c r="P87" s="44"/>
    </row>
    <row r="88" spans="2:16">
      <c r="B88" s="186">
        <v>84</v>
      </c>
      <c r="C88" s="186">
        <v>1633767</v>
      </c>
      <c r="D88" s="186">
        <v>162000</v>
      </c>
      <c r="E88" s="187">
        <v>1.4800000004470348E-2</v>
      </c>
      <c r="F88" s="186">
        <v>165441</v>
      </c>
      <c r="G88" s="186">
        <v>48365</v>
      </c>
      <c r="H88" s="188">
        <v>0.29233986139297485</v>
      </c>
      <c r="I88" s="188">
        <v>4.8168230801820755E-2</v>
      </c>
      <c r="J88" s="188">
        <v>3.1461365520954132E-2</v>
      </c>
      <c r="K88" s="188">
        <v>9.3483477830886841E-2</v>
      </c>
      <c r="L88" s="188">
        <v>0.10410962253808975</v>
      </c>
      <c r="M88" s="188">
        <v>1.5117171220481396E-2</v>
      </c>
      <c r="N88" s="188">
        <v>0</v>
      </c>
      <c r="O88" s="44"/>
      <c r="P88" s="44"/>
    </row>
    <row r="89" spans="2:16">
      <c r="B89" s="186">
        <v>85</v>
      </c>
      <c r="C89" s="186">
        <v>1633402</v>
      </c>
      <c r="D89" s="186">
        <v>169000</v>
      </c>
      <c r="E89" s="187">
        <v>1.549999974668026E-2</v>
      </c>
      <c r="F89" s="186">
        <v>173252</v>
      </c>
      <c r="G89" s="186">
        <v>51222</v>
      </c>
      <c r="H89" s="188">
        <v>0.29565027356147766</v>
      </c>
      <c r="I89" s="188">
        <v>4.8391938209533691E-2</v>
      </c>
      <c r="J89" s="188">
        <v>2.9950592666864395E-2</v>
      </c>
      <c r="K89" s="188">
        <v>9.6991665661334991E-2</v>
      </c>
      <c r="L89" s="188">
        <v>0.10612864792346954</v>
      </c>
      <c r="M89" s="188">
        <v>1.4193198643624783E-2</v>
      </c>
      <c r="N89" s="188">
        <v>0</v>
      </c>
      <c r="O89" s="44"/>
      <c r="P89" s="44"/>
    </row>
    <row r="90" spans="2:16">
      <c r="B90" s="186">
        <v>86</v>
      </c>
      <c r="C90" s="186">
        <v>1631921</v>
      </c>
      <c r="D90" s="186">
        <v>178000</v>
      </c>
      <c r="E90" s="187">
        <v>1.6300000250339508E-2</v>
      </c>
      <c r="F90" s="186">
        <v>182409</v>
      </c>
      <c r="G90" s="186">
        <v>53945</v>
      </c>
      <c r="H90" s="188">
        <v>0.29573649168014526</v>
      </c>
      <c r="I90" s="188">
        <v>4.7810140997171402E-2</v>
      </c>
      <c r="J90" s="188">
        <v>3.2125607132911682E-2</v>
      </c>
      <c r="K90" s="188">
        <v>9.4518363475799561E-2</v>
      </c>
      <c r="L90" s="188">
        <v>0.10638729482889175</v>
      </c>
      <c r="M90" s="188">
        <v>1.4895098283886909E-2</v>
      </c>
      <c r="N90" s="188">
        <v>0</v>
      </c>
      <c r="O90" s="44"/>
      <c r="P90" s="44"/>
    </row>
    <row r="91" spans="2:16">
      <c r="B91" s="186">
        <v>87</v>
      </c>
      <c r="C91" s="186">
        <v>1634120</v>
      </c>
      <c r="D91" s="186">
        <v>187000</v>
      </c>
      <c r="E91" s="187">
        <v>1.7170000821352005E-2</v>
      </c>
      <c r="F91" s="186">
        <v>191895</v>
      </c>
      <c r="G91" s="186">
        <v>56735</v>
      </c>
      <c r="H91" s="188">
        <v>0.2956564724445343</v>
      </c>
      <c r="I91" s="188">
        <v>4.7916829586029053E-2</v>
      </c>
      <c r="J91" s="188">
        <v>3.2278068363666534E-2</v>
      </c>
      <c r="K91" s="188">
        <v>9.4093121588230133E-2</v>
      </c>
      <c r="L91" s="188">
        <v>0.10718882828950882</v>
      </c>
      <c r="M91" s="188">
        <v>1.4179629273712635E-2</v>
      </c>
      <c r="N91" s="188">
        <v>0</v>
      </c>
      <c r="O91" s="44"/>
      <c r="P91" s="44"/>
    </row>
    <row r="92" spans="2:16">
      <c r="B92" s="186">
        <v>88</v>
      </c>
      <c r="C92" s="186">
        <v>1632335</v>
      </c>
      <c r="D92" s="186">
        <v>197000</v>
      </c>
      <c r="E92" s="187">
        <v>1.8050000071525574E-2</v>
      </c>
      <c r="F92" s="186">
        <v>201871</v>
      </c>
      <c r="G92" s="186">
        <v>60256</v>
      </c>
      <c r="H92" s="188">
        <v>0.29848763346672058</v>
      </c>
      <c r="I92" s="188">
        <v>4.7768130898475647E-2</v>
      </c>
      <c r="J92" s="188">
        <v>3.2773405313491821E-2</v>
      </c>
      <c r="K92" s="188">
        <v>9.2777073383331299E-2</v>
      </c>
      <c r="L92" s="188">
        <v>0.1105111688375473</v>
      </c>
      <c r="M92" s="188">
        <v>1.4657875522971153E-2</v>
      </c>
      <c r="N92" s="188">
        <v>0</v>
      </c>
      <c r="O92" s="44"/>
      <c r="P92" s="44"/>
    </row>
    <row r="93" spans="2:16">
      <c r="B93" s="186">
        <v>89</v>
      </c>
      <c r="C93" s="186">
        <v>1633393</v>
      </c>
      <c r="D93" s="186">
        <v>207000</v>
      </c>
      <c r="E93" s="187">
        <v>1.9050000235438347E-2</v>
      </c>
      <c r="F93" s="186">
        <v>212944</v>
      </c>
      <c r="G93" s="186">
        <v>64785</v>
      </c>
      <c r="H93" s="188">
        <v>0.30423492193222046</v>
      </c>
      <c r="I93" s="188">
        <v>4.7697987407445908E-2</v>
      </c>
      <c r="J93" s="188">
        <v>3.2919451594352722E-2</v>
      </c>
      <c r="K93" s="188">
        <v>9.234822541475296E-2</v>
      </c>
      <c r="L93" s="188">
        <v>0.11661751568317413</v>
      </c>
      <c r="M93" s="188">
        <v>1.4651739038527012E-2</v>
      </c>
      <c r="N93" s="188">
        <v>0</v>
      </c>
      <c r="O93" s="44"/>
      <c r="P93" s="44"/>
    </row>
    <row r="94" spans="2:16">
      <c r="B94" s="186">
        <v>90</v>
      </c>
      <c r="C94" s="186">
        <v>1632309</v>
      </c>
      <c r="D94" s="186">
        <v>219000</v>
      </c>
      <c r="E94" s="187">
        <v>2.0109999924898148E-2</v>
      </c>
      <c r="F94" s="186">
        <v>224909</v>
      </c>
      <c r="G94" s="186">
        <v>67394</v>
      </c>
      <c r="H94" s="188">
        <v>0.29965007305145264</v>
      </c>
      <c r="I94" s="188">
        <v>4.7001231461763382E-2</v>
      </c>
      <c r="J94" s="188">
        <v>3.3715859055519104E-2</v>
      </c>
      <c r="K94" s="188">
        <v>8.5892513394355774E-2</v>
      </c>
      <c r="L94" s="188">
        <v>0.11634038388729095</v>
      </c>
      <c r="M94" s="188">
        <v>1.6700087115168571E-2</v>
      </c>
      <c r="N94" s="188">
        <v>0</v>
      </c>
      <c r="O94" s="44"/>
      <c r="P94" s="44"/>
    </row>
    <row r="95" spans="2:16">
      <c r="B95" s="186">
        <v>91</v>
      </c>
      <c r="C95" s="186">
        <v>1633870</v>
      </c>
      <c r="D95" s="186">
        <v>232000</v>
      </c>
      <c r="E95" s="187">
        <v>2.1409999579191208E-2</v>
      </c>
      <c r="F95" s="186">
        <v>239255</v>
      </c>
      <c r="G95" s="186">
        <v>71974</v>
      </c>
      <c r="H95" s="188">
        <v>0.30082547664642334</v>
      </c>
      <c r="I95" s="188">
        <v>4.6933189034461975E-2</v>
      </c>
      <c r="J95" s="188">
        <v>3.4716099500656128E-2</v>
      </c>
      <c r="K95" s="188">
        <v>8.343399316072464E-2</v>
      </c>
      <c r="L95" s="188">
        <v>0.11906961351633072</v>
      </c>
      <c r="M95" s="188">
        <v>1.6668409109115601E-2</v>
      </c>
      <c r="N95" s="188">
        <v>0</v>
      </c>
      <c r="O95" s="44"/>
      <c r="P95" s="44"/>
    </row>
    <row r="96" spans="2:16">
      <c r="B96" s="186">
        <v>92</v>
      </c>
      <c r="C96" s="186">
        <v>1632740</v>
      </c>
      <c r="D96" s="186">
        <v>248000</v>
      </c>
      <c r="E96" s="187">
        <v>2.3050000891089439E-2</v>
      </c>
      <c r="F96" s="186">
        <v>257824</v>
      </c>
      <c r="G96" s="186">
        <v>76221</v>
      </c>
      <c r="H96" s="188">
        <v>0.29563191533088684</v>
      </c>
      <c r="I96" s="188">
        <v>4.5988734811544418E-2</v>
      </c>
      <c r="J96" s="188">
        <v>3.4601122140884399E-2</v>
      </c>
      <c r="K96" s="188">
        <v>7.8053243458271027E-2</v>
      </c>
      <c r="L96" s="188">
        <v>0.11938764154911041</v>
      </c>
      <c r="M96" s="188">
        <v>1.7597274854779243E-2</v>
      </c>
      <c r="N96" s="188">
        <v>0</v>
      </c>
      <c r="O96" s="44"/>
      <c r="P96" s="44"/>
    </row>
    <row r="97" spans="2:16">
      <c r="B97" s="186">
        <v>93</v>
      </c>
      <c r="C97" s="186">
        <v>1633458</v>
      </c>
      <c r="D97" s="186">
        <v>268000</v>
      </c>
      <c r="E97" s="187">
        <v>2.5040000677108765E-2</v>
      </c>
      <c r="F97" s="186">
        <v>279906</v>
      </c>
      <c r="G97" s="186">
        <v>82016</v>
      </c>
      <c r="H97" s="188">
        <v>0.29301264882087708</v>
      </c>
      <c r="I97" s="188">
        <v>4.2993005365133286E-2</v>
      </c>
      <c r="J97" s="188">
        <v>3.4815259277820587E-2</v>
      </c>
      <c r="K97" s="188">
        <v>7.576829195022583E-2</v>
      </c>
      <c r="L97" s="188">
        <v>0.1211513876914978</v>
      </c>
      <c r="M97" s="188">
        <v>1.8281137570738792E-2</v>
      </c>
      <c r="N97" s="188">
        <v>0</v>
      </c>
      <c r="O97" s="44"/>
      <c r="P97" s="44"/>
    </row>
    <row r="98" spans="2:16">
      <c r="B98" s="186">
        <v>94</v>
      </c>
      <c r="C98" s="186">
        <v>1632218</v>
      </c>
      <c r="D98" s="186">
        <v>293000</v>
      </c>
      <c r="E98" s="187">
        <v>2.7410000562667847E-2</v>
      </c>
      <c r="F98" s="186">
        <v>306658</v>
      </c>
      <c r="G98" s="186">
        <v>90486</v>
      </c>
      <c r="H98" s="188">
        <v>0.29507139325141907</v>
      </c>
      <c r="I98" s="188">
        <v>3.8313038647174835E-2</v>
      </c>
      <c r="J98" s="188">
        <v>3.5104252398014069E-2</v>
      </c>
      <c r="K98" s="188">
        <v>7.5044512748718262E-2</v>
      </c>
      <c r="L98" s="188">
        <v>0.12816883623600006</v>
      </c>
      <c r="M98" s="188">
        <v>1.8440738320350647E-2</v>
      </c>
      <c r="N98" s="188">
        <v>0</v>
      </c>
      <c r="O98" s="44"/>
      <c r="P98" s="44"/>
    </row>
    <row r="99" spans="2:16">
      <c r="B99" s="186">
        <v>95</v>
      </c>
      <c r="C99" s="186">
        <v>1633090</v>
      </c>
      <c r="D99" s="186">
        <v>322000</v>
      </c>
      <c r="E99" s="187">
        <v>3.0500000342726707E-2</v>
      </c>
      <c r="F99" s="186">
        <v>340974</v>
      </c>
      <c r="G99" s="186">
        <v>100894</v>
      </c>
      <c r="H99" s="188">
        <v>0.29589939117431641</v>
      </c>
      <c r="I99" s="188">
        <v>3.6721274256706238E-2</v>
      </c>
      <c r="J99" s="188">
        <v>3.57065349817276E-2</v>
      </c>
      <c r="K99" s="188">
        <v>7.1160852909088135E-2</v>
      </c>
      <c r="L99" s="188">
        <v>0.13397209346294403</v>
      </c>
      <c r="M99" s="188">
        <v>1.8344506621360779E-2</v>
      </c>
      <c r="N99" s="188">
        <v>0</v>
      </c>
      <c r="O99" s="44"/>
      <c r="P99" s="44"/>
    </row>
    <row r="100" spans="2:16">
      <c r="B100" s="186">
        <v>96</v>
      </c>
      <c r="C100" s="186">
        <v>1633497</v>
      </c>
      <c r="D100" s="186">
        <v>361000</v>
      </c>
      <c r="E100" s="187">
        <v>3.4940000623464584E-2</v>
      </c>
      <c r="F100" s="186">
        <v>390576</v>
      </c>
      <c r="G100" s="186">
        <v>114006</v>
      </c>
      <c r="H100" s="188">
        <v>0.29189196228981018</v>
      </c>
      <c r="I100" s="188">
        <v>3.4917660057544708E-2</v>
      </c>
      <c r="J100" s="188">
        <v>3.7513826042413712E-2</v>
      </c>
      <c r="K100" s="188">
        <v>6.0922842472791672E-2</v>
      </c>
      <c r="L100" s="188">
        <v>0.13897936046123505</v>
      </c>
      <c r="M100" s="188">
        <v>1.9558293744921684E-2</v>
      </c>
      <c r="N100" s="188">
        <v>0</v>
      </c>
      <c r="O100" s="44"/>
      <c r="P100" s="44"/>
    </row>
    <row r="101" spans="2:16">
      <c r="B101" s="186">
        <v>97</v>
      </c>
      <c r="C101" s="186">
        <v>1633079</v>
      </c>
      <c r="D101" s="186">
        <v>423000</v>
      </c>
      <c r="E101" s="187">
        <v>4.2139999568462372E-2</v>
      </c>
      <c r="F101" s="186">
        <v>471213</v>
      </c>
      <c r="G101" s="186">
        <v>138550</v>
      </c>
      <c r="H101" s="188">
        <v>0.29402840137481689</v>
      </c>
      <c r="I101" s="188">
        <v>3.4298714250326157E-2</v>
      </c>
      <c r="J101" s="188">
        <v>3.6711636930704117E-2</v>
      </c>
      <c r="K101" s="188">
        <v>5.4707743227481842E-2</v>
      </c>
      <c r="L101" s="188">
        <v>0.1479819118976593</v>
      </c>
      <c r="M101" s="188">
        <v>2.0328385755419731E-2</v>
      </c>
      <c r="N101" s="188">
        <v>0</v>
      </c>
      <c r="O101" s="44"/>
      <c r="P101" s="44"/>
    </row>
    <row r="102" spans="2:16">
      <c r="B102" s="186">
        <v>98</v>
      </c>
      <c r="C102" s="186">
        <v>1633638</v>
      </c>
      <c r="D102" s="186">
        <v>532000</v>
      </c>
      <c r="E102" s="187">
        <v>5.7489998638629913E-2</v>
      </c>
      <c r="F102" s="186">
        <v>642556</v>
      </c>
      <c r="G102" s="186">
        <v>192258</v>
      </c>
      <c r="H102" s="188">
        <v>0.29920816421508789</v>
      </c>
      <c r="I102" s="188">
        <v>3.2915420830249786E-2</v>
      </c>
      <c r="J102" s="188">
        <v>3.7755463272333145E-2</v>
      </c>
      <c r="K102" s="188">
        <v>4.6606056392192841E-2</v>
      </c>
      <c r="L102" s="188">
        <v>0.16180846095085144</v>
      </c>
      <c r="M102" s="188">
        <v>2.0125871524214745E-2</v>
      </c>
      <c r="N102" s="188">
        <v>0</v>
      </c>
      <c r="O102" s="44"/>
      <c r="P102" s="44"/>
    </row>
    <row r="103" spans="2:16">
      <c r="B103" s="189">
        <v>99</v>
      </c>
      <c r="C103" s="186">
        <v>163203</v>
      </c>
      <c r="D103" s="186">
        <v>803000</v>
      </c>
      <c r="E103" s="187">
        <v>7.4100000783801079E-3</v>
      </c>
      <c r="F103" s="186">
        <v>828698</v>
      </c>
      <c r="G103" s="186">
        <v>243981</v>
      </c>
      <c r="H103" s="188">
        <v>0.29441484808921814</v>
      </c>
      <c r="I103" s="188">
        <v>2.6770910248160362E-2</v>
      </c>
      <c r="J103" s="188">
        <v>3.7055719643831253E-2</v>
      </c>
      <c r="K103" s="188">
        <v>3.9908386766910553E-2</v>
      </c>
      <c r="L103" s="188">
        <v>0.17256708443164825</v>
      </c>
      <c r="M103" s="188">
        <v>1.8112750723958015E-2</v>
      </c>
      <c r="N103" s="188">
        <v>0</v>
      </c>
      <c r="O103" s="44"/>
      <c r="P103" s="44"/>
    </row>
    <row r="104" spans="2:16">
      <c r="B104" s="189">
        <v>99.099998474121094</v>
      </c>
      <c r="C104" s="186">
        <v>163420</v>
      </c>
      <c r="D104" s="186">
        <v>856000</v>
      </c>
      <c r="E104" s="187">
        <v>7.9600000753998756E-3</v>
      </c>
      <c r="F104" s="186">
        <v>888934</v>
      </c>
      <c r="G104" s="186">
        <v>270075</v>
      </c>
      <c r="H104" s="188">
        <v>0.3038189709186554</v>
      </c>
      <c r="I104" s="188">
        <v>2.633378840982914E-2</v>
      </c>
      <c r="J104" s="188">
        <v>3.6546021699905396E-2</v>
      </c>
      <c r="K104" s="188">
        <v>4.0125589817762375E-2</v>
      </c>
      <c r="L104" s="188">
        <v>0.1818380206823349</v>
      </c>
      <c r="M104" s="188">
        <v>1.8969912081956863E-2</v>
      </c>
      <c r="N104" s="188">
        <v>5.6247145039378665E-6</v>
      </c>
      <c r="O104" s="44"/>
      <c r="P104" s="44"/>
    </row>
    <row r="105" spans="2:16">
      <c r="B105" s="189">
        <v>99.199996948242188</v>
      </c>
      <c r="C105" s="186">
        <v>163197</v>
      </c>
      <c r="D105" s="186">
        <v>924000</v>
      </c>
      <c r="E105" s="187">
        <v>8.6099999025464058E-3</v>
      </c>
      <c r="F105" s="186">
        <v>963477</v>
      </c>
      <c r="G105" s="186">
        <v>294550</v>
      </c>
      <c r="H105" s="188">
        <v>0.3057156503200531</v>
      </c>
      <c r="I105" s="188">
        <v>2.5844935327768326E-2</v>
      </c>
      <c r="J105" s="188">
        <v>3.8281142711639404E-2</v>
      </c>
      <c r="K105" s="188">
        <v>3.6989986896514893E-2</v>
      </c>
      <c r="L105" s="188">
        <v>0.18375840783119202</v>
      </c>
      <c r="M105" s="188">
        <v>2.0812120288610458E-2</v>
      </c>
      <c r="N105" s="188">
        <v>2.9061409804853611E-5</v>
      </c>
      <c r="O105" s="44"/>
      <c r="P105" s="44"/>
    </row>
    <row r="106" spans="2:16">
      <c r="B106" s="189">
        <v>99.300003051757813</v>
      </c>
      <c r="C106" s="186">
        <v>163281</v>
      </c>
      <c r="D106" s="186">
        <v>1000000</v>
      </c>
      <c r="E106" s="187">
        <v>9.4400001689791679E-3</v>
      </c>
      <c r="F106" s="186">
        <v>1056054</v>
      </c>
      <c r="G106" s="186">
        <v>325494</v>
      </c>
      <c r="H106" s="188">
        <v>0.30821719765663147</v>
      </c>
      <c r="I106" s="188">
        <v>2.5592440739274025E-2</v>
      </c>
      <c r="J106" s="188">
        <v>4.0776323527097702E-2</v>
      </c>
      <c r="K106" s="188">
        <v>3.3881790935993195E-2</v>
      </c>
      <c r="L106" s="188">
        <v>0.1860700249671936</v>
      </c>
      <c r="M106" s="188">
        <v>2.148185670375824E-2</v>
      </c>
      <c r="N106" s="188">
        <v>4.1569845052435994E-4</v>
      </c>
      <c r="O106" s="44"/>
      <c r="P106" s="44"/>
    </row>
    <row r="107" spans="2:16">
      <c r="B107" s="189">
        <v>99.400001525878906</v>
      </c>
      <c r="C107" s="186">
        <v>163427</v>
      </c>
      <c r="D107" s="186">
        <v>1110000</v>
      </c>
      <c r="E107" s="187">
        <v>1.0520000010728836E-2</v>
      </c>
      <c r="F107" s="186">
        <v>1175242</v>
      </c>
      <c r="G107" s="186">
        <v>359909</v>
      </c>
      <c r="H107" s="188">
        <v>0.30624246597290039</v>
      </c>
      <c r="I107" s="188">
        <v>2.5417743250727654E-2</v>
      </c>
      <c r="J107" s="188">
        <v>4.163738340139389E-2</v>
      </c>
      <c r="K107" s="188">
        <v>3.1415656208992004E-2</v>
      </c>
      <c r="L107" s="188">
        <v>0.1866270899772644</v>
      </c>
      <c r="M107" s="188">
        <v>2.0719988271594048E-2</v>
      </c>
      <c r="N107" s="188">
        <v>4.2459339601919055E-4</v>
      </c>
      <c r="O107" s="44"/>
      <c r="P107" s="44"/>
    </row>
    <row r="108" spans="2:16">
      <c r="B108" s="189">
        <v>99.5</v>
      </c>
      <c r="C108" s="186">
        <v>163329</v>
      </c>
      <c r="D108" s="186">
        <v>1250000</v>
      </c>
      <c r="E108" s="187">
        <v>1.193000003695488E-2</v>
      </c>
      <c r="F108" s="186">
        <v>1333552</v>
      </c>
      <c r="G108" s="186">
        <v>426004</v>
      </c>
      <c r="H108" s="188">
        <v>0.31945061683654785</v>
      </c>
      <c r="I108" s="188">
        <v>2.544257789850235E-2</v>
      </c>
      <c r="J108" s="188">
        <v>3.9115086197853088E-2</v>
      </c>
      <c r="K108" s="188">
        <v>3.1498584896326065E-2</v>
      </c>
      <c r="L108" s="188">
        <v>0.20163743197917938</v>
      </c>
      <c r="M108" s="188">
        <v>2.0706353709101677E-2</v>
      </c>
      <c r="N108" s="188">
        <v>1.0498277842998505E-3</v>
      </c>
      <c r="O108" s="44"/>
      <c r="P108" s="44"/>
    </row>
    <row r="109" spans="2:16">
      <c r="B109" s="189">
        <v>99.599998474121094</v>
      </c>
      <c r="C109" s="186">
        <v>163278</v>
      </c>
      <c r="D109" s="186">
        <v>1430000</v>
      </c>
      <c r="E109" s="187">
        <v>1.3919999822974205E-2</v>
      </c>
      <c r="F109" s="186">
        <v>1556837</v>
      </c>
      <c r="G109" s="186">
        <v>499282</v>
      </c>
      <c r="H109" s="188">
        <v>0.32070282101631165</v>
      </c>
      <c r="I109" s="188">
        <v>2.5419488549232483E-2</v>
      </c>
      <c r="J109" s="188">
        <v>4.2239490896463394E-2</v>
      </c>
      <c r="K109" s="188">
        <v>2.6662392541766167E-2</v>
      </c>
      <c r="L109" s="188">
        <v>0.20241490006446838</v>
      </c>
      <c r="M109" s="188">
        <v>2.2511670365929604E-2</v>
      </c>
      <c r="N109" s="188">
        <v>1.4542306307703257E-3</v>
      </c>
      <c r="O109" s="44"/>
      <c r="P109" s="44"/>
    </row>
    <row r="110" spans="2:16">
      <c r="B110" s="189">
        <v>99.699996948242188</v>
      </c>
      <c r="C110" s="186">
        <v>163338</v>
      </c>
      <c r="D110" s="186">
        <v>1710000</v>
      </c>
      <c r="E110" s="187">
        <v>1.728999987244606E-2</v>
      </c>
      <c r="F110" s="186">
        <v>1932572</v>
      </c>
      <c r="G110" s="186">
        <v>620756</v>
      </c>
      <c r="H110" s="188">
        <v>0.32120716571807861</v>
      </c>
      <c r="I110" s="188">
        <v>2.5326352566480637E-2</v>
      </c>
      <c r="J110" s="188">
        <v>4.3142504990100861E-2</v>
      </c>
      <c r="K110" s="188">
        <v>2.3316077888011932E-2</v>
      </c>
      <c r="L110" s="188">
        <v>0.20486170053482056</v>
      </c>
      <c r="M110" s="188">
        <v>2.2694626823067665E-2</v>
      </c>
      <c r="N110" s="188">
        <v>1.8653897568583488E-3</v>
      </c>
      <c r="O110" s="44"/>
      <c r="P110" s="44"/>
    </row>
    <row r="111" spans="2:16">
      <c r="B111" s="189">
        <v>99.800003051757813</v>
      </c>
      <c r="C111" s="186">
        <v>163294</v>
      </c>
      <c r="D111" s="186">
        <v>2230000</v>
      </c>
      <c r="E111" s="187">
        <v>2.4399999529123306E-2</v>
      </c>
      <c r="F111" s="186">
        <v>2728761</v>
      </c>
      <c r="G111" s="186">
        <v>904181</v>
      </c>
      <c r="H111" s="188">
        <v>0.33135220408439636</v>
      </c>
      <c r="I111" s="188">
        <v>2.5481527671217918E-2</v>
      </c>
      <c r="J111" s="188">
        <v>4.202786460518837E-2</v>
      </c>
      <c r="K111" s="188">
        <v>2.0369317382574081E-2</v>
      </c>
      <c r="L111" s="188">
        <v>0.21684896945953369</v>
      </c>
      <c r="M111" s="188">
        <v>2.2705908864736557E-2</v>
      </c>
      <c r="N111" s="188">
        <v>3.9189946837723255E-3</v>
      </c>
      <c r="O111" s="44"/>
      <c r="P111" s="44"/>
    </row>
    <row r="112" spans="2:16">
      <c r="B112" s="190">
        <v>99.900001525878906</v>
      </c>
      <c r="C112" s="186">
        <v>16333</v>
      </c>
      <c r="D112" s="186">
        <v>3470000</v>
      </c>
      <c r="E112" s="187">
        <v>3.2200000714510679E-3</v>
      </c>
      <c r="F112" s="186">
        <v>3595457</v>
      </c>
      <c r="G112" s="186">
        <v>1229958</v>
      </c>
      <c r="H112" s="188">
        <v>0.34208670258522034</v>
      </c>
      <c r="I112" s="188">
        <v>2.5466024875640869E-2</v>
      </c>
      <c r="J112" s="188">
        <v>4.4878020882606506E-2</v>
      </c>
      <c r="K112" s="188">
        <v>1.7350506037473679E-2</v>
      </c>
      <c r="L112" s="188">
        <v>0.22201655805110931</v>
      </c>
      <c r="M112" s="188">
        <v>2.5664053857326508E-2</v>
      </c>
      <c r="N112" s="188">
        <v>6.7115249112248421E-3</v>
      </c>
      <c r="O112" s="44"/>
      <c r="P112" s="44"/>
    </row>
    <row r="113" spans="2:16">
      <c r="B113" s="190">
        <v>99.910003662109375</v>
      </c>
      <c r="C113" s="186">
        <v>16333</v>
      </c>
      <c r="D113" s="186">
        <v>3720000</v>
      </c>
      <c r="E113" s="187">
        <v>3.4600000362843275E-3</v>
      </c>
      <c r="F113" s="186">
        <v>3868964</v>
      </c>
      <c r="G113" s="186">
        <v>1309156</v>
      </c>
      <c r="H113" s="188">
        <v>0.33837378025054932</v>
      </c>
      <c r="I113" s="188">
        <v>2.5452809408307076E-2</v>
      </c>
      <c r="J113" s="188">
        <v>4.4868860393762589E-2</v>
      </c>
      <c r="K113" s="188">
        <v>1.6213126480579376E-2</v>
      </c>
      <c r="L113" s="188">
        <v>0.21920208632946014</v>
      </c>
      <c r="M113" s="188">
        <v>2.5692924857139587E-2</v>
      </c>
      <c r="N113" s="188">
        <v>6.9442363455891609E-3</v>
      </c>
      <c r="O113" s="44"/>
      <c r="P113" s="44"/>
    </row>
    <row r="114" spans="2:16">
      <c r="B114" s="190">
        <v>99.919998168945313</v>
      </c>
      <c r="C114" s="186">
        <v>16331</v>
      </c>
      <c r="D114" s="186">
        <v>4030000</v>
      </c>
      <c r="E114" s="187">
        <v>3.7700000684708357E-3</v>
      </c>
      <c r="F114" s="186">
        <v>4216514</v>
      </c>
      <c r="G114" s="186">
        <v>1433204</v>
      </c>
      <c r="H114" s="188">
        <v>0.33990257978439331</v>
      </c>
      <c r="I114" s="188">
        <v>2.5314750149846077E-2</v>
      </c>
      <c r="J114" s="188">
        <v>4.5077282935380936E-2</v>
      </c>
      <c r="K114" s="188">
        <v>1.575116254389286E-2</v>
      </c>
      <c r="L114" s="188">
        <v>0.21996155381202698</v>
      </c>
      <c r="M114" s="188">
        <v>2.6126084849238396E-2</v>
      </c>
      <c r="N114" s="188">
        <v>7.6717403717339039E-3</v>
      </c>
      <c r="O114" s="44"/>
      <c r="P114" s="44"/>
    </row>
    <row r="115" spans="2:16">
      <c r="B115" s="190">
        <v>99.930000305175781</v>
      </c>
      <c r="C115" s="186">
        <v>16335</v>
      </c>
      <c r="D115" s="186">
        <v>4420000</v>
      </c>
      <c r="E115" s="187">
        <v>4.1499999351799488E-3</v>
      </c>
      <c r="F115" s="186">
        <v>4637291</v>
      </c>
      <c r="G115" s="186">
        <v>1550586</v>
      </c>
      <c r="H115" s="188">
        <v>0.33437323570251465</v>
      </c>
      <c r="I115" s="188">
        <v>2.5438128039240837E-2</v>
      </c>
      <c r="J115" s="188">
        <v>4.5723032206296921E-2</v>
      </c>
      <c r="K115" s="188">
        <v>1.5363279730081558E-2</v>
      </c>
      <c r="L115" s="188">
        <v>0.21389405429363251</v>
      </c>
      <c r="M115" s="188">
        <v>2.5362221524119377E-2</v>
      </c>
      <c r="N115" s="188">
        <v>8.5927322506904602E-3</v>
      </c>
      <c r="O115" s="44"/>
      <c r="P115" s="44"/>
    </row>
    <row r="116" spans="2:16">
      <c r="B116" s="190">
        <v>99.94000244140625</v>
      </c>
      <c r="C116" s="186">
        <v>16322</v>
      </c>
      <c r="D116" s="186">
        <v>4870000</v>
      </c>
      <c r="E116" s="187">
        <v>4.6199997887015343E-3</v>
      </c>
      <c r="F116" s="186">
        <v>5163179</v>
      </c>
      <c r="G116" s="186">
        <v>1882929</v>
      </c>
      <c r="H116" s="188">
        <v>0.36468404531478882</v>
      </c>
      <c r="I116" s="188">
        <v>2.5452148169279099E-2</v>
      </c>
      <c r="J116" s="188">
        <v>4.2905349284410477E-2</v>
      </c>
      <c r="K116" s="188">
        <v>1.5654115006327629E-2</v>
      </c>
      <c r="L116" s="188">
        <v>0.24641814827919006</v>
      </c>
      <c r="M116" s="188">
        <v>2.5586174800992012E-2</v>
      </c>
      <c r="N116" s="188">
        <v>8.668496273458004E-3</v>
      </c>
      <c r="O116" s="44"/>
      <c r="P116" s="44"/>
    </row>
    <row r="117" spans="2:16">
      <c r="B117" s="190">
        <v>99.949996948242188</v>
      </c>
      <c r="C117" s="186">
        <v>16334</v>
      </c>
      <c r="D117" s="186">
        <v>5500000</v>
      </c>
      <c r="E117" s="187">
        <v>5.2700000815093517E-3</v>
      </c>
      <c r="F117" s="186">
        <v>5895290</v>
      </c>
      <c r="G117" s="186">
        <v>2072181</v>
      </c>
      <c r="H117" s="188">
        <v>0.35149770975112915</v>
      </c>
      <c r="I117" s="188">
        <v>2.5587715208530426E-2</v>
      </c>
      <c r="J117" s="188">
        <v>4.2363140732049942E-2</v>
      </c>
      <c r="K117" s="188">
        <v>1.5168549492955208E-2</v>
      </c>
      <c r="L117" s="188">
        <v>0.23483136296272278</v>
      </c>
      <c r="M117" s="188">
        <v>2.4681737646460533E-2</v>
      </c>
      <c r="N117" s="188">
        <v>8.8650435209274292E-3</v>
      </c>
      <c r="O117" s="44"/>
      <c r="P117" s="44"/>
    </row>
    <row r="118" spans="2:16">
      <c r="B118" s="190">
        <v>99.959999084472656</v>
      </c>
      <c r="C118" s="186">
        <v>16332</v>
      </c>
      <c r="D118" s="186">
        <v>6330000</v>
      </c>
      <c r="E118" s="187">
        <v>6.2000001780688763E-3</v>
      </c>
      <c r="F118" s="186">
        <v>6929577</v>
      </c>
      <c r="G118" s="186">
        <v>2549514</v>
      </c>
      <c r="H118" s="188">
        <v>0.36791768670082092</v>
      </c>
      <c r="I118" s="188">
        <v>2.5702867656946182E-2</v>
      </c>
      <c r="J118" s="188">
        <v>4.4626966118812561E-2</v>
      </c>
      <c r="K118" s="188">
        <v>1.3955974951386452E-2</v>
      </c>
      <c r="L118" s="188">
        <v>0.24859382212162018</v>
      </c>
      <c r="M118" s="188">
        <v>2.5267776101827621E-2</v>
      </c>
      <c r="N118" s="188">
        <v>9.7702937200665474E-3</v>
      </c>
      <c r="O118" s="44"/>
      <c r="P118" s="44"/>
    </row>
    <row r="119" spans="2:16">
      <c r="B119" s="190">
        <v>99.970001220703125</v>
      </c>
      <c r="C119" s="186">
        <v>16333</v>
      </c>
      <c r="D119" s="186">
        <v>7610000</v>
      </c>
      <c r="E119" s="187">
        <v>7.689999882131815E-3</v>
      </c>
      <c r="F119" s="186">
        <v>8602185</v>
      </c>
      <c r="G119" s="186">
        <v>3153892</v>
      </c>
      <c r="H119" s="188">
        <v>0.36663848161697388</v>
      </c>
      <c r="I119" s="188">
        <v>2.5631744414567947E-2</v>
      </c>
      <c r="J119" s="188">
        <v>4.4439524412155151E-2</v>
      </c>
      <c r="K119" s="188">
        <v>1.3296272605657578E-2</v>
      </c>
      <c r="L119" s="188">
        <v>0.24696248769760132</v>
      </c>
      <c r="M119" s="188">
        <v>2.5148959830403328E-2</v>
      </c>
      <c r="N119" s="188">
        <v>1.1159489862620831E-2</v>
      </c>
      <c r="O119" s="44"/>
      <c r="P119" s="44"/>
    </row>
    <row r="120" spans="2:16">
      <c r="B120" s="190">
        <v>99.980003356933594</v>
      </c>
      <c r="C120" s="186">
        <v>16321</v>
      </c>
      <c r="D120" s="186">
        <v>9810000</v>
      </c>
      <c r="E120" s="187">
        <v>1.0759999975562096E-2</v>
      </c>
      <c r="F120" s="186">
        <v>12036892</v>
      </c>
      <c r="G120" s="186">
        <v>4568615</v>
      </c>
      <c r="H120" s="188">
        <v>0.37955105304718018</v>
      </c>
      <c r="I120" s="188">
        <v>2.5728484615683556E-2</v>
      </c>
      <c r="J120" s="188">
        <v>4.8929575830698013E-2</v>
      </c>
      <c r="K120" s="188">
        <v>1.1704101227223873E-2</v>
      </c>
      <c r="L120" s="188">
        <v>0.25205311179161072</v>
      </c>
      <c r="M120" s="188">
        <v>2.8938367962837219E-2</v>
      </c>
      <c r="N120" s="188">
        <v>1.2197418138384819E-2</v>
      </c>
      <c r="O120" s="44"/>
      <c r="P120" s="44"/>
    </row>
    <row r="121" spans="2:16">
      <c r="B121" s="191">
        <v>99.989997863769531</v>
      </c>
      <c r="C121" s="186">
        <v>1621</v>
      </c>
      <c r="D121" s="186">
        <v>15000000</v>
      </c>
      <c r="E121" s="187">
        <v>1.3699999544769526E-3</v>
      </c>
      <c r="F121" s="186">
        <v>15430249</v>
      </c>
      <c r="G121" s="186">
        <v>6187826</v>
      </c>
      <c r="H121" s="188">
        <v>0.40101918578147888</v>
      </c>
      <c r="I121" s="188">
        <v>2.5876445695757866E-2</v>
      </c>
      <c r="J121" s="188">
        <v>5.0499118864536285E-2</v>
      </c>
      <c r="K121" s="188">
        <v>1.1874079704284668E-2</v>
      </c>
      <c r="L121" s="188">
        <v>0.27498078346252441</v>
      </c>
      <c r="M121" s="188">
        <v>2.5414755567908287E-2</v>
      </c>
      <c r="N121" s="188">
        <v>1.2374071404337883E-2</v>
      </c>
      <c r="O121" s="44"/>
      <c r="P121" s="44"/>
    </row>
    <row r="122" spans="2:16">
      <c r="B122" s="191">
        <v>99.990997314453125</v>
      </c>
      <c r="C122" s="186">
        <v>1636</v>
      </c>
      <c r="D122" s="186">
        <v>16000000</v>
      </c>
      <c r="E122" s="187">
        <v>1.4799999771639705E-3</v>
      </c>
      <c r="F122" s="186">
        <v>16557159</v>
      </c>
      <c r="G122" s="186">
        <v>6788237</v>
      </c>
      <c r="H122" s="188">
        <v>0.40998801589012146</v>
      </c>
      <c r="I122" s="188">
        <v>2.5580596178770065E-2</v>
      </c>
      <c r="J122" s="188">
        <v>5.2332587540149689E-2</v>
      </c>
      <c r="K122" s="188">
        <v>1.1635691858828068E-2</v>
      </c>
      <c r="L122" s="188">
        <v>0.28019982576370239</v>
      </c>
      <c r="M122" s="188">
        <v>2.7964096516370773E-2</v>
      </c>
      <c r="N122" s="188">
        <v>1.2275294400751591E-2</v>
      </c>
      <c r="O122" s="44"/>
      <c r="P122" s="44"/>
    </row>
    <row r="123" spans="2:16">
      <c r="B123" s="191">
        <v>99.991996765136719</v>
      </c>
      <c r="C123" s="186">
        <v>1634</v>
      </c>
      <c r="D123" s="186">
        <v>17200000</v>
      </c>
      <c r="E123" s="187">
        <v>1.5999999595806003E-3</v>
      </c>
      <c r="F123" s="186">
        <v>17906032</v>
      </c>
      <c r="G123" s="186">
        <v>6897951</v>
      </c>
      <c r="H123" s="188">
        <v>0.38523057103157043</v>
      </c>
      <c r="I123" s="188">
        <v>2.5654483586549759E-2</v>
      </c>
      <c r="J123" s="188">
        <v>5.3906973451375961E-2</v>
      </c>
      <c r="K123" s="188">
        <v>9.1460803523659706E-3</v>
      </c>
      <c r="L123" s="188">
        <v>0.25387907028198242</v>
      </c>
      <c r="M123" s="188">
        <v>3.0075730755925179E-2</v>
      </c>
      <c r="N123" s="188">
        <v>1.2568278238177299E-2</v>
      </c>
      <c r="O123" s="44"/>
      <c r="P123" s="44"/>
    </row>
    <row r="124" spans="2:16">
      <c r="B124" s="191">
        <v>99.992996215820313</v>
      </c>
      <c r="C124" s="186">
        <v>1646</v>
      </c>
      <c r="D124" s="186">
        <v>18700000</v>
      </c>
      <c r="E124" s="187">
        <v>1.7600000137463212E-3</v>
      </c>
      <c r="F124" s="186">
        <v>19581278</v>
      </c>
      <c r="G124" s="186">
        <v>7815128</v>
      </c>
      <c r="H124" s="188">
        <v>0.39911225438117981</v>
      </c>
      <c r="I124" s="188">
        <v>2.5874357670545578E-2</v>
      </c>
      <c r="J124" s="188">
        <v>5.4898153990507126E-2</v>
      </c>
      <c r="K124" s="188">
        <v>9.8345978185534477E-3</v>
      </c>
      <c r="L124" s="188">
        <v>0.26642963290214539</v>
      </c>
      <c r="M124" s="188">
        <v>2.9232975095510483E-2</v>
      </c>
      <c r="N124" s="188">
        <v>1.2842522002756596E-2</v>
      </c>
      <c r="O124" s="44"/>
      <c r="P124" s="44"/>
    </row>
    <row r="125" spans="2:16">
      <c r="B125" s="191">
        <v>99.994003295898438</v>
      </c>
      <c r="C125" s="186">
        <v>1633</v>
      </c>
      <c r="D125" s="186">
        <v>20600000</v>
      </c>
      <c r="E125" s="187">
        <v>1.9499999471008778E-3</v>
      </c>
      <c r="F125" s="186">
        <v>21821144</v>
      </c>
      <c r="G125" s="186">
        <v>8312561</v>
      </c>
      <c r="H125" s="188">
        <v>0.38094064593315125</v>
      </c>
      <c r="I125" s="188">
        <v>2.5939382612705231E-2</v>
      </c>
      <c r="J125" s="188">
        <v>5.3117699921131134E-2</v>
      </c>
      <c r="K125" s="188">
        <v>9.280952624976635E-3</v>
      </c>
      <c r="L125" s="188">
        <v>0.25492209196090698</v>
      </c>
      <c r="M125" s="188">
        <v>2.518850564956665E-2</v>
      </c>
      <c r="N125" s="188">
        <v>1.2492012232542038E-2</v>
      </c>
      <c r="O125" s="44"/>
      <c r="P125" s="44"/>
    </row>
    <row r="126" spans="2:16">
      <c r="B126" s="191">
        <v>99.995002746582031</v>
      </c>
      <c r="C126" s="186">
        <v>1636</v>
      </c>
      <c r="D126" s="186">
        <v>23300000</v>
      </c>
      <c r="E126" s="187">
        <v>2.2400000598281622E-3</v>
      </c>
      <c r="F126" s="186">
        <v>24991752</v>
      </c>
      <c r="G126" s="186">
        <v>9991089</v>
      </c>
      <c r="H126" s="188">
        <v>0.39977544546127319</v>
      </c>
      <c r="I126" s="188">
        <v>2.567623183131218E-2</v>
      </c>
      <c r="J126" s="188">
        <v>5.3347881883382797E-2</v>
      </c>
      <c r="K126" s="188">
        <v>1.0530154220759869E-2</v>
      </c>
      <c r="L126" s="188">
        <v>0.27107724547386169</v>
      </c>
      <c r="M126" s="188">
        <v>2.7521919459104538E-2</v>
      </c>
      <c r="N126" s="188">
        <v>1.162207406014204E-2</v>
      </c>
      <c r="O126" s="44"/>
      <c r="P126" s="44"/>
    </row>
    <row r="127" spans="2:16">
      <c r="B127" s="191">
        <v>99.996002197265625</v>
      </c>
      <c r="C127" s="186">
        <v>1628</v>
      </c>
      <c r="D127" s="186">
        <v>26900000</v>
      </c>
      <c r="E127" s="187">
        <v>2.6400000788271427E-3</v>
      </c>
      <c r="F127" s="186">
        <v>29592760</v>
      </c>
      <c r="G127" s="186">
        <v>11474878</v>
      </c>
      <c r="H127" s="188">
        <v>0.38775965571403503</v>
      </c>
      <c r="I127" s="188">
        <v>2.5456665083765984E-2</v>
      </c>
      <c r="J127" s="188">
        <v>5.6510306894779205E-2</v>
      </c>
      <c r="K127" s="188">
        <v>1.054859347641468E-2</v>
      </c>
      <c r="L127" s="188">
        <v>0.2501029372215271</v>
      </c>
      <c r="M127" s="188">
        <v>3.3384684473276138E-2</v>
      </c>
      <c r="N127" s="188">
        <v>1.1756489984691143E-2</v>
      </c>
      <c r="O127" s="44"/>
      <c r="P127" s="44"/>
    </row>
    <row r="128" spans="2:16">
      <c r="B128" s="191">
        <v>99.997001647949219</v>
      </c>
      <c r="C128" s="186">
        <v>1625</v>
      </c>
      <c r="D128" s="186">
        <v>32900000</v>
      </c>
      <c r="E128" s="187">
        <v>3.3700000494718552E-3</v>
      </c>
      <c r="F128" s="186">
        <v>37809432</v>
      </c>
      <c r="G128" s="186">
        <v>13708112</v>
      </c>
      <c r="H128" s="188">
        <v>0.36255800724029541</v>
      </c>
      <c r="I128" s="188">
        <v>2.5742175057530403E-2</v>
      </c>
      <c r="J128" s="188">
        <v>5.5784996598958969E-2</v>
      </c>
      <c r="K128" s="188">
        <v>9.116428904235363E-3</v>
      </c>
      <c r="L128" s="188">
        <v>0.22830192744731903</v>
      </c>
      <c r="M128" s="188">
        <v>3.0870154500007629E-2</v>
      </c>
      <c r="N128" s="188">
        <v>1.2742322869598866E-2</v>
      </c>
      <c r="O128" s="44"/>
      <c r="P128" s="44"/>
    </row>
    <row r="129" spans="2:16">
      <c r="B129" s="191">
        <v>99.998001098632813</v>
      </c>
      <c r="C129" s="186">
        <v>1499</v>
      </c>
      <c r="D129" s="186">
        <v>45100000</v>
      </c>
      <c r="E129" s="187">
        <v>4.5300000347197056E-3</v>
      </c>
      <c r="F129" s="186">
        <v>55225332</v>
      </c>
      <c r="G129" s="186">
        <v>22899120</v>
      </c>
      <c r="H129" s="188">
        <v>0.41464883089065552</v>
      </c>
      <c r="I129" s="188">
        <v>2.5871334597468376E-2</v>
      </c>
      <c r="J129" s="188">
        <v>5.8258716017007828E-2</v>
      </c>
      <c r="K129" s="188">
        <v>9.1048618778586388E-3</v>
      </c>
      <c r="L129" s="188">
        <v>0.28160557150840759</v>
      </c>
      <c r="M129" s="188">
        <v>2.7588807046413422E-2</v>
      </c>
      <c r="N129" s="188">
        <v>1.2219500727951527E-2</v>
      </c>
      <c r="O129" s="44"/>
      <c r="P129" s="44"/>
    </row>
    <row r="130" spans="2:16">
      <c r="B130" s="191">
        <v>99.999000549316406</v>
      </c>
      <c r="C130" s="186">
        <v>1379</v>
      </c>
      <c r="D130" s="186">
        <v>68400000</v>
      </c>
      <c r="E130" s="187">
        <v>6.6499998793005943E-3</v>
      </c>
      <c r="F130" s="186">
        <v>88108712</v>
      </c>
      <c r="G130" s="186">
        <v>31733584</v>
      </c>
      <c r="H130" s="188">
        <v>0.36016398668289185</v>
      </c>
      <c r="I130" s="188">
        <v>2.573559433221817E-2</v>
      </c>
      <c r="J130" s="188">
        <v>6.4462669193744659E-2</v>
      </c>
      <c r="K130" s="188">
        <v>5.0739930011332035E-3</v>
      </c>
      <c r="L130" s="188">
        <v>0.21704509854316711</v>
      </c>
      <c r="M130" s="188">
        <v>3.474222868680954E-2</v>
      </c>
      <c r="N130" s="188">
        <v>1.3104402460157871E-2</v>
      </c>
      <c r="O130" s="44"/>
      <c r="P130" s="44"/>
    </row>
    <row r="131" spans="2:16">
      <c r="B131" s="186">
        <v>400</v>
      </c>
      <c r="C131" s="186">
        <v>411</v>
      </c>
      <c r="D131" s="186">
        <v>372000000</v>
      </c>
      <c r="E131" s="187">
        <v>1.2219999916851521E-2</v>
      </c>
      <c r="F131" s="186">
        <v>543279424</v>
      </c>
      <c r="G131" s="186">
        <v>201345760</v>
      </c>
      <c r="H131" s="188">
        <v>0.37061178684234619</v>
      </c>
      <c r="I131" s="188">
        <v>2.4855146184563637E-2</v>
      </c>
      <c r="J131" s="188">
        <v>8.5618533194065094E-2</v>
      </c>
      <c r="K131" s="188">
        <v>3.0487717594951391E-3</v>
      </c>
      <c r="L131" s="188">
        <v>0.15130400657653809</v>
      </c>
      <c r="M131" s="188">
        <v>9.0468861162662506E-2</v>
      </c>
      <c r="N131" s="188">
        <v>1.5316475182771683E-2</v>
      </c>
      <c r="O131" s="44"/>
      <c r="P131" s="44"/>
    </row>
    <row r="132" spans="2:16">
      <c r="B132" s="39"/>
      <c r="C132" s="39"/>
      <c r="D132" s="39"/>
      <c r="E132" s="39"/>
      <c r="F132" s="39"/>
      <c r="G132" s="39"/>
      <c r="H132" s="39"/>
      <c r="I132" s="39"/>
      <c r="J132" s="39"/>
      <c r="K132" s="39"/>
      <c r="L132" s="39"/>
      <c r="M132" s="39"/>
      <c r="N132" s="39"/>
      <c r="O132" s="44"/>
      <c r="P132" s="44"/>
    </row>
    <row r="133" spans="2:16">
      <c r="B133" s="24" t="s">
        <v>224</v>
      </c>
      <c r="C133" s="39"/>
      <c r="D133" s="39"/>
      <c r="E133" s="39"/>
      <c r="F133" s="39"/>
      <c r="G133" s="39"/>
      <c r="H133" s="39"/>
      <c r="I133" s="39"/>
      <c r="J133" s="39"/>
      <c r="K133" s="39"/>
      <c r="L133" s="39"/>
      <c r="M133" s="39"/>
      <c r="N133" s="39"/>
      <c r="O133" s="44"/>
      <c r="P133" s="44"/>
    </row>
    <row r="134" spans="2:16">
      <c r="B134" s="105" t="s">
        <v>225</v>
      </c>
    </row>
    <row r="135" spans="2:16">
      <c r="B135" s="1"/>
    </row>
  </sheetData>
  <mergeCells count="2">
    <mergeCell ref="B2:F2"/>
    <mergeCell ref="G2:N2"/>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1228E-E6EC-4D97-A6BE-F9C5DE6DBC67}">
  <dimension ref="B1:L17"/>
  <sheetViews>
    <sheetView zoomScale="115" zoomScaleNormal="115" workbookViewId="0">
      <selection activeCell="H16" sqref="H16"/>
    </sheetView>
  </sheetViews>
  <sheetFormatPr baseColWidth="10" defaultRowHeight="14.4"/>
  <cols>
    <col min="1" max="1" width="3.6640625" customWidth="1"/>
    <col min="2" max="2" width="24.21875" style="23" customWidth="1"/>
    <col min="3" max="3" width="11.5546875" style="23"/>
    <col min="4" max="4" width="16.21875" style="23" bestFit="1" customWidth="1"/>
    <col min="5" max="5" width="16.21875" style="23" customWidth="1"/>
    <col min="6" max="6" width="13" style="23" bestFit="1" customWidth="1"/>
    <col min="7" max="10" width="11.5546875" style="23"/>
    <col min="11" max="11" width="13" bestFit="1" customWidth="1"/>
    <col min="12" max="12" width="17.88671875" bestFit="1" customWidth="1"/>
  </cols>
  <sheetData>
    <row r="1" spans="2:12" s="86" customFormat="1">
      <c r="B1" s="23"/>
      <c r="C1" s="23"/>
      <c r="D1" s="23"/>
      <c r="E1" s="23"/>
      <c r="F1" s="23"/>
      <c r="G1" s="23"/>
      <c r="H1" s="23"/>
      <c r="I1" s="23"/>
      <c r="J1" s="23"/>
    </row>
    <row r="3" spans="2:12">
      <c r="B3" s="218" t="s">
        <v>13</v>
      </c>
      <c r="C3" s="218" t="s">
        <v>72</v>
      </c>
      <c r="D3" s="218" t="s">
        <v>73</v>
      </c>
      <c r="E3" s="218" t="s">
        <v>167</v>
      </c>
      <c r="F3" s="199" t="s">
        <v>49</v>
      </c>
      <c r="G3" s="199"/>
      <c r="H3" s="199"/>
      <c r="I3" s="199"/>
      <c r="J3" s="199"/>
    </row>
    <row r="4" spans="2:12" ht="43.2">
      <c r="B4" s="218"/>
      <c r="C4" s="218"/>
      <c r="D4" s="218"/>
      <c r="E4" s="218"/>
      <c r="F4" s="40" t="s">
        <v>57</v>
      </c>
      <c r="G4" s="46" t="s">
        <v>74</v>
      </c>
      <c r="H4" s="40" t="s">
        <v>75</v>
      </c>
      <c r="I4" s="46" t="s">
        <v>70</v>
      </c>
      <c r="J4" s="46" t="s">
        <v>76</v>
      </c>
    </row>
    <row r="5" spans="2:12" s="86" customFormat="1">
      <c r="B5" s="225" t="s">
        <v>220</v>
      </c>
      <c r="C5" s="225"/>
      <c r="D5" s="225"/>
      <c r="E5" s="225"/>
      <c r="F5" s="225"/>
      <c r="G5" s="225"/>
      <c r="H5" s="225"/>
      <c r="I5" s="225"/>
      <c r="J5" s="225"/>
    </row>
    <row r="6" spans="2:12">
      <c r="B6" s="161" t="s">
        <v>71</v>
      </c>
      <c r="C6" s="161">
        <v>367</v>
      </c>
      <c r="D6" s="98">
        <v>452300000</v>
      </c>
      <c r="E6" s="175">
        <v>5.6000000000000001E-2</v>
      </c>
      <c r="F6" s="108">
        <v>0.23799999999999999</v>
      </c>
      <c r="G6" s="108">
        <v>0.11</v>
      </c>
      <c r="H6" s="108">
        <v>8.8999999999999996E-2</v>
      </c>
      <c r="I6" s="108">
        <v>6.0000000000000001E-3</v>
      </c>
      <c r="J6" s="108">
        <v>3.4000000000000002E-2</v>
      </c>
      <c r="K6" s="27"/>
      <c r="L6" s="82"/>
    </row>
    <row r="7" spans="2:12">
      <c r="B7" s="161" t="s">
        <v>218</v>
      </c>
      <c r="C7" s="161">
        <v>92</v>
      </c>
      <c r="D7" s="98">
        <v>1093400000</v>
      </c>
      <c r="E7" s="175">
        <v>5.2999999999999999E-2</v>
      </c>
      <c r="F7" s="108">
        <v>0.22</v>
      </c>
      <c r="G7" s="108">
        <v>0.08</v>
      </c>
      <c r="H7" s="108">
        <v>0.10100000000000001</v>
      </c>
      <c r="I7" s="108">
        <v>4.0000000000000001E-3</v>
      </c>
      <c r="J7" s="108">
        <v>3.5999999999999997E-2</v>
      </c>
      <c r="K7" s="27"/>
    </row>
    <row r="8" spans="2:12">
      <c r="B8" s="161" t="s">
        <v>219</v>
      </c>
      <c r="C8" s="161">
        <v>276</v>
      </c>
      <c r="D8" s="98">
        <v>238700000</v>
      </c>
      <c r="E8" s="175">
        <v>6.3E-2</v>
      </c>
      <c r="F8" s="108">
        <v>0.26600000000000001</v>
      </c>
      <c r="G8" s="108">
        <v>0.156</v>
      </c>
      <c r="H8" s="108">
        <v>7.0999999999999994E-2</v>
      </c>
      <c r="I8" s="108">
        <v>8.9999999999999993E-3</v>
      </c>
      <c r="J8" s="108">
        <v>0.03</v>
      </c>
      <c r="K8" s="27"/>
    </row>
    <row r="9" spans="2:12" s="86" customFormat="1">
      <c r="B9" s="225" t="s">
        <v>222</v>
      </c>
      <c r="C9" s="225"/>
      <c r="D9" s="225"/>
      <c r="E9" s="225"/>
      <c r="F9" s="225"/>
      <c r="G9" s="225"/>
      <c r="H9" s="225"/>
      <c r="I9" s="225"/>
      <c r="J9" s="225"/>
      <c r="K9" s="27"/>
    </row>
    <row r="10" spans="2:12" s="86" customFormat="1">
      <c r="B10" s="161" t="s">
        <v>71</v>
      </c>
      <c r="C10" s="161">
        <v>367</v>
      </c>
      <c r="D10" s="98">
        <f>(D6*C6-F16)/C6</f>
        <v>395956675.74931878</v>
      </c>
      <c r="E10" s="175">
        <f>E6*(D10/D6)</f>
        <v>4.9024041215922728E-2</v>
      </c>
      <c r="F10" s="108">
        <f>F6*($D6/$D10)</f>
        <v>0.27186661216479113</v>
      </c>
      <c r="G10" s="108">
        <f>G6*($D6/$D10)</f>
        <v>0.1256526358744833</v>
      </c>
      <c r="H10" s="108">
        <f>H6*($D6/$D10)</f>
        <v>0.10166440538935466</v>
      </c>
      <c r="I10" s="108">
        <f>I6*($D6/$D10)</f>
        <v>6.8537801386081799E-3</v>
      </c>
      <c r="J10" s="108">
        <f>J6*($D6/$D10)</f>
        <v>3.8838087452113021E-2</v>
      </c>
      <c r="K10" s="27"/>
    </row>
    <row r="11" spans="2:12">
      <c r="B11" s="20"/>
    </row>
    <row r="12" spans="2:12">
      <c r="B12" s="20" t="s">
        <v>335</v>
      </c>
    </row>
    <row r="13" spans="2:12">
      <c r="B13" s="20" t="s">
        <v>336</v>
      </c>
    </row>
    <row r="14" spans="2:12">
      <c r="B14" s="20" t="s">
        <v>337</v>
      </c>
      <c r="H14" s="46"/>
    </row>
    <row r="16" spans="2:12">
      <c r="B16" s="176" t="s">
        <v>221</v>
      </c>
      <c r="F16" s="107">
        <f>0.49*42.2*1000000000</f>
        <v>20678000000</v>
      </c>
    </row>
    <row r="17" spans="2:2">
      <c r="B17" s="20" t="s">
        <v>334</v>
      </c>
    </row>
  </sheetData>
  <mergeCells count="7">
    <mergeCell ref="B9:J9"/>
    <mergeCell ref="F3:J3"/>
    <mergeCell ref="B5:J5"/>
    <mergeCell ref="E3:E4"/>
    <mergeCell ref="D3:D4"/>
    <mergeCell ref="C3:C4"/>
    <mergeCell ref="B3:B4"/>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9D255-9FD5-4F0E-A8E9-9FD9F5E5BD9A}">
  <sheetPr codeName="Feuil5"/>
  <dimension ref="B2:P23"/>
  <sheetViews>
    <sheetView topLeftCell="B1" zoomScale="115" zoomScaleNormal="115" workbookViewId="0">
      <selection activeCell="F26" sqref="F26"/>
    </sheetView>
  </sheetViews>
  <sheetFormatPr baseColWidth="10" defaultRowHeight="14.4"/>
  <cols>
    <col min="1" max="1" width="2.77734375" customWidth="1"/>
    <col min="2" max="2" width="15.5546875" customWidth="1"/>
    <col min="9" max="9" width="15.33203125" customWidth="1"/>
    <col min="11" max="11" width="14.109375" bestFit="1" customWidth="1"/>
    <col min="12" max="12" width="17.5546875" customWidth="1"/>
  </cols>
  <sheetData>
    <row r="2" spans="2:16">
      <c r="C2" s="199" t="s">
        <v>12</v>
      </c>
      <c r="D2" s="199"/>
      <c r="E2" s="199"/>
      <c r="F2" s="199"/>
      <c r="G2" s="199"/>
      <c r="I2" s="199" t="s">
        <v>48</v>
      </c>
      <c r="J2" s="199"/>
      <c r="K2" s="199"/>
      <c r="L2" s="199"/>
      <c r="M2" s="199"/>
    </row>
    <row r="3" spans="2:16" ht="55.2">
      <c r="B3" s="40" t="s">
        <v>13</v>
      </c>
      <c r="C3" s="22" t="s">
        <v>21</v>
      </c>
      <c r="D3" s="22" t="s">
        <v>17</v>
      </c>
      <c r="E3" s="22" t="s">
        <v>18</v>
      </c>
      <c r="F3" s="22" t="s">
        <v>19</v>
      </c>
      <c r="G3" s="22" t="s">
        <v>20</v>
      </c>
      <c r="H3" s="22"/>
      <c r="I3" s="22" t="s">
        <v>13</v>
      </c>
      <c r="J3" s="22" t="s">
        <v>37</v>
      </c>
      <c r="K3" s="40" t="s">
        <v>22</v>
      </c>
      <c r="L3" s="40" t="s">
        <v>23</v>
      </c>
      <c r="M3" s="40" t="s">
        <v>38</v>
      </c>
      <c r="N3" s="44"/>
      <c r="O3" s="44"/>
      <c r="P3" s="44"/>
    </row>
    <row r="4" spans="2:16">
      <c r="B4" s="162" t="s">
        <v>25</v>
      </c>
      <c r="C4" s="108">
        <v>0.12</v>
      </c>
      <c r="D4" s="108">
        <v>0.17</v>
      </c>
      <c r="E4" s="108">
        <v>0.2</v>
      </c>
      <c r="F4" s="108">
        <v>1.4999999999999999E-2</v>
      </c>
      <c r="G4" s="108">
        <v>0.505</v>
      </c>
      <c r="H4" s="85"/>
      <c r="I4" s="40" t="s">
        <v>39</v>
      </c>
      <c r="J4" s="177">
        <v>13332368</v>
      </c>
      <c r="K4" s="93"/>
      <c r="L4" s="98">
        <v>44371</v>
      </c>
      <c r="M4" s="108">
        <v>1</v>
      </c>
      <c r="N4" s="44"/>
      <c r="O4" s="44"/>
      <c r="P4" s="44"/>
    </row>
    <row r="5" spans="2:16">
      <c r="B5" s="162" t="s">
        <v>26</v>
      </c>
      <c r="C5" s="108">
        <v>0.12</v>
      </c>
      <c r="D5" s="108">
        <v>0.15</v>
      </c>
      <c r="E5" s="108">
        <v>0.17</v>
      </c>
      <c r="F5" s="108">
        <v>0.02</v>
      </c>
      <c r="G5" s="108">
        <v>0.46</v>
      </c>
      <c r="H5" s="85"/>
      <c r="I5" s="161" t="s">
        <v>40</v>
      </c>
      <c r="J5" s="177">
        <v>6666184</v>
      </c>
      <c r="K5" s="93"/>
      <c r="L5" s="98">
        <v>19049</v>
      </c>
      <c r="M5" s="108">
        <v>0.215</v>
      </c>
      <c r="N5" s="44"/>
      <c r="O5" s="44"/>
      <c r="P5" s="44"/>
    </row>
    <row r="6" spans="2:16">
      <c r="B6" s="162" t="s">
        <v>27</v>
      </c>
      <c r="C6" s="108">
        <v>0.13</v>
      </c>
      <c r="D6" s="108">
        <v>0.15</v>
      </c>
      <c r="E6" s="108">
        <v>0.16</v>
      </c>
      <c r="F6" s="108">
        <v>0.02</v>
      </c>
      <c r="G6" s="108">
        <v>0.46</v>
      </c>
      <c r="H6" s="85"/>
      <c r="I6" s="161" t="s">
        <v>41</v>
      </c>
      <c r="J6" s="177">
        <v>5332947</v>
      </c>
      <c r="K6" s="93">
        <v>34158</v>
      </c>
      <c r="L6" s="98">
        <v>47982</v>
      </c>
      <c r="M6" s="108">
        <v>0.433</v>
      </c>
      <c r="N6" s="44"/>
      <c r="O6" s="44"/>
      <c r="P6" s="44"/>
    </row>
    <row r="7" spans="2:16">
      <c r="B7" s="162" t="s">
        <v>28</v>
      </c>
      <c r="C7" s="108">
        <v>0.14000000000000001</v>
      </c>
      <c r="D7" s="108">
        <v>0.15</v>
      </c>
      <c r="E7" s="108">
        <v>0.15</v>
      </c>
      <c r="F7" s="108">
        <v>0.02</v>
      </c>
      <c r="G7" s="108">
        <v>0.46</v>
      </c>
      <c r="H7" s="85"/>
      <c r="I7" s="161" t="s">
        <v>42</v>
      </c>
      <c r="J7" s="177">
        <v>1333237</v>
      </c>
      <c r="K7" s="93">
        <v>72164</v>
      </c>
      <c r="L7" s="98">
        <v>156533</v>
      </c>
      <c r="M7" s="108">
        <v>0.35299999999999998</v>
      </c>
      <c r="N7" s="44"/>
      <c r="O7" s="44"/>
      <c r="P7" s="44"/>
    </row>
    <row r="8" spans="2:16">
      <c r="B8" s="162" t="s">
        <v>29</v>
      </c>
      <c r="C8" s="108">
        <v>0.15</v>
      </c>
      <c r="D8" s="108">
        <v>0.15</v>
      </c>
      <c r="E8" s="108">
        <v>0.14000000000000001</v>
      </c>
      <c r="F8" s="108">
        <v>0.02</v>
      </c>
      <c r="G8" s="108">
        <v>0.46</v>
      </c>
      <c r="H8" s="85"/>
      <c r="I8" s="161" t="s">
        <v>43</v>
      </c>
      <c r="J8" s="177">
        <v>133324</v>
      </c>
      <c r="K8" s="93">
        <v>226162</v>
      </c>
      <c r="L8" s="98">
        <v>625482</v>
      </c>
      <c r="M8" s="108">
        <v>0.14099999999999999</v>
      </c>
      <c r="N8" s="44"/>
      <c r="O8" s="44"/>
      <c r="P8" s="44"/>
    </row>
    <row r="9" spans="2:16">
      <c r="B9" s="162" t="s">
        <v>30</v>
      </c>
      <c r="C9" s="108">
        <v>0.16</v>
      </c>
      <c r="D9" s="108">
        <v>0.16</v>
      </c>
      <c r="E9" s="108">
        <v>0.13</v>
      </c>
      <c r="F9" s="108">
        <v>0.02</v>
      </c>
      <c r="G9" s="108">
        <v>0.47</v>
      </c>
      <c r="H9" s="85"/>
      <c r="I9" s="161" t="s">
        <v>44</v>
      </c>
      <c r="J9" s="177">
        <v>13333</v>
      </c>
      <c r="K9" s="93">
        <v>1023879</v>
      </c>
      <c r="L9" s="98">
        <v>2694670</v>
      </c>
      <c r="M9" s="108">
        <v>6.0999999999999999E-2</v>
      </c>
      <c r="N9" s="44"/>
      <c r="O9" s="44"/>
      <c r="P9" s="44"/>
    </row>
    <row r="10" spans="2:16">
      <c r="B10" s="162" t="s">
        <v>31</v>
      </c>
      <c r="C10" s="108">
        <v>0.18</v>
      </c>
      <c r="D10" s="108">
        <v>0.16</v>
      </c>
      <c r="E10" s="108">
        <v>0.12</v>
      </c>
      <c r="F10" s="108">
        <v>0.02</v>
      </c>
      <c r="G10" s="108">
        <v>0.48</v>
      </c>
      <c r="H10" s="85"/>
      <c r="I10" s="161" t="s">
        <v>45</v>
      </c>
      <c r="J10" s="177">
        <v>1334</v>
      </c>
      <c r="K10" s="93">
        <v>4372218</v>
      </c>
      <c r="L10" s="98">
        <v>10921054</v>
      </c>
      <c r="M10" s="108">
        <v>2.5000000000000001E-2</v>
      </c>
      <c r="N10" s="44"/>
      <c r="O10" s="44"/>
      <c r="P10" s="44"/>
    </row>
    <row r="11" spans="2:16">
      <c r="B11" s="162" t="s">
        <v>32</v>
      </c>
      <c r="C11" s="108">
        <v>0.2</v>
      </c>
      <c r="D11" s="108">
        <v>0.15</v>
      </c>
      <c r="E11" s="108">
        <v>0.11</v>
      </c>
      <c r="F11" s="108">
        <v>0.02</v>
      </c>
      <c r="G11" s="108">
        <v>0.48</v>
      </c>
      <c r="H11" s="85"/>
      <c r="I11" s="161" t="s">
        <v>46</v>
      </c>
      <c r="J11" s="85">
        <v>134</v>
      </c>
      <c r="K11" s="93">
        <v>18828918</v>
      </c>
      <c r="L11" s="98">
        <v>40602767</v>
      </c>
      <c r="M11" s="108">
        <v>9.0000000000000011E-3</v>
      </c>
      <c r="N11" s="44"/>
      <c r="O11" s="44"/>
      <c r="P11" s="44"/>
    </row>
    <row r="12" spans="2:16">
      <c r="B12" s="162" t="s">
        <v>33</v>
      </c>
      <c r="C12" s="108">
        <v>0.21</v>
      </c>
      <c r="D12" s="108">
        <v>0.1</v>
      </c>
      <c r="E12" s="108">
        <v>0.1</v>
      </c>
      <c r="F12" s="108">
        <v>0.03</v>
      </c>
      <c r="G12" s="108">
        <v>0.44</v>
      </c>
      <c r="H12" s="44"/>
      <c r="I12" s="161" t="s">
        <v>47</v>
      </c>
      <c r="J12" s="85">
        <v>14</v>
      </c>
      <c r="K12" s="93">
        <v>89761129</v>
      </c>
      <c r="L12" s="98">
        <v>111562388</v>
      </c>
      <c r="M12" s="108">
        <v>3.0000000000000001E-3</v>
      </c>
      <c r="N12" s="44"/>
      <c r="O12" s="44"/>
      <c r="P12" s="44"/>
    </row>
    <row r="13" spans="2:16">
      <c r="B13" s="162" t="s">
        <v>34</v>
      </c>
      <c r="C13" s="108">
        <v>0.12</v>
      </c>
      <c r="D13" s="108">
        <v>0.02</v>
      </c>
      <c r="E13" s="108">
        <v>0.04</v>
      </c>
      <c r="F13" s="108">
        <v>0.09</v>
      </c>
      <c r="G13" s="108">
        <v>0.27</v>
      </c>
      <c r="H13" s="44"/>
      <c r="I13" s="162" t="s">
        <v>134</v>
      </c>
      <c r="J13" s="44"/>
      <c r="K13" s="44"/>
      <c r="L13" s="44"/>
      <c r="M13" s="44"/>
      <c r="N13" s="44"/>
      <c r="O13" s="44"/>
      <c r="P13" s="44"/>
    </row>
    <row r="14" spans="2:16">
      <c r="B14" s="162" t="s">
        <v>35</v>
      </c>
      <c r="C14" s="108">
        <v>7.0000000000000007E-2</v>
      </c>
      <c r="D14" s="108">
        <v>5.0000000000000001E-3</v>
      </c>
      <c r="E14" s="108">
        <v>0.03</v>
      </c>
      <c r="F14" s="108">
        <v>0.11</v>
      </c>
      <c r="G14" s="108">
        <v>0.215</v>
      </c>
      <c r="H14" s="44"/>
      <c r="I14" s="2"/>
      <c r="J14" s="44"/>
      <c r="K14" s="44"/>
      <c r="L14" s="44"/>
      <c r="M14" s="44"/>
      <c r="N14" s="44"/>
      <c r="O14" s="44"/>
      <c r="P14" s="44"/>
    </row>
    <row r="15" spans="2:16">
      <c r="B15" s="162" t="s">
        <v>14</v>
      </c>
      <c r="C15" s="108">
        <v>4.4999999999999998E-2</v>
      </c>
      <c r="D15" s="108">
        <v>0</v>
      </c>
      <c r="E15" s="108">
        <v>2.5000000000000001E-2</v>
      </c>
      <c r="F15" s="108">
        <v>0.12</v>
      </c>
      <c r="G15" s="108">
        <v>0.19</v>
      </c>
      <c r="H15" s="44"/>
      <c r="I15" s="44"/>
      <c r="J15" s="44"/>
      <c r="K15" s="44"/>
      <c r="L15" s="44"/>
      <c r="M15" s="44"/>
      <c r="N15" s="44"/>
      <c r="O15" s="44"/>
      <c r="P15" s="44"/>
    </row>
    <row r="16" spans="2:16">
      <c r="B16" s="162" t="s">
        <v>15</v>
      </c>
      <c r="C16" s="108">
        <v>2.5000000000000001E-2</v>
      </c>
      <c r="D16" s="108">
        <v>0</v>
      </c>
      <c r="E16" s="108">
        <v>2.5000000000000001E-2</v>
      </c>
      <c r="F16" s="108">
        <v>0.13500000000000001</v>
      </c>
      <c r="G16" s="108">
        <v>0.185</v>
      </c>
      <c r="H16" s="44"/>
      <c r="I16" s="44"/>
      <c r="J16" s="44"/>
      <c r="K16" s="44"/>
      <c r="L16" s="44"/>
      <c r="M16" s="44"/>
      <c r="N16" s="44"/>
      <c r="O16" s="44"/>
      <c r="P16" s="44"/>
    </row>
    <row r="17" spans="2:16">
      <c r="B17" s="162" t="s">
        <v>36</v>
      </c>
      <c r="C17" s="108">
        <v>5.0000000000000001E-3</v>
      </c>
      <c r="D17" s="108">
        <v>0</v>
      </c>
      <c r="E17" s="108">
        <v>0.02</v>
      </c>
      <c r="F17" s="108">
        <v>0.13500000000000001</v>
      </c>
      <c r="G17" s="108">
        <v>0.16</v>
      </c>
      <c r="H17" s="44"/>
      <c r="I17" s="44"/>
      <c r="J17" s="44"/>
      <c r="K17" s="44"/>
      <c r="L17" s="44"/>
      <c r="M17" s="44"/>
      <c r="N17" s="44"/>
      <c r="O17" s="44"/>
      <c r="P17" s="44"/>
    </row>
    <row r="18" spans="2:16">
      <c r="B18" s="44"/>
      <c r="C18" s="44"/>
      <c r="D18" s="44"/>
      <c r="E18" s="44"/>
      <c r="F18" s="44"/>
      <c r="G18" s="44"/>
      <c r="H18" s="44"/>
      <c r="I18" s="44"/>
      <c r="J18" s="44"/>
      <c r="K18" s="44"/>
      <c r="L18" s="44"/>
      <c r="M18" s="44"/>
      <c r="N18" s="44"/>
      <c r="O18" s="44"/>
      <c r="P18" s="44"/>
    </row>
    <row r="19" spans="2:16">
      <c r="B19" s="44"/>
      <c r="C19" s="44" t="s">
        <v>133</v>
      </c>
      <c r="D19" s="44"/>
      <c r="E19" s="44"/>
      <c r="F19" s="44"/>
      <c r="G19" s="44"/>
      <c r="H19" s="44"/>
      <c r="I19" s="44"/>
      <c r="J19" s="44"/>
      <c r="K19" s="44"/>
      <c r="L19" s="44"/>
      <c r="M19" s="44"/>
      <c r="N19" s="44"/>
      <c r="O19" s="44"/>
      <c r="P19" s="44"/>
    </row>
    <row r="20" spans="2:16">
      <c r="B20" s="44"/>
      <c r="C20" s="2"/>
      <c r="D20" s="44"/>
      <c r="E20" s="44"/>
      <c r="F20" s="44"/>
      <c r="G20" s="44"/>
      <c r="H20" s="44"/>
      <c r="I20" s="44"/>
      <c r="J20" s="44"/>
      <c r="K20" s="44"/>
      <c r="L20" s="44"/>
      <c r="M20" s="44"/>
      <c r="N20" s="44"/>
      <c r="O20" s="44"/>
      <c r="P20" s="44"/>
    </row>
    <row r="21" spans="2:16">
      <c r="B21" s="44"/>
      <c r="C21" s="44"/>
      <c r="D21" s="44"/>
      <c r="E21" s="44"/>
      <c r="F21" s="44"/>
      <c r="G21" s="44"/>
      <c r="H21" s="44"/>
      <c r="I21" s="44"/>
      <c r="J21" s="44"/>
      <c r="K21" s="44"/>
      <c r="L21" s="44"/>
      <c r="M21" s="44"/>
      <c r="N21" s="44"/>
      <c r="O21" s="44"/>
      <c r="P21" s="44"/>
    </row>
    <row r="22" spans="2:16">
      <c r="B22" s="44"/>
      <c r="C22" s="44"/>
      <c r="D22" s="44"/>
      <c r="E22" s="44"/>
      <c r="F22" s="44"/>
      <c r="G22" s="44"/>
      <c r="H22" s="44"/>
      <c r="I22" s="44"/>
      <c r="J22" s="44"/>
      <c r="K22" s="44"/>
      <c r="L22" s="44"/>
      <c r="M22" s="44"/>
      <c r="N22" s="44"/>
      <c r="O22" s="44"/>
      <c r="P22" s="44"/>
    </row>
    <row r="23" spans="2:16">
      <c r="B23" s="44"/>
      <c r="C23" s="44"/>
      <c r="D23" s="44"/>
      <c r="E23" s="44"/>
      <c r="F23" s="44"/>
      <c r="G23" s="44"/>
      <c r="H23" s="44"/>
      <c r="I23" s="44"/>
      <c r="J23" s="44"/>
      <c r="K23" s="44"/>
      <c r="L23" s="44"/>
      <c r="M23" s="44"/>
      <c r="N23" s="44"/>
      <c r="O23" s="44"/>
      <c r="P23" s="44"/>
    </row>
  </sheetData>
  <mergeCells count="2">
    <mergeCell ref="C2:G2"/>
    <mergeCell ref="I2:M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D0CC9-61B3-4D1E-94F5-791761C62400}">
  <dimension ref="B2:R26"/>
  <sheetViews>
    <sheetView zoomScale="115" zoomScaleNormal="115" workbookViewId="0">
      <selection activeCell="C25" sqref="C25"/>
    </sheetView>
  </sheetViews>
  <sheetFormatPr baseColWidth="10" defaultRowHeight="14.4"/>
  <cols>
    <col min="1" max="1" width="3.33203125" customWidth="1"/>
    <col min="2" max="2" width="15.77734375" customWidth="1"/>
    <col min="12" max="12" width="14.5546875" bestFit="1" customWidth="1"/>
    <col min="13" max="15" width="15.6640625" bestFit="1" customWidth="1"/>
    <col min="16" max="16" width="13" bestFit="1" customWidth="1"/>
    <col min="17" max="17" width="12.77734375" bestFit="1" customWidth="1"/>
  </cols>
  <sheetData>
    <row r="2" spans="2:18">
      <c r="C2" s="199" t="s">
        <v>12</v>
      </c>
      <c r="D2" s="199"/>
      <c r="E2" s="199"/>
      <c r="F2" s="199"/>
      <c r="G2" s="199"/>
      <c r="H2" s="199"/>
      <c r="I2" s="199"/>
      <c r="J2" s="199"/>
      <c r="K2" s="199" t="s">
        <v>103</v>
      </c>
      <c r="L2" s="199"/>
      <c r="M2" s="199"/>
      <c r="N2" s="199"/>
      <c r="O2" s="199"/>
      <c r="P2" s="199"/>
      <c r="Q2" s="199"/>
    </row>
    <row r="3" spans="2:18" ht="43.2">
      <c r="B3" s="40" t="s">
        <v>13</v>
      </c>
      <c r="C3" s="40" t="s">
        <v>57</v>
      </c>
      <c r="D3" s="40" t="s">
        <v>58</v>
      </c>
      <c r="E3" s="40" t="s">
        <v>80</v>
      </c>
      <c r="F3" s="40" t="s">
        <v>60</v>
      </c>
      <c r="G3" s="40" t="s">
        <v>81</v>
      </c>
      <c r="H3" s="40" t="s">
        <v>82</v>
      </c>
      <c r="I3" s="40" t="s">
        <v>83</v>
      </c>
      <c r="J3" s="44"/>
      <c r="K3" s="40" t="s">
        <v>104</v>
      </c>
      <c r="L3" s="40" t="s">
        <v>65</v>
      </c>
      <c r="M3" s="40" t="s">
        <v>168</v>
      </c>
      <c r="N3" s="40" t="s">
        <v>169</v>
      </c>
      <c r="O3" s="40" t="s">
        <v>168</v>
      </c>
      <c r="P3" s="40" t="s">
        <v>169</v>
      </c>
      <c r="Q3" s="40" t="s">
        <v>102</v>
      </c>
      <c r="R3" s="44"/>
    </row>
    <row r="4" spans="2:18" s="86" customFormat="1">
      <c r="B4" s="40"/>
      <c r="C4" s="40"/>
      <c r="D4" s="40"/>
      <c r="E4" s="40"/>
      <c r="F4" s="40"/>
      <c r="G4" s="40"/>
      <c r="H4" s="40"/>
      <c r="I4" s="40"/>
      <c r="J4" s="44"/>
      <c r="K4" s="119" t="s">
        <v>85</v>
      </c>
      <c r="L4" s="40"/>
      <c r="M4" s="40"/>
      <c r="N4" s="40"/>
      <c r="O4" s="40"/>
      <c r="P4" s="40"/>
      <c r="Q4" s="183">
        <v>1</v>
      </c>
      <c r="R4" s="44"/>
    </row>
    <row r="5" spans="2:18">
      <c r="B5" s="162" t="s">
        <v>77</v>
      </c>
      <c r="C5" s="108">
        <v>0.48921796000000001</v>
      </c>
      <c r="D5" s="108">
        <v>0.35078787</v>
      </c>
      <c r="E5" s="108">
        <v>7.3076589999999997E-2</v>
      </c>
      <c r="F5" s="108">
        <v>1.1969000000000563E-4</v>
      </c>
      <c r="G5" s="108">
        <v>3.028099999999867E-4</v>
      </c>
      <c r="H5" s="108">
        <v>3.7247660000000016E-2</v>
      </c>
      <c r="I5" s="108">
        <v>2.7683340000000001E-2</v>
      </c>
      <c r="J5" s="184"/>
      <c r="K5" s="119" t="s">
        <v>86</v>
      </c>
      <c r="L5" s="116">
        <f>L8*(9/5)</f>
        <v>136575286.20000002</v>
      </c>
      <c r="M5" s="44"/>
      <c r="N5" s="117">
        <f>(N6*L6+(L5-L6)*6681)/L5</f>
        <v>42778.888888888883</v>
      </c>
      <c r="O5" s="118"/>
      <c r="P5" s="116">
        <f t="shared" ref="P5:P7" si="0">N5/4.03</f>
        <v>10615.108905431483</v>
      </c>
      <c r="Q5" s="108">
        <f>'Bach et al. (2025)'!Q5/100</f>
        <v>0.99849999999999994</v>
      </c>
      <c r="R5" s="44"/>
    </row>
    <row r="6" spans="2:18">
      <c r="B6" s="162" t="s">
        <v>27</v>
      </c>
      <c r="C6" s="108">
        <v>0.48097889999999999</v>
      </c>
      <c r="D6" s="108">
        <v>0.30598335999999998</v>
      </c>
      <c r="E6" s="108">
        <v>0.12977363000000003</v>
      </c>
      <c r="F6" s="108">
        <v>2.9069999999964402E-5</v>
      </c>
      <c r="G6" s="108">
        <v>4.4550000000032064E-5</v>
      </c>
      <c r="H6" s="108">
        <v>1.8400489999999992E-2</v>
      </c>
      <c r="I6" s="108">
        <v>2.6747799999999988E-2</v>
      </c>
      <c r="J6" s="184"/>
      <c r="K6" s="119" t="s">
        <v>88</v>
      </c>
      <c r="L6" s="116">
        <f>L8*(7/5)</f>
        <v>106225222.59999999</v>
      </c>
      <c r="M6" s="44"/>
      <c r="N6" s="117">
        <f>(N7*L7+(L6-L7)*13151)/L6</f>
        <v>53092.571428571428</v>
      </c>
      <c r="O6" s="118"/>
      <c r="P6" s="116">
        <f t="shared" si="0"/>
        <v>13174.335342077276</v>
      </c>
      <c r="Q6" s="108">
        <f>(L6*N6)/(L5*N5)*Q5</f>
        <v>0.96384646632554982</v>
      </c>
      <c r="R6" s="44"/>
    </row>
    <row r="7" spans="2:18">
      <c r="B7" s="162" t="s">
        <v>28</v>
      </c>
      <c r="C7" s="108">
        <v>0.44749116</v>
      </c>
      <c r="D7" s="108">
        <v>0.28814492000000003</v>
      </c>
      <c r="E7" s="108">
        <v>0.11425879</v>
      </c>
      <c r="F7" s="108">
        <v>3.2159999999947786E-5</v>
      </c>
      <c r="G7" s="108">
        <v>7.4400000000029998E-5</v>
      </c>
      <c r="H7" s="108">
        <v>1.9991690000000006E-2</v>
      </c>
      <c r="I7" s="108">
        <v>2.4989199999999989E-2</v>
      </c>
      <c r="J7" s="184"/>
      <c r="K7" s="119" t="s">
        <v>89</v>
      </c>
      <c r="L7" s="116">
        <f>L8*(6/5)</f>
        <v>91050190.799999997</v>
      </c>
      <c r="M7" s="44"/>
      <c r="N7" s="117">
        <f>(N8*L8+(L7-L8)*15882)/L7</f>
        <v>59749.5</v>
      </c>
      <c r="O7" s="118"/>
      <c r="P7" s="116">
        <f t="shared" si="0"/>
        <v>14826.178660049627</v>
      </c>
      <c r="Q7" s="108">
        <f>(L7*N7)/(L6*N6)*Q6</f>
        <v>0.92974014830783602</v>
      </c>
      <c r="R7" s="44"/>
    </row>
    <row r="8" spans="2:18">
      <c r="B8" s="162" t="s">
        <v>29</v>
      </c>
      <c r="C8" s="108">
        <v>0.46344125000000003</v>
      </c>
      <c r="D8" s="108">
        <v>0.27923704999999999</v>
      </c>
      <c r="E8" s="108">
        <v>0.13652030000000004</v>
      </c>
      <c r="F8" s="108">
        <v>3.9299999999964363E-5</v>
      </c>
      <c r="G8" s="108">
        <v>5.9399999999987241E-5</v>
      </c>
      <c r="H8" s="108">
        <v>2.199091000000003E-2</v>
      </c>
      <c r="I8" s="108">
        <v>2.559429000000002E-2</v>
      </c>
      <c r="J8" s="184"/>
      <c r="K8" s="44" t="s">
        <v>90</v>
      </c>
      <c r="L8" s="93">
        <v>75875159</v>
      </c>
      <c r="M8" s="93">
        <v>14305</v>
      </c>
      <c r="N8" s="93">
        <v>68523</v>
      </c>
      <c r="O8" s="185">
        <f>M8/4.03</f>
        <v>3549.6277915632754</v>
      </c>
      <c r="P8" s="185">
        <f>N8/4.03</f>
        <v>17003.225806451614</v>
      </c>
      <c r="Q8" s="108">
        <f t="shared" ref="Q8:Q18" si="1">(L8*N8)/(L7*N7)*Q7</f>
        <v>0.8885511480221292</v>
      </c>
      <c r="R8" s="44"/>
    </row>
    <row r="9" spans="2:18">
      <c r="B9" s="162" t="s">
        <v>30</v>
      </c>
      <c r="C9" s="108">
        <v>0.46875623</v>
      </c>
      <c r="D9" s="108">
        <v>0.27187730999999998</v>
      </c>
      <c r="E9" s="108">
        <v>0.14923669000000001</v>
      </c>
      <c r="F9" s="108">
        <v>6.3599999999996992E-5</v>
      </c>
      <c r="G9" s="108">
        <v>5.3579999999997519E-5</v>
      </c>
      <c r="H9" s="108">
        <v>2.1793000000000007E-2</v>
      </c>
      <c r="I9" s="108">
        <v>2.5732050000000006E-2</v>
      </c>
      <c r="J9" s="184"/>
      <c r="K9" s="118" t="s">
        <v>91</v>
      </c>
      <c r="L9" s="116">
        <f>L8*(4/5)</f>
        <v>60700127.200000003</v>
      </c>
      <c r="M9" s="44"/>
      <c r="N9" s="116">
        <f>(N8*L8-(L8-L9)*19241)/L9</f>
        <v>80843.5</v>
      </c>
      <c r="O9" s="44"/>
      <c r="P9" s="116">
        <f t="shared" ref="P9:P10" si="2">N9/4.03</f>
        <v>20060.421836228288</v>
      </c>
      <c r="Q9" s="108">
        <f t="shared" si="1"/>
        <v>0.83865078569387808</v>
      </c>
      <c r="R9" s="44"/>
    </row>
    <row r="10" spans="2:18">
      <c r="B10" s="162" t="s">
        <v>31</v>
      </c>
      <c r="C10" s="108">
        <v>0.4378783</v>
      </c>
      <c r="D10" s="108">
        <v>0.24387754</v>
      </c>
      <c r="E10" s="108">
        <v>0.14179302999999999</v>
      </c>
      <c r="F10" s="108">
        <v>4.4270299999999985E-3</v>
      </c>
      <c r="G10" s="108">
        <v>5.1422000000000967E-4</v>
      </c>
      <c r="H10" s="108">
        <v>2.343706000000001E-2</v>
      </c>
      <c r="I10" s="108">
        <v>2.382941999999999E-2</v>
      </c>
      <c r="J10" s="184"/>
      <c r="K10" s="118" t="s">
        <v>92</v>
      </c>
      <c r="L10" s="116">
        <f>L8*(3/5)</f>
        <v>45525095.399999999</v>
      </c>
      <c r="M10" s="185"/>
      <c r="N10" s="116">
        <f>(N9*L9-(L9-L10)*24114)/L10</f>
        <v>99753.333333333343</v>
      </c>
      <c r="O10" s="44"/>
      <c r="P10" s="116">
        <f t="shared" si="2"/>
        <v>24752.68817204301</v>
      </c>
      <c r="Q10" s="108">
        <f t="shared" si="1"/>
        <v>0.77611259447806547</v>
      </c>
      <c r="R10" s="44"/>
    </row>
    <row r="11" spans="2:18">
      <c r="B11" s="162" t="s">
        <v>32</v>
      </c>
      <c r="C11" s="108">
        <v>0.49957816999999999</v>
      </c>
      <c r="D11" s="108">
        <v>0.20272693</v>
      </c>
      <c r="E11" s="108">
        <v>0.22207020000000002</v>
      </c>
      <c r="F11" s="108">
        <v>2.8896959999999972E-2</v>
      </c>
      <c r="G11" s="108">
        <v>1.6467800000000143E-3</v>
      </c>
      <c r="H11" s="108">
        <v>1.9115920000000008E-2</v>
      </c>
      <c r="I11" s="108">
        <v>2.5121379999999971E-2</v>
      </c>
      <c r="J11" s="184"/>
      <c r="K11" s="44" t="s">
        <v>93</v>
      </c>
      <c r="L11" s="93">
        <v>29837281</v>
      </c>
      <c r="M11" s="93">
        <v>36178</v>
      </c>
      <c r="N11" s="93">
        <v>141121</v>
      </c>
      <c r="O11" s="185">
        <f t="shared" ref="O11:O18" si="3">M11/4.03</f>
        <v>8977.1712158808932</v>
      </c>
      <c r="P11" s="185">
        <f t="shared" ref="P11:P18" si="4">N11/4.03</f>
        <v>35017.617866004963</v>
      </c>
      <c r="Q11" s="108">
        <f t="shared" si="1"/>
        <v>0.71961024760150227</v>
      </c>
      <c r="R11" s="44"/>
    </row>
    <row r="12" spans="2:18">
      <c r="B12" s="162" t="s">
        <v>78</v>
      </c>
      <c r="C12" s="108">
        <v>0.51614698999999997</v>
      </c>
      <c r="D12" s="108">
        <v>0.18110766</v>
      </c>
      <c r="E12" s="108">
        <v>0.22354725999999997</v>
      </c>
      <c r="F12" s="108">
        <v>6.8337360000000014E-2</v>
      </c>
      <c r="G12" s="108">
        <v>3.1153600000000115E-3</v>
      </c>
      <c r="H12" s="108">
        <v>1.5995470000000012E-2</v>
      </c>
      <c r="I12" s="108">
        <v>2.4043879999999962E-2</v>
      </c>
      <c r="J12" s="184"/>
      <c r="K12" s="44" t="s">
        <v>94</v>
      </c>
      <c r="L12" s="93">
        <v>14918640</v>
      </c>
      <c r="M12" s="93">
        <v>73213</v>
      </c>
      <c r="N12" s="93">
        <v>230814</v>
      </c>
      <c r="O12" s="185">
        <f t="shared" si="3"/>
        <v>18166.99751861042</v>
      </c>
      <c r="P12" s="185">
        <f t="shared" si="4"/>
        <v>57273.945409429274</v>
      </c>
      <c r="Q12" s="108">
        <f>(L12*N12)/(L11*N11)*Q11</f>
        <v>0.58848829771317546</v>
      </c>
      <c r="R12" s="44"/>
    </row>
    <row r="13" spans="2:18">
      <c r="B13" s="162" t="s">
        <v>79</v>
      </c>
      <c r="C13" s="108">
        <v>0.41765648999999999</v>
      </c>
      <c r="D13" s="108">
        <v>0.10663188999999999</v>
      </c>
      <c r="E13" s="108">
        <v>0.17045790999999999</v>
      </c>
      <c r="F13" s="108">
        <v>0.10205763000000001</v>
      </c>
      <c r="G13" s="108">
        <v>8.3621600000000074E-3</v>
      </c>
      <c r="H13" s="108">
        <v>1.1407039999999979E-2</v>
      </c>
      <c r="I13" s="108">
        <v>1.8739859999999997E-2</v>
      </c>
      <c r="J13" s="184"/>
      <c r="K13" s="44" t="s">
        <v>95</v>
      </c>
      <c r="L13" s="93">
        <v>7459319</v>
      </c>
      <c r="M13" s="93">
        <v>129125</v>
      </c>
      <c r="N13" s="93">
        <v>365465</v>
      </c>
      <c r="O13" s="185">
        <f t="shared" si="3"/>
        <v>32040.942928039702</v>
      </c>
      <c r="P13" s="185">
        <f t="shared" si="4"/>
        <v>90686.104218362278</v>
      </c>
      <c r="Q13" s="108">
        <f t="shared" si="1"/>
        <v>0.46589861726564968</v>
      </c>
      <c r="R13" s="44"/>
    </row>
    <row r="14" spans="2:18">
      <c r="B14" s="162" t="s">
        <v>34</v>
      </c>
      <c r="C14" s="108">
        <v>0.30034454999999999</v>
      </c>
      <c r="D14" s="108">
        <v>6.541951E-2</v>
      </c>
      <c r="E14" s="108">
        <v>9.6153059999999999E-2</v>
      </c>
      <c r="F14" s="108">
        <v>8.8037680000000007E-2</v>
      </c>
      <c r="G14" s="108">
        <v>2.8660810000000009E-2</v>
      </c>
      <c r="H14" s="108">
        <v>7.3779199999999823E-3</v>
      </c>
      <c r="I14" s="108">
        <v>1.4695569999999991E-2</v>
      </c>
      <c r="J14" s="184"/>
      <c r="K14" s="44" t="s">
        <v>62</v>
      </c>
      <c r="L14" s="93">
        <v>1491870</v>
      </c>
      <c r="M14" s="93">
        <v>374526</v>
      </c>
      <c r="N14" s="93">
        <v>1004838</v>
      </c>
      <c r="O14" s="185">
        <f t="shared" si="3"/>
        <v>92934.491315136474</v>
      </c>
      <c r="P14" s="185">
        <f t="shared" si="4"/>
        <v>249339.4540942928</v>
      </c>
      <c r="Q14" s="108">
        <f t="shared" si="1"/>
        <v>0.25619667019275622</v>
      </c>
      <c r="R14" s="44"/>
    </row>
    <row r="15" spans="2:18">
      <c r="B15" s="162" t="s">
        <v>35</v>
      </c>
      <c r="C15" s="108">
        <v>0.22436049</v>
      </c>
      <c r="D15" s="108">
        <v>5.3847699999999998E-2</v>
      </c>
      <c r="E15" s="108">
        <v>2.5956469999999995E-2</v>
      </c>
      <c r="F15" s="108">
        <v>4.4077640000000001E-2</v>
      </c>
      <c r="G15" s="108">
        <v>8.1830119999999992E-2</v>
      </c>
      <c r="H15" s="108">
        <v>4.4707800000000075E-3</v>
      </c>
      <c r="I15" s="108">
        <v>1.4177780000000001E-2</v>
      </c>
      <c r="J15" s="184"/>
      <c r="K15" s="44" t="s">
        <v>96</v>
      </c>
      <c r="L15" s="93">
        <v>149187</v>
      </c>
      <c r="M15" s="93">
        <v>1422293</v>
      </c>
      <c r="N15" s="93">
        <v>4586560</v>
      </c>
      <c r="O15" s="185">
        <f t="shared" si="3"/>
        <v>352926.30272952851</v>
      </c>
      <c r="P15" s="185">
        <f t="shared" si="4"/>
        <v>1138104.2183622827</v>
      </c>
      <c r="Q15" s="108">
        <f t="shared" si="1"/>
        <v>0.11694038239390708</v>
      </c>
      <c r="R15" s="44"/>
    </row>
    <row r="16" spans="2:18">
      <c r="B16" s="162" t="s">
        <v>14</v>
      </c>
      <c r="C16" s="108">
        <v>0.21458076000000001</v>
      </c>
      <c r="D16" s="108">
        <v>4.9400050000000001E-2</v>
      </c>
      <c r="E16" s="108">
        <v>9.7962600000000011E-3</v>
      </c>
      <c r="F16" s="108">
        <v>3.0993380000000001E-2</v>
      </c>
      <c r="G16" s="108">
        <v>0.10685298</v>
      </c>
      <c r="H16" s="108">
        <v>2.698779999999984E-3</v>
      </c>
      <c r="I16" s="108">
        <v>1.4839310000000022E-2</v>
      </c>
      <c r="J16" s="184"/>
      <c r="K16" s="44" t="s">
        <v>97</v>
      </c>
      <c r="L16" s="93">
        <v>14922</v>
      </c>
      <c r="M16" s="93">
        <v>7003875</v>
      </c>
      <c r="N16" s="93">
        <v>22950356</v>
      </c>
      <c r="O16" s="185">
        <f t="shared" si="3"/>
        <v>1737934.2431761785</v>
      </c>
      <c r="P16" s="185">
        <f t="shared" si="4"/>
        <v>5694877.4193548383</v>
      </c>
      <c r="Q16" s="108">
        <f t="shared" si="1"/>
        <v>5.8527895972065452E-2</v>
      </c>
      <c r="R16" s="44"/>
    </row>
    <row r="17" spans="2:18">
      <c r="B17" s="162" t="s">
        <v>46</v>
      </c>
      <c r="C17" s="108">
        <v>0.19708729</v>
      </c>
      <c r="D17" s="108">
        <v>4.0906579999999998E-2</v>
      </c>
      <c r="E17" s="108">
        <v>1.884540000000004E-3</v>
      </c>
      <c r="F17" s="108">
        <v>1.9791820000000002E-2</v>
      </c>
      <c r="G17" s="108">
        <v>0.11906232</v>
      </c>
      <c r="H17" s="108">
        <v>6.687800000000077E-4</v>
      </c>
      <c r="I17" s="108">
        <v>1.4773249999999988E-2</v>
      </c>
      <c r="J17" s="184"/>
      <c r="K17" s="44" t="s">
        <v>98</v>
      </c>
      <c r="L17" s="93">
        <v>1492</v>
      </c>
      <c r="M17" s="93">
        <v>36343312</v>
      </c>
      <c r="N17" s="93">
        <v>111879448</v>
      </c>
      <c r="O17" s="185">
        <f t="shared" si="3"/>
        <v>9018191.5632754341</v>
      </c>
      <c r="P17" s="185">
        <f t="shared" si="4"/>
        <v>27761649.627791561</v>
      </c>
      <c r="Q17" s="108">
        <f t="shared" si="1"/>
        <v>2.8527623076542157E-2</v>
      </c>
      <c r="R17" s="44"/>
    </row>
    <row r="18" spans="2:18" s="86" customFormat="1">
      <c r="B18" s="162"/>
      <c r="C18" s="108"/>
      <c r="D18" s="108"/>
      <c r="E18" s="108"/>
      <c r="F18" s="108"/>
      <c r="G18" s="108"/>
      <c r="H18" s="108"/>
      <c r="I18" s="108"/>
      <c r="J18" s="184"/>
      <c r="K18" s="44" t="s">
        <v>105</v>
      </c>
      <c r="L18" s="93">
        <v>152</v>
      </c>
      <c r="M18" s="93">
        <v>199694816</v>
      </c>
      <c r="N18" s="93">
        <v>491618912</v>
      </c>
      <c r="O18" s="185">
        <f t="shared" si="3"/>
        <v>49552063.523573197</v>
      </c>
      <c r="P18" s="185">
        <f t="shared" si="4"/>
        <v>121989804.46650124</v>
      </c>
      <c r="Q18" s="108">
        <f t="shared" si="1"/>
        <v>1.277081515371974E-2</v>
      </c>
      <c r="R18" s="44"/>
    </row>
    <row r="19" spans="2:18">
      <c r="B19" s="162"/>
      <c r="C19" s="108"/>
      <c r="D19" s="108"/>
      <c r="E19" s="108"/>
      <c r="F19" s="108"/>
      <c r="G19" s="108"/>
      <c r="H19" s="44"/>
      <c r="I19" s="44"/>
      <c r="J19" s="44"/>
      <c r="K19" s="44"/>
      <c r="L19" s="44"/>
      <c r="M19" s="44"/>
      <c r="N19" s="44"/>
      <c r="O19" s="44"/>
      <c r="P19" s="44"/>
      <c r="Q19" s="185"/>
      <c r="R19" s="44"/>
    </row>
    <row r="20" spans="2:18">
      <c r="B20" s="44" t="s">
        <v>106</v>
      </c>
      <c r="C20" s="44"/>
      <c r="D20" s="44"/>
      <c r="E20" s="44"/>
      <c r="F20" s="44"/>
      <c r="G20" s="44"/>
      <c r="H20" s="44"/>
      <c r="I20" s="44"/>
      <c r="J20" s="44"/>
      <c r="K20" s="44" t="s">
        <v>146</v>
      </c>
      <c r="L20" s="44"/>
      <c r="M20" s="44"/>
      <c r="N20" s="44"/>
      <c r="O20" s="44"/>
      <c r="P20" s="44"/>
      <c r="Q20" s="44"/>
      <c r="R20" s="44"/>
    </row>
    <row r="21" spans="2:18">
      <c r="B21" s="2"/>
      <c r="C21" s="44"/>
      <c r="D21" s="44"/>
      <c r="E21" s="44"/>
      <c r="F21" s="44"/>
      <c r="G21" s="44"/>
      <c r="H21" s="44"/>
      <c r="I21" s="44"/>
      <c r="J21" s="44"/>
      <c r="K21" s="44" t="s">
        <v>229</v>
      </c>
      <c r="L21" s="44"/>
      <c r="M21" s="44"/>
      <c r="N21" s="44"/>
      <c r="O21" s="44"/>
      <c r="P21" s="44"/>
      <c r="Q21" s="44"/>
      <c r="R21" s="44"/>
    </row>
    <row r="22" spans="2:18">
      <c r="B22" s="44"/>
      <c r="C22" s="44"/>
      <c r="D22" s="44"/>
      <c r="E22" s="44"/>
      <c r="F22" s="44"/>
      <c r="G22" s="44"/>
      <c r="H22" s="44"/>
      <c r="I22" s="44"/>
      <c r="J22" s="44"/>
      <c r="K22" s="44" t="s">
        <v>228</v>
      </c>
      <c r="L22" s="44"/>
      <c r="M22" s="44"/>
      <c r="N22" s="44"/>
      <c r="O22" s="44"/>
      <c r="P22" s="44"/>
      <c r="Q22" s="44"/>
      <c r="R22" s="44"/>
    </row>
    <row r="23" spans="2:18">
      <c r="B23" s="44"/>
      <c r="C23" s="44"/>
      <c r="D23" s="44"/>
      <c r="E23" s="44"/>
      <c r="F23" s="44"/>
      <c r="G23" s="44"/>
      <c r="H23" s="44"/>
      <c r="I23" s="44"/>
      <c r="J23" s="44"/>
      <c r="K23" s="2"/>
      <c r="L23" s="44"/>
      <c r="M23" s="44"/>
      <c r="N23" s="44"/>
      <c r="O23" s="44"/>
      <c r="P23" s="44"/>
      <c r="Q23" s="44"/>
      <c r="R23" s="44"/>
    </row>
    <row r="24" spans="2:18">
      <c r="B24" s="44"/>
      <c r="C24" s="44"/>
      <c r="D24" s="44"/>
      <c r="E24" s="44"/>
      <c r="F24" s="44"/>
      <c r="G24" s="44"/>
      <c r="H24" s="44"/>
      <c r="I24" s="44"/>
      <c r="J24" s="44"/>
      <c r="K24" s="44"/>
      <c r="L24" s="44"/>
      <c r="M24" s="44"/>
      <c r="N24" s="44"/>
      <c r="O24" s="44"/>
      <c r="P24" s="44"/>
      <c r="Q24" s="44"/>
      <c r="R24" s="44"/>
    </row>
    <row r="25" spans="2:18">
      <c r="B25" s="44"/>
      <c r="C25" s="44"/>
      <c r="D25" s="44"/>
      <c r="E25" s="44"/>
      <c r="F25" s="44"/>
      <c r="G25" s="44"/>
      <c r="H25" s="44"/>
      <c r="I25" s="44"/>
      <c r="J25" s="44"/>
      <c r="K25" s="44"/>
      <c r="L25" s="44"/>
      <c r="M25" s="44"/>
      <c r="N25" s="44"/>
      <c r="O25" s="44"/>
      <c r="P25" s="44"/>
      <c r="Q25" s="44"/>
      <c r="R25" s="44"/>
    </row>
    <row r="26" spans="2:18">
      <c r="B26" s="44"/>
      <c r="C26" s="44"/>
      <c r="D26" s="44"/>
      <c r="E26" s="44"/>
      <c r="F26" s="44"/>
      <c r="G26" s="44"/>
      <c r="H26" s="44"/>
      <c r="I26" s="44"/>
      <c r="J26" s="44"/>
      <c r="K26" s="44"/>
      <c r="L26" s="44"/>
      <c r="M26" s="44"/>
      <c r="N26" s="44"/>
      <c r="O26" s="44"/>
      <c r="P26" s="44"/>
      <c r="Q26" s="44"/>
      <c r="R26" s="44"/>
    </row>
  </sheetData>
  <mergeCells count="2">
    <mergeCell ref="C2:J2"/>
    <mergeCell ref="K2:Q2"/>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BD9FE-447D-43A9-B308-0AB122408051}">
  <dimension ref="B2:M166"/>
  <sheetViews>
    <sheetView zoomScaleNormal="100" workbookViewId="0">
      <selection activeCell="B4" sqref="B4"/>
    </sheetView>
  </sheetViews>
  <sheetFormatPr baseColWidth="10" defaultRowHeight="14.4"/>
  <cols>
    <col min="1" max="1" width="3.44140625" customWidth="1"/>
    <col min="2" max="11" width="11.6640625" customWidth="1"/>
    <col min="12" max="12" width="9.21875" customWidth="1"/>
  </cols>
  <sheetData>
    <row r="2" spans="2:12" ht="36" customHeight="1">
      <c r="B2" s="208" t="s">
        <v>12</v>
      </c>
      <c r="C2" s="208"/>
      <c r="D2" s="208"/>
      <c r="E2" s="26"/>
      <c r="F2" s="69"/>
      <c r="L2" s="69"/>
    </row>
    <row r="3" spans="2:12" ht="28.8">
      <c r="B3" s="40" t="s">
        <v>13</v>
      </c>
      <c r="C3" s="178" t="s">
        <v>139</v>
      </c>
      <c r="D3" s="178" t="s">
        <v>138</v>
      </c>
      <c r="E3" s="179"/>
      <c r="F3" s="179"/>
      <c r="G3" s="44"/>
      <c r="L3" s="28"/>
    </row>
    <row r="4" spans="2:12">
      <c r="B4" s="128" t="s">
        <v>136</v>
      </c>
      <c r="C4" s="180">
        <v>0.42</v>
      </c>
      <c r="D4" s="180">
        <v>0.1</v>
      </c>
      <c r="E4" s="179"/>
      <c r="F4" s="179"/>
      <c r="G4" s="44"/>
      <c r="L4" s="28"/>
    </row>
    <row r="5" spans="2:12">
      <c r="B5" s="128" t="s">
        <v>4</v>
      </c>
      <c r="C5" s="180">
        <v>0.43</v>
      </c>
      <c r="D5" s="180">
        <v>0.13</v>
      </c>
      <c r="E5" s="179"/>
      <c r="F5" s="179"/>
      <c r="G5" s="44"/>
      <c r="L5" s="28"/>
    </row>
    <row r="6" spans="2:12">
      <c r="B6" s="128" t="s">
        <v>5</v>
      </c>
      <c r="C6" s="180">
        <v>0.45</v>
      </c>
      <c r="D6" s="180">
        <v>0.14000000000000001</v>
      </c>
      <c r="E6" s="179"/>
      <c r="F6" s="179"/>
      <c r="G6" s="44"/>
      <c r="L6" s="28"/>
    </row>
    <row r="7" spans="2:12">
      <c r="B7" s="128" t="s">
        <v>6</v>
      </c>
      <c r="C7" s="180">
        <v>0.47</v>
      </c>
      <c r="D7" s="180">
        <v>0.14000000000000001</v>
      </c>
      <c r="E7" s="179"/>
      <c r="F7" s="179"/>
      <c r="G7" s="44"/>
      <c r="L7" s="28"/>
    </row>
    <row r="8" spans="2:12">
      <c r="B8" s="128" t="s">
        <v>7</v>
      </c>
      <c r="C8" s="180">
        <v>0.49</v>
      </c>
      <c r="D8" s="180">
        <v>0.15</v>
      </c>
      <c r="E8" s="179"/>
      <c r="F8" s="179"/>
      <c r="G8" s="44"/>
      <c r="L8" s="28"/>
    </row>
    <row r="9" spans="2:12">
      <c r="B9" s="128" t="s">
        <v>137</v>
      </c>
      <c r="C9" s="180">
        <v>0.5</v>
      </c>
      <c r="D9" s="180">
        <v>0.2</v>
      </c>
      <c r="E9" s="179"/>
      <c r="F9" s="179"/>
      <c r="G9" s="44"/>
      <c r="L9" s="28"/>
    </row>
    <row r="10" spans="2:12">
      <c r="B10" s="128" t="s">
        <v>10</v>
      </c>
      <c r="C10" s="180">
        <v>0.43</v>
      </c>
      <c r="D10" s="180">
        <v>0.25</v>
      </c>
      <c r="E10" s="179"/>
      <c r="F10" s="179"/>
      <c r="G10" s="44"/>
      <c r="L10" s="28"/>
    </row>
    <row r="11" spans="2:12">
      <c r="B11" s="128" t="s">
        <v>119</v>
      </c>
      <c r="C11" s="180">
        <v>0.36</v>
      </c>
      <c r="D11" s="180">
        <v>0.15</v>
      </c>
      <c r="E11" s="179"/>
      <c r="F11" s="179"/>
      <c r="G11" s="44"/>
      <c r="L11" s="28"/>
    </row>
    <row r="12" spans="2:12">
      <c r="B12" s="128" t="s">
        <v>141</v>
      </c>
      <c r="C12" s="180">
        <v>0.18</v>
      </c>
      <c r="D12" s="180"/>
      <c r="E12" s="179"/>
      <c r="F12" s="179"/>
      <c r="G12" s="44"/>
      <c r="L12" s="28"/>
    </row>
    <row r="13" spans="2:12">
      <c r="B13" s="44"/>
      <c r="C13" s="181"/>
      <c r="D13" s="179"/>
      <c r="E13" s="179"/>
      <c r="F13" s="179"/>
      <c r="G13" s="44"/>
      <c r="L13" s="28"/>
    </row>
    <row r="14" spans="2:12">
      <c r="B14" s="44" t="s">
        <v>140</v>
      </c>
      <c r="C14" s="181"/>
      <c r="D14" s="179"/>
      <c r="E14" s="179"/>
      <c r="F14" s="179"/>
      <c r="G14" s="44"/>
      <c r="L14" s="28"/>
    </row>
    <row r="15" spans="2:12">
      <c r="B15" s="31" t="s">
        <v>142</v>
      </c>
      <c r="C15" s="70"/>
      <c r="D15" s="28"/>
      <c r="E15" s="28"/>
      <c r="F15" s="28"/>
      <c r="L15" s="28"/>
    </row>
    <row r="16" spans="2:12">
      <c r="B16" s="1"/>
      <c r="D16" s="28"/>
      <c r="E16" s="28"/>
      <c r="F16" s="28"/>
      <c r="L16" s="28"/>
    </row>
    <row r="18" spans="2:13">
      <c r="B18" s="199" t="s">
        <v>48</v>
      </c>
      <c r="C18" s="199"/>
      <c r="D18" s="199"/>
      <c r="E18" s="199"/>
      <c r="F18" s="199"/>
    </row>
    <row r="19" spans="2:13" ht="28.8">
      <c r="B19" s="46" t="s">
        <v>124</v>
      </c>
      <c r="C19" s="46" t="s">
        <v>125</v>
      </c>
      <c r="D19" s="46" t="s">
        <v>22</v>
      </c>
      <c r="E19" s="46" t="s">
        <v>23</v>
      </c>
      <c r="F19" s="46" t="s">
        <v>102</v>
      </c>
    </row>
    <row r="20" spans="2:13">
      <c r="B20" t="s">
        <v>39</v>
      </c>
      <c r="C20" s="67">
        <v>50699447</v>
      </c>
      <c r="D20" s="67"/>
      <c r="E20" s="67">
        <v>26357</v>
      </c>
      <c r="F20" s="111">
        <v>1</v>
      </c>
    </row>
    <row r="21" spans="2:13">
      <c r="B21" t="s">
        <v>126</v>
      </c>
      <c r="C21" s="67">
        <v>12674862</v>
      </c>
      <c r="D21" s="67"/>
      <c r="E21" s="67">
        <v>1814</v>
      </c>
      <c r="F21" s="111">
        <v>1.7000000000000001E-2</v>
      </c>
    </row>
    <row r="22" spans="2:13">
      <c r="B22" t="s">
        <v>127</v>
      </c>
      <c r="C22" s="67">
        <v>12674862</v>
      </c>
      <c r="D22" s="67">
        <v>6817</v>
      </c>
      <c r="E22" s="67">
        <v>13582</v>
      </c>
      <c r="F22" s="111">
        <v>0.14599999999999999</v>
      </c>
    </row>
    <row r="23" spans="2:13">
      <c r="B23" t="s">
        <v>128</v>
      </c>
      <c r="C23" s="67">
        <v>5069945</v>
      </c>
      <c r="D23" s="67">
        <v>20006</v>
      </c>
      <c r="E23" s="67">
        <v>22592</v>
      </c>
      <c r="F23" s="111">
        <v>8.5999999999999993E-2</v>
      </c>
    </row>
    <row r="24" spans="2:13">
      <c r="B24" t="s">
        <v>129</v>
      </c>
      <c r="C24" s="67">
        <v>5069945</v>
      </c>
      <c r="D24" s="67">
        <v>25057</v>
      </c>
      <c r="E24" s="67">
        <v>27618</v>
      </c>
      <c r="F24" s="111">
        <v>0.105</v>
      </c>
      <c r="M24" s="68"/>
    </row>
    <row r="25" spans="2:13">
      <c r="B25" t="s">
        <v>130</v>
      </c>
      <c r="C25" s="67">
        <v>5069945</v>
      </c>
      <c r="D25" s="67">
        <v>30433</v>
      </c>
      <c r="E25" s="67">
        <v>33938</v>
      </c>
      <c r="F25" s="111">
        <v>0.129</v>
      </c>
    </row>
    <row r="26" spans="2:13">
      <c r="B26" s="44" t="s">
        <v>131</v>
      </c>
      <c r="C26" s="182">
        <v>5069945</v>
      </c>
      <c r="D26" s="182">
        <v>37957</v>
      </c>
      <c r="E26" s="182">
        <v>43279</v>
      </c>
      <c r="F26" s="41">
        <v>0.16400000000000001</v>
      </c>
    </row>
    <row r="27" spans="2:13">
      <c r="B27" s="44" t="s">
        <v>42</v>
      </c>
      <c r="C27" s="182">
        <v>5069945</v>
      </c>
      <c r="D27" s="182">
        <v>50313</v>
      </c>
      <c r="E27" s="182">
        <v>97649</v>
      </c>
      <c r="F27" s="41">
        <v>0.37</v>
      </c>
    </row>
    <row r="28" spans="2:13">
      <c r="B28" s="44" t="s">
        <v>132</v>
      </c>
      <c r="C28" s="182">
        <v>2534972</v>
      </c>
      <c r="D28" s="182">
        <v>68534</v>
      </c>
      <c r="E28" s="182">
        <v>137611</v>
      </c>
      <c r="F28" s="41">
        <v>0.26100000000000001</v>
      </c>
    </row>
    <row r="29" spans="2:13">
      <c r="B29" s="44" t="s">
        <v>43</v>
      </c>
      <c r="C29" s="182">
        <v>506994</v>
      </c>
      <c r="D29" s="182">
        <v>147733</v>
      </c>
      <c r="E29" s="182">
        <v>310672</v>
      </c>
      <c r="F29" s="41">
        <v>0.11799999999999999</v>
      </c>
    </row>
    <row r="30" spans="2:13">
      <c r="B30" s="44" t="s">
        <v>44</v>
      </c>
      <c r="C30" s="182">
        <v>50699</v>
      </c>
      <c r="D30" s="182">
        <v>507543</v>
      </c>
      <c r="E30" s="182">
        <v>1195681</v>
      </c>
      <c r="F30" s="41">
        <v>4.4999999999999998E-2</v>
      </c>
      <c r="G30" s="104">
        <f>E30/D30</f>
        <v>2.3558220682779587</v>
      </c>
      <c r="H30" s="147" t="s">
        <v>276</v>
      </c>
    </row>
    <row r="32" spans="2:13">
      <c r="B32" t="s">
        <v>135</v>
      </c>
    </row>
    <row r="33" spans="2:6">
      <c r="B33" s="1"/>
    </row>
    <row r="36" spans="2:6">
      <c r="B36" s="199"/>
      <c r="C36" s="199"/>
      <c r="D36" s="199"/>
      <c r="E36" s="199"/>
      <c r="F36" s="199"/>
    </row>
    <row r="37" spans="2:6">
      <c r="B37" s="86"/>
      <c r="C37" s="86"/>
      <c r="D37" s="86"/>
      <c r="E37" s="86"/>
      <c r="F37" s="86"/>
    </row>
    <row r="38" spans="2:6">
      <c r="B38" s="86"/>
      <c r="C38" s="94"/>
      <c r="D38" s="90"/>
      <c r="E38" s="90"/>
      <c r="F38" s="129"/>
    </row>
    <row r="39" spans="2:6">
      <c r="B39" s="86"/>
      <c r="C39" s="94"/>
      <c r="D39" s="90"/>
      <c r="E39" s="90"/>
      <c r="F39" s="129"/>
    </row>
    <row r="40" spans="2:6">
      <c r="B40" s="86"/>
      <c r="C40" s="94"/>
      <c r="D40" s="90"/>
      <c r="E40" s="90"/>
      <c r="F40" s="129"/>
    </row>
    <row r="41" spans="2:6">
      <c r="B41" s="86"/>
      <c r="C41" s="94"/>
      <c r="D41" s="90"/>
      <c r="E41" s="90"/>
      <c r="F41" s="129"/>
    </row>
    <row r="42" spans="2:6">
      <c r="B42" s="86"/>
      <c r="C42" s="94"/>
      <c r="D42" s="90"/>
      <c r="E42" s="90"/>
      <c r="F42" s="129"/>
    </row>
    <row r="43" spans="2:6">
      <c r="B43" s="86"/>
      <c r="C43" s="94"/>
      <c r="D43" s="90"/>
      <c r="E43" s="90"/>
      <c r="F43" s="129"/>
    </row>
    <row r="44" spans="2:6">
      <c r="B44" s="86"/>
      <c r="C44" s="94"/>
      <c r="D44" s="90"/>
      <c r="E44" s="90"/>
      <c r="F44" s="129"/>
    </row>
    <row r="45" spans="2:6">
      <c r="B45" s="86"/>
      <c r="C45" s="94"/>
      <c r="D45" s="90"/>
      <c r="E45" s="90"/>
      <c r="F45" s="129"/>
    </row>
    <row r="46" spans="2:6">
      <c r="B46" s="86"/>
      <c r="C46" s="94"/>
      <c r="D46" s="90"/>
      <c r="E46" s="90"/>
      <c r="F46" s="129"/>
    </row>
    <row r="47" spans="2:6">
      <c r="B47" s="86"/>
      <c r="C47" s="94"/>
      <c r="D47" s="90"/>
      <c r="E47" s="90"/>
      <c r="F47" s="129"/>
    </row>
    <row r="48" spans="2:6">
      <c r="B48" s="86"/>
      <c r="C48" s="94"/>
      <c r="D48" s="90"/>
      <c r="E48" s="90"/>
      <c r="F48" s="129"/>
    </row>
    <row r="49" spans="2:6">
      <c r="B49" s="86"/>
      <c r="C49" s="94"/>
      <c r="D49" s="90"/>
      <c r="E49" s="90"/>
      <c r="F49" s="129"/>
    </row>
    <row r="50" spans="2:6">
      <c r="B50" s="86"/>
      <c r="C50" s="94"/>
      <c r="D50" s="90"/>
      <c r="E50" s="90"/>
      <c r="F50" s="129"/>
    </row>
    <row r="51" spans="2:6">
      <c r="B51" s="86"/>
      <c r="C51" s="94"/>
      <c r="D51" s="90"/>
      <c r="E51" s="90"/>
      <c r="F51" s="129"/>
    </row>
    <row r="52" spans="2:6">
      <c r="B52" s="86"/>
      <c r="C52" s="94"/>
      <c r="D52" s="90"/>
      <c r="E52" s="90"/>
      <c r="F52" s="129"/>
    </row>
    <row r="53" spans="2:6">
      <c r="B53" s="86"/>
      <c r="C53" s="94"/>
      <c r="D53" s="90"/>
      <c r="E53" s="90"/>
      <c r="F53" s="129"/>
    </row>
    <row r="54" spans="2:6">
      <c r="B54" s="86"/>
      <c r="C54" s="94"/>
      <c r="D54" s="90"/>
      <c r="E54" s="90"/>
      <c r="F54" s="129"/>
    </row>
    <row r="55" spans="2:6">
      <c r="B55" s="86"/>
      <c r="C55" s="94"/>
      <c r="D55" s="90"/>
      <c r="E55" s="90"/>
      <c r="F55" s="129"/>
    </row>
    <row r="56" spans="2:6">
      <c r="B56" s="86"/>
      <c r="C56" s="94"/>
      <c r="D56" s="90"/>
      <c r="E56" s="90"/>
      <c r="F56" s="129"/>
    </row>
    <row r="57" spans="2:6">
      <c r="B57" s="86"/>
      <c r="C57" s="94"/>
      <c r="D57" s="90"/>
      <c r="E57" s="90"/>
      <c r="F57" s="129"/>
    </row>
    <row r="58" spans="2:6">
      <c r="B58" s="86"/>
      <c r="C58" s="94"/>
      <c r="D58" s="90"/>
      <c r="E58" s="90"/>
      <c r="F58" s="129"/>
    </row>
    <row r="59" spans="2:6">
      <c r="B59" s="86"/>
      <c r="C59" s="94"/>
      <c r="D59" s="90"/>
      <c r="E59" s="90"/>
      <c r="F59" s="129"/>
    </row>
    <row r="60" spans="2:6">
      <c r="B60" s="86"/>
      <c r="C60" s="94"/>
      <c r="D60" s="90"/>
      <c r="E60" s="90"/>
      <c r="F60" s="129"/>
    </row>
    <row r="61" spans="2:6">
      <c r="B61" s="86"/>
      <c r="C61" s="94"/>
      <c r="D61" s="90"/>
      <c r="E61" s="90"/>
      <c r="F61" s="129"/>
    </row>
    <row r="62" spans="2:6">
      <c r="B62" s="86"/>
      <c r="C62" s="94"/>
      <c r="D62" s="90"/>
      <c r="E62" s="90"/>
      <c r="F62" s="129"/>
    </row>
    <row r="63" spans="2:6">
      <c r="B63" s="86"/>
      <c r="C63" s="94"/>
      <c r="D63" s="90"/>
      <c r="E63" s="90"/>
      <c r="F63" s="129"/>
    </row>
    <row r="64" spans="2:6">
      <c r="B64" s="86"/>
      <c r="C64" s="94"/>
      <c r="D64" s="90"/>
      <c r="E64" s="90"/>
      <c r="F64" s="129"/>
    </row>
    <row r="65" spans="2:6">
      <c r="B65" s="86"/>
      <c r="C65" s="94"/>
      <c r="D65" s="90"/>
      <c r="E65" s="90"/>
      <c r="F65" s="129"/>
    </row>
    <row r="66" spans="2:6">
      <c r="B66" s="86"/>
      <c r="C66" s="94"/>
      <c r="D66" s="90"/>
      <c r="E66" s="90"/>
      <c r="F66" s="129"/>
    </row>
    <row r="67" spans="2:6">
      <c r="B67" s="86"/>
      <c r="C67" s="94"/>
      <c r="D67" s="90"/>
      <c r="E67" s="90"/>
      <c r="F67" s="129"/>
    </row>
    <row r="68" spans="2:6">
      <c r="B68" s="86"/>
      <c r="C68" s="94"/>
      <c r="D68" s="90"/>
      <c r="E68" s="90"/>
      <c r="F68" s="129"/>
    </row>
    <row r="69" spans="2:6">
      <c r="B69" s="86"/>
      <c r="C69" s="94"/>
      <c r="D69" s="90"/>
      <c r="E69" s="90"/>
      <c r="F69" s="129"/>
    </row>
    <row r="70" spans="2:6">
      <c r="B70" s="86"/>
      <c r="C70" s="94"/>
      <c r="D70" s="90"/>
      <c r="E70" s="90"/>
      <c r="F70" s="129"/>
    </row>
    <row r="71" spans="2:6">
      <c r="B71" s="86"/>
      <c r="C71" s="94"/>
      <c r="D71" s="90"/>
      <c r="E71" s="90"/>
      <c r="F71" s="129"/>
    </row>
    <row r="72" spans="2:6">
      <c r="B72" s="86"/>
      <c r="C72" s="94"/>
      <c r="D72" s="90"/>
      <c r="E72" s="90"/>
      <c r="F72" s="129"/>
    </row>
    <row r="73" spans="2:6">
      <c r="B73" s="86"/>
      <c r="C73" s="94"/>
      <c r="D73" s="90"/>
      <c r="E73" s="90"/>
      <c r="F73" s="129"/>
    </row>
    <row r="74" spans="2:6">
      <c r="B74" s="86"/>
      <c r="C74" s="94"/>
      <c r="D74" s="90"/>
      <c r="E74" s="90"/>
      <c r="F74" s="129"/>
    </row>
    <row r="75" spans="2:6">
      <c r="B75" s="86"/>
      <c r="C75" s="94"/>
      <c r="D75" s="90"/>
      <c r="E75" s="90"/>
      <c r="F75" s="129"/>
    </row>
    <row r="76" spans="2:6">
      <c r="B76" s="86"/>
      <c r="C76" s="94"/>
      <c r="D76" s="90"/>
      <c r="E76" s="90"/>
      <c r="F76" s="129"/>
    </row>
    <row r="77" spans="2:6">
      <c r="B77" s="86"/>
      <c r="C77" s="94"/>
      <c r="D77" s="90"/>
      <c r="E77" s="90"/>
      <c r="F77" s="129"/>
    </row>
    <row r="78" spans="2:6">
      <c r="B78" s="86"/>
      <c r="C78" s="94"/>
      <c r="D78" s="90"/>
      <c r="E78" s="90"/>
      <c r="F78" s="129"/>
    </row>
    <row r="79" spans="2:6">
      <c r="B79" s="86"/>
      <c r="C79" s="94"/>
      <c r="D79" s="90"/>
      <c r="E79" s="90"/>
      <c r="F79" s="129"/>
    </row>
    <row r="80" spans="2:6">
      <c r="B80" s="86"/>
      <c r="C80" s="94"/>
      <c r="D80" s="90"/>
      <c r="E80" s="90"/>
      <c r="F80" s="129"/>
    </row>
    <row r="81" spans="2:6">
      <c r="B81" s="86"/>
      <c r="C81" s="94"/>
      <c r="D81" s="90"/>
      <c r="E81" s="90"/>
      <c r="F81" s="129"/>
    </row>
    <row r="82" spans="2:6">
      <c r="B82" s="86"/>
      <c r="C82" s="94"/>
      <c r="D82" s="90"/>
      <c r="E82" s="90"/>
      <c r="F82" s="129"/>
    </row>
    <row r="83" spans="2:6">
      <c r="B83" s="86"/>
      <c r="C83" s="94"/>
      <c r="D83" s="90"/>
      <c r="E83" s="90"/>
      <c r="F83" s="129"/>
    </row>
    <row r="84" spans="2:6">
      <c r="B84" s="86"/>
      <c r="C84" s="94"/>
      <c r="D84" s="90"/>
      <c r="E84" s="90"/>
      <c r="F84" s="129"/>
    </row>
    <row r="85" spans="2:6">
      <c r="B85" s="86"/>
      <c r="C85" s="94"/>
      <c r="D85" s="90"/>
      <c r="E85" s="90"/>
      <c r="F85" s="129"/>
    </row>
    <row r="86" spans="2:6">
      <c r="B86" s="86"/>
      <c r="C86" s="94"/>
      <c r="D86" s="90"/>
      <c r="E86" s="90"/>
      <c r="F86" s="129"/>
    </row>
    <row r="87" spans="2:6">
      <c r="B87" s="86"/>
      <c r="C87" s="94"/>
      <c r="D87" s="90"/>
      <c r="E87" s="90"/>
      <c r="F87" s="129"/>
    </row>
    <row r="88" spans="2:6">
      <c r="B88" s="86"/>
      <c r="C88" s="94"/>
      <c r="D88" s="90"/>
      <c r="E88" s="90"/>
      <c r="F88" s="129"/>
    </row>
    <row r="89" spans="2:6">
      <c r="B89" s="86"/>
      <c r="C89" s="94"/>
      <c r="D89" s="90"/>
      <c r="E89" s="90"/>
      <c r="F89" s="129"/>
    </row>
    <row r="90" spans="2:6">
      <c r="B90" s="86"/>
      <c r="C90" s="94"/>
      <c r="D90" s="90"/>
      <c r="E90" s="90"/>
      <c r="F90" s="129"/>
    </row>
    <row r="91" spans="2:6">
      <c r="B91" s="86"/>
      <c r="C91" s="94"/>
      <c r="D91" s="90"/>
      <c r="E91" s="90"/>
      <c r="F91" s="129"/>
    </row>
    <row r="92" spans="2:6">
      <c r="B92" s="86"/>
      <c r="C92" s="94"/>
      <c r="D92" s="90"/>
      <c r="E92" s="90"/>
      <c r="F92" s="129"/>
    </row>
    <row r="93" spans="2:6">
      <c r="B93" s="86"/>
      <c r="C93" s="94"/>
      <c r="D93" s="90"/>
      <c r="E93" s="90"/>
      <c r="F93" s="129"/>
    </row>
    <row r="94" spans="2:6">
      <c r="B94" s="86"/>
      <c r="C94" s="94"/>
      <c r="D94" s="90"/>
      <c r="E94" s="90"/>
      <c r="F94" s="129"/>
    </row>
    <row r="95" spans="2:6">
      <c r="B95" s="86"/>
      <c r="C95" s="94"/>
      <c r="D95" s="90"/>
      <c r="E95" s="90"/>
      <c r="F95" s="129"/>
    </row>
    <row r="96" spans="2:6">
      <c r="B96" s="86"/>
      <c r="C96" s="94"/>
      <c r="D96" s="90"/>
      <c r="E96" s="90"/>
      <c r="F96" s="129"/>
    </row>
    <row r="97" spans="2:6">
      <c r="B97" s="86"/>
      <c r="C97" s="94"/>
      <c r="D97" s="90"/>
      <c r="E97" s="90"/>
      <c r="F97" s="129"/>
    </row>
    <row r="98" spans="2:6">
      <c r="B98" s="86"/>
      <c r="C98" s="94"/>
      <c r="D98" s="90"/>
      <c r="E98" s="90"/>
      <c r="F98" s="129"/>
    </row>
    <row r="99" spans="2:6">
      <c r="B99" s="86"/>
      <c r="C99" s="94"/>
      <c r="D99" s="90"/>
      <c r="E99" s="90"/>
      <c r="F99" s="129"/>
    </row>
    <row r="100" spans="2:6">
      <c r="B100" s="86"/>
      <c r="C100" s="94"/>
      <c r="D100" s="90"/>
      <c r="E100" s="90"/>
      <c r="F100" s="129"/>
    </row>
    <row r="101" spans="2:6">
      <c r="B101" s="86"/>
      <c r="C101" s="94"/>
      <c r="D101" s="90"/>
      <c r="E101" s="90"/>
      <c r="F101" s="129"/>
    </row>
    <row r="102" spans="2:6">
      <c r="B102" s="86"/>
      <c r="C102" s="94"/>
      <c r="D102" s="90"/>
      <c r="E102" s="90"/>
      <c r="F102" s="129"/>
    </row>
    <row r="103" spans="2:6">
      <c r="B103" s="86"/>
      <c r="C103" s="94"/>
      <c r="D103" s="90"/>
      <c r="E103" s="90"/>
      <c r="F103" s="129"/>
    </row>
    <row r="104" spans="2:6">
      <c r="B104" s="86"/>
      <c r="C104" s="94"/>
      <c r="D104" s="90"/>
      <c r="E104" s="90"/>
      <c r="F104" s="129"/>
    </row>
    <row r="105" spans="2:6">
      <c r="B105" s="86"/>
      <c r="C105" s="94"/>
      <c r="D105" s="90"/>
      <c r="E105" s="90"/>
      <c r="F105" s="129"/>
    </row>
    <row r="106" spans="2:6">
      <c r="B106" s="86"/>
      <c r="C106" s="94"/>
      <c r="D106" s="90"/>
      <c r="E106" s="90"/>
      <c r="F106" s="129"/>
    </row>
    <row r="107" spans="2:6">
      <c r="B107" s="86"/>
      <c r="C107" s="94"/>
      <c r="D107" s="90"/>
      <c r="E107" s="90"/>
      <c r="F107" s="129"/>
    </row>
    <row r="108" spans="2:6">
      <c r="B108" s="86"/>
      <c r="C108" s="94"/>
      <c r="D108" s="90"/>
      <c r="E108" s="90"/>
      <c r="F108" s="129"/>
    </row>
    <row r="109" spans="2:6">
      <c r="B109" s="86"/>
      <c r="C109" s="94"/>
      <c r="D109" s="90"/>
      <c r="E109" s="90"/>
      <c r="F109" s="129"/>
    </row>
    <row r="110" spans="2:6">
      <c r="B110" s="86"/>
      <c r="C110" s="94"/>
      <c r="D110" s="90"/>
      <c r="E110" s="90"/>
      <c r="F110" s="129"/>
    </row>
    <row r="111" spans="2:6">
      <c r="B111" s="86"/>
      <c r="C111" s="94"/>
      <c r="D111" s="90"/>
      <c r="E111" s="90"/>
      <c r="F111" s="129"/>
    </row>
    <row r="112" spans="2:6">
      <c r="B112" s="86"/>
      <c r="C112" s="94"/>
      <c r="D112" s="90"/>
      <c r="E112" s="90"/>
      <c r="F112" s="129"/>
    </row>
    <row r="113" spans="2:6">
      <c r="B113" s="86"/>
      <c r="C113" s="94"/>
      <c r="D113" s="90"/>
      <c r="E113" s="90"/>
      <c r="F113" s="129"/>
    </row>
    <row r="114" spans="2:6">
      <c r="B114" s="86"/>
      <c r="C114" s="94"/>
      <c r="D114" s="90"/>
      <c r="E114" s="90"/>
      <c r="F114" s="129"/>
    </row>
    <row r="115" spans="2:6">
      <c r="B115" s="86"/>
      <c r="C115" s="94"/>
      <c r="D115" s="90"/>
      <c r="E115" s="90"/>
      <c r="F115" s="129"/>
    </row>
    <row r="116" spans="2:6">
      <c r="B116" s="86"/>
      <c r="C116" s="94"/>
      <c r="D116" s="90"/>
      <c r="E116" s="90"/>
      <c r="F116" s="129"/>
    </row>
    <row r="117" spans="2:6">
      <c r="B117" s="86"/>
      <c r="C117" s="94"/>
      <c r="D117" s="90"/>
      <c r="E117" s="90"/>
      <c r="F117" s="129"/>
    </row>
    <row r="118" spans="2:6">
      <c r="B118" s="86"/>
      <c r="C118" s="94"/>
      <c r="D118" s="90"/>
      <c r="E118" s="90"/>
      <c r="F118" s="129"/>
    </row>
    <row r="119" spans="2:6">
      <c r="B119" s="86"/>
      <c r="C119" s="94"/>
      <c r="D119" s="90"/>
      <c r="E119" s="90"/>
      <c r="F119" s="129"/>
    </row>
    <row r="120" spans="2:6">
      <c r="B120" s="86"/>
      <c r="C120" s="94"/>
      <c r="D120" s="90"/>
      <c r="E120" s="90"/>
      <c r="F120" s="129"/>
    </row>
    <row r="121" spans="2:6">
      <c r="B121" s="86"/>
      <c r="C121" s="94"/>
      <c r="D121" s="90"/>
      <c r="E121" s="90"/>
      <c r="F121" s="129"/>
    </row>
    <row r="122" spans="2:6">
      <c r="B122" s="86"/>
      <c r="C122" s="94"/>
      <c r="D122" s="90"/>
      <c r="E122" s="90"/>
      <c r="F122" s="129"/>
    </row>
    <row r="123" spans="2:6">
      <c r="B123" s="86"/>
      <c r="C123" s="94"/>
      <c r="D123" s="90"/>
      <c r="E123" s="90"/>
      <c r="F123" s="129"/>
    </row>
    <row r="124" spans="2:6">
      <c r="B124" s="86"/>
      <c r="C124" s="94"/>
      <c r="D124" s="90"/>
      <c r="E124" s="90"/>
      <c r="F124" s="129"/>
    </row>
    <row r="125" spans="2:6">
      <c r="B125" s="86"/>
      <c r="C125" s="94"/>
      <c r="D125" s="90"/>
      <c r="E125" s="90"/>
      <c r="F125" s="129"/>
    </row>
    <row r="126" spans="2:6">
      <c r="B126" s="86"/>
      <c r="C126" s="94"/>
      <c r="D126" s="90"/>
      <c r="E126" s="90"/>
      <c r="F126" s="129"/>
    </row>
    <row r="127" spans="2:6">
      <c r="B127" s="86"/>
      <c r="C127" s="94"/>
      <c r="D127" s="90"/>
      <c r="E127" s="90"/>
      <c r="F127" s="129"/>
    </row>
    <row r="128" spans="2:6">
      <c r="B128" s="86"/>
      <c r="C128" s="94"/>
      <c r="D128" s="90"/>
      <c r="E128" s="90"/>
      <c r="F128" s="129"/>
    </row>
    <row r="129" spans="2:6">
      <c r="B129" s="86"/>
      <c r="C129" s="94"/>
      <c r="D129" s="90"/>
      <c r="E129" s="90"/>
      <c r="F129" s="129"/>
    </row>
    <row r="130" spans="2:6">
      <c r="B130" s="86"/>
      <c r="C130" s="94"/>
      <c r="D130" s="90"/>
      <c r="E130" s="90"/>
      <c r="F130" s="129"/>
    </row>
    <row r="131" spans="2:6">
      <c r="B131" s="86"/>
      <c r="C131" s="94"/>
      <c r="D131" s="90"/>
      <c r="E131" s="90"/>
      <c r="F131" s="129"/>
    </row>
    <row r="132" spans="2:6">
      <c r="B132" s="86"/>
      <c r="C132" s="94"/>
      <c r="D132" s="90"/>
      <c r="E132" s="90"/>
      <c r="F132" s="129"/>
    </row>
    <row r="133" spans="2:6">
      <c r="B133" s="86"/>
      <c r="C133" s="94"/>
      <c r="D133" s="90"/>
      <c r="E133" s="90"/>
      <c r="F133" s="129"/>
    </row>
    <row r="134" spans="2:6">
      <c r="B134" s="86"/>
      <c r="C134" s="94"/>
      <c r="D134" s="90"/>
      <c r="E134" s="90"/>
      <c r="F134" s="129"/>
    </row>
    <row r="135" spans="2:6">
      <c r="B135" s="86"/>
      <c r="C135" s="94"/>
      <c r="D135" s="90"/>
      <c r="E135" s="90"/>
      <c r="F135" s="129"/>
    </row>
    <row r="136" spans="2:6">
      <c r="B136" s="86"/>
      <c r="C136" s="94"/>
      <c r="D136" s="90"/>
      <c r="E136" s="90"/>
      <c r="F136" s="129"/>
    </row>
    <row r="137" spans="2:6">
      <c r="B137" s="86"/>
      <c r="C137" s="94"/>
      <c r="D137" s="90"/>
      <c r="E137" s="90"/>
      <c r="F137" s="129"/>
    </row>
    <row r="138" spans="2:6">
      <c r="B138" s="86"/>
      <c r="C138" s="94"/>
      <c r="D138" s="90"/>
      <c r="E138" s="90"/>
      <c r="F138" s="129"/>
    </row>
    <row r="139" spans="2:6">
      <c r="B139" s="86"/>
      <c r="C139" s="94"/>
      <c r="D139" s="90"/>
      <c r="E139" s="90"/>
      <c r="F139" s="129"/>
    </row>
    <row r="140" spans="2:6">
      <c r="B140" s="86"/>
      <c r="C140" s="94"/>
      <c r="D140" s="90"/>
      <c r="E140" s="90"/>
      <c r="F140" s="129"/>
    </row>
    <row r="141" spans="2:6">
      <c r="B141" s="86"/>
      <c r="C141" s="94"/>
      <c r="D141" s="90"/>
      <c r="E141" s="90"/>
      <c r="F141" s="129"/>
    </row>
    <row r="142" spans="2:6">
      <c r="B142" s="86"/>
      <c r="C142" s="94"/>
      <c r="D142" s="90"/>
      <c r="E142" s="90"/>
      <c r="F142" s="129"/>
    </row>
    <row r="143" spans="2:6">
      <c r="B143" s="86"/>
      <c r="C143" s="94"/>
      <c r="D143" s="90"/>
      <c r="E143" s="90"/>
      <c r="F143" s="129"/>
    </row>
    <row r="144" spans="2:6">
      <c r="B144" s="86"/>
      <c r="C144" s="94"/>
      <c r="D144" s="90"/>
      <c r="E144" s="90"/>
      <c r="F144" s="129"/>
    </row>
    <row r="145" spans="2:7">
      <c r="B145" s="86"/>
      <c r="C145" s="94"/>
      <c r="D145" s="90"/>
      <c r="E145" s="90"/>
      <c r="F145" s="129"/>
    </row>
    <row r="146" spans="2:7">
      <c r="B146" s="86"/>
      <c r="C146" s="94"/>
      <c r="D146" s="90"/>
      <c r="E146" s="90"/>
      <c r="F146" s="129"/>
    </row>
    <row r="147" spans="2:7">
      <c r="B147" s="86"/>
      <c r="C147" s="94"/>
      <c r="D147" s="90"/>
      <c r="E147" s="90"/>
      <c r="F147" s="129"/>
    </row>
    <row r="148" spans="2:7">
      <c r="B148" s="86"/>
      <c r="C148" s="94"/>
      <c r="D148" s="90"/>
      <c r="E148" s="90"/>
      <c r="F148" s="129"/>
    </row>
    <row r="149" spans="2:7">
      <c r="B149" s="86"/>
      <c r="C149" s="94"/>
      <c r="D149" s="90"/>
      <c r="E149" s="90"/>
      <c r="F149" s="129"/>
      <c r="G149" s="86"/>
    </row>
    <row r="150" spans="2:7">
      <c r="B150" s="86"/>
      <c r="C150" s="94"/>
      <c r="D150" s="90"/>
      <c r="E150" s="90"/>
      <c r="F150" s="129"/>
      <c r="G150" s="86"/>
    </row>
    <row r="151" spans="2:7">
      <c r="B151" s="86"/>
      <c r="C151" s="94"/>
      <c r="D151" s="90"/>
      <c r="E151" s="90"/>
      <c r="F151" s="129"/>
      <c r="G151" s="86"/>
    </row>
    <row r="152" spans="2:7">
      <c r="B152" s="86"/>
      <c r="C152" s="94"/>
      <c r="D152" s="90"/>
      <c r="E152" s="90"/>
      <c r="F152" s="129"/>
      <c r="G152" s="86"/>
    </row>
    <row r="153" spans="2:7">
      <c r="B153" s="86"/>
      <c r="C153" s="94"/>
      <c r="D153" s="90"/>
      <c r="E153" s="90"/>
      <c r="F153" s="129"/>
      <c r="G153" s="86"/>
    </row>
    <row r="154" spans="2:7">
      <c r="B154" s="86"/>
      <c r="C154" s="94"/>
      <c r="D154" s="90"/>
      <c r="E154" s="90"/>
      <c r="F154" s="129"/>
      <c r="G154" s="86"/>
    </row>
    <row r="155" spans="2:7">
      <c r="B155" s="86"/>
      <c r="C155" s="94"/>
      <c r="D155" s="90"/>
      <c r="E155" s="90"/>
      <c r="F155" s="129"/>
      <c r="G155" s="86"/>
    </row>
    <row r="156" spans="2:7">
      <c r="B156" s="86"/>
      <c r="C156" s="94"/>
      <c r="D156" s="90"/>
      <c r="E156" s="90"/>
      <c r="F156" s="129"/>
      <c r="G156" s="86"/>
    </row>
    <row r="157" spans="2:7">
      <c r="B157" s="86"/>
      <c r="C157" s="94"/>
      <c r="D157" s="90"/>
      <c r="E157" s="90"/>
      <c r="F157" s="129"/>
      <c r="G157" s="86"/>
    </row>
    <row r="158" spans="2:7">
      <c r="B158" s="86"/>
      <c r="C158" s="94"/>
      <c r="D158" s="90"/>
      <c r="E158" s="90"/>
      <c r="F158" s="129"/>
      <c r="G158" s="86"/>
    </row>
    <row r="159" spans="2:7">
      <c r="B159" s="86"/>
      <c r="C159" s="94"/>
      <c r="D159" s="90"/>
      <c r="E159" s="90"/>
      <c r="F159" s="129"/>
      <c r="G159" s="86"/>
    </row>
    <row r="160" spans="2:7">
      <c r="B160" s="86"/>
      <c r="C160" s="94"/>
      <c r="D160" s="90"/>
      <c r="E160" s="90"/>
      <c r="F160" s="129"/>
      <c r="G160" s="86"/>
    </row>
    <row r="161" spans="2:7">
      <c r="B161" s="86"/>
      <c r="C161" s="94"/>
      <c r="D161" s="90"/>
      <c r="E161" s="90"/>
      <c r="F161" s="129"/>
      <c r="G161" s="86"/>
    </row>
    <row r="162" spans="2:7">
      <c r="B162" s="86"/>
      <c r="C162" s="94"/>
      <c r="D162" s="90"/>
      <c r="E162" s="90"/>
      <c r="F162" s="129"/>
      <c r="G162" s="86"/>
    </row>
    <row r="163" spans="2:7">
      <c r="B163" s="86"/>
      <c r="C163" s="94"/>
      <c r="D163" s="63"/>
      <c r="E163" s="63"/>
      <c r="F163" s="129"/>
    </row>
    <row r="164" spans="2:7">
      <c r="B164" s="86"/>
      <c r="C164" s="94"/>
      <c r="D164" s="63"/>
      <c r="E164" s="63"/>
      <c r="F164" s="129"/>
    </row>
    <row r="165" spans="2:7">
      <c r="C165" s="23"/>
      <c r="D165" s="23"/>
      <c r="E165" s="23"/>
      <c r="F165" s="23"/>
    </row>
    <row r="166" spans="2:7">
      <c r="D166" s="17"/>
      <c r="E166" s="92"/>
      <c r="F166" s="92"/>
    </row>
  </sheetData>
  <mergeCells count="3">
    <mergeCell ref="B18:F18"/>
    <mergeCell ref="B2:D2"/>
    <mergeCell ref="B36:F36"/>
  </mergeCells>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8562F-2B27-4E8C-AAFC-DDC8915E49AC}">
  <dimension ref="A2:P73"/>
  <sheetViews>
    <sheetView zoomScale="115" zoomScaleNormal="115" workbookViewId="0">
      <selection activeCell="H81" sqref="H81"/>
    </sheetView>
  </sheetViews>
  <sheetFormatPr baseColWidth="10" defaultRowHeight="14.4"/>
  <cols>
    <col min="2" max="3" width="11.5546875" style="162"/>
    <col min="4" max="12" width="13.6640625" style="44" customWidth="1"/>
    <col min="13" max="13" width="15.44140625" style="44" bestFit="1" customWidth="1"/>
    <col min="14" max="14" width="12.5546875" style="44" customWidth="1"/>
    <col min="15" max="15" width="11.6640625" style="44" bestFit="1" customWidth="1"/>
  </cols>
  <sheetData>
    <row r="2" spans="1:15" s="86" customFormat="1">
      <c r="B2" s="162"/>
      <c r="C2" s="162"/>
      <c r="D2" s="226" t="s">
        <v>191</v>
      </c>
      <c r="E2" s="226"/>
      <c r="F2" s="226"/>
      <c r="G2" s="226"/>
      <c r="H2" s="226"/>
      <c r="I2" s="226"/>
      <c r="J2" s="226"/>
      <c r="K2" s="226"/>
      <c r="L2" s="226"/>
      <c r="M2" s="226"/>
      <c r="N2" s="44"/>
      <c r="O2" s="227" t="s">
        <v>309</v>
      </c>
    </row>
    <row r="3" spans="1:15">
      <c r="A3" s="44"/>
      <c r="B3" s="165" t="s">
        <v>307</v>
      </c>
      <c r="C3" s="165" t="s">
        <v>306</v>
      </c>
      <c r="D3" s="85">
        <v>2015</v>
      </c>
      <c r="E3" s="160">
        <v>2016</v>
      </c>
      <c r="F3" s="160">
        <v>2017</v>
      </c>
      <c r="G3" s="160">
        <v>2018</v>
      </c>
      <c r="H3" s="160">
        <v>2019</v>
      </c>
      <c r="I3" s="160">
        <v>2020</v>
      </c>
      <c r="J3" s="160">
        <v>2021</v>
      </c>
      <c r="K3" s="160">
        <v>2022</v>
      </c>
      <c r="L3" s="160">
        <v>2023</v>
      </c>
      <c r="M3" s="160">
        <v>2024</v>
      </c>
      <c r="O3" s="227"/>
    </row>
    <row r="4" spans="1:15">
      <c r="A4" s="44"/>
    </row>
    <row r="5" spans="1:15">
      <c r="A5" s="44"/>
      <c r="B5" s="2" t="s">
        <v>190</v>
      </c>
      <c r="C5" s="2" t="s">
        <v>189</v>
      </c>
      <c r="D5" s="163">
        <v>281665.81329999998</v>
      </c>
      <c r="E5" s="163">
        <v>283728.63640000002</v>
      </c>
      <c r="F5" s="163">
        <v>293012.29070000001</v>
      </c>
      <c r="G5" s="163">
        <v>306547.67540000001</v>
      </c>
      <c r="H5" s="163">
        <v>311439.79790000001</v>
      </c>
      <c r="I5" s="163">
        <v>287122.08590000001</v>
      </c>
      <c r="J5" s="163">
        <v>323189.61989999999</v>
      </c>
      <c r="K5" s="163">
        <v>338549.96260000003</v>
      </c>
      <c r="L5" s="163">
        <v>353306.30200000003</v>
      </c>
      <c r="M5" s="163">
        <v>365008.61330000003</v>
      </c>
      <c r="O5" s="21">
        <f>(M5/E5)^(1/8) - 1</f>
        <v>3.1988820813529939E-2</v>
      </c>
    </row>
    <row r="6" spans="1:15">
      <c r="A6" s="44"/>
      <c r="B6" s="2" t="s">
        <v>190</v>
      </c>
      <c r="C6" s="2" t="s">
        <v>188</v>
      </c>
      <c r="D6" s="163">
        <v>926532.2807</v>
      </c>
      <c r="E6" s="163">
        <v>944375.37320000003</v>
      </c>
      <c r="F6" s="163">
        <v>1010828.4266</v>
      </c>
      <c r="G6" s="163">
        <v>1168007.4314999999</v>
      </c>
      <c r="H6" s="163">
        <v>1159051.5205000001</v>
      </c>
      <c r="I6" s="163">
        <v>1042575.8739</v>
      </c>
      <c r="J6" s="163">
        <v>1340604.9879000001</v>
      </c>
      <c r="K6" s="163">
        <v>1341070.4889</v>
      </c>
      <c r="L6" s="163">
        <v>1367315.3495</v>
      </c>
      <c r="M6" s="163">
        <v>1412603.9556</v>
      </c>
      <c r="O6" s="21">
        <f t="shared" ref="O6:O8" si="0">(M6/E6)^(1/8) - 1</f>
        <v>5.1621534096552013E-2</v>
      </c>
    </row>
    <row r="7" spans="1:15">
      <c r="A7" s="44"/>
      <c r="B7" s="2" t="s">
        <v>190</v>
      </c>
      <c r="C7" s="2" t="s">
        <v>187</v>
      </c>
      <c r="D7" s="163">
        <v>3253157.7855000002</v>
      </c>
      <c r="E7" s="163">
        <v>3369797.5874999999</v>
      </c>
      <c r="F7" s="163">
        <v>3710635.9966000002</v>
      </c>
      <c r="G7" s="163">
        <v>4906499.6194000002</v>
      </c>
      <c r="H7" s="163">
        <v>4777769.6265000002</v>
      </c>
      <c r="I7" s="163">
        <v>4178577.9073000001</v>
      </c>
      <c r="J7" s="163">
        <v>6183935.466</v>
      </c>
      <c r="K7" s="163">
        <v>5767540.9134999998</v>
      </c>
      <c r="L7" s="163">
        <v>5489222.2060000002</v>
      </c>
      <c r="M7" s="163">
        <v>5671037.7778000003</v>
      </c>
      <c r="O7" s="21">
        <f t="shared" si="0"/>
        <v>6.7228318747607929E-2</v>
      </c>
    </row>
    <row r="8" spans="1:15">
      <c r="A8" s="44"/>
      <c r="B8" s="2" t="s">
        <v>190</v>
      </c>
      <c r="C8" s="2" t="s">
        <v>186</v>
      </c>
      <c r="D8" s="163">
        <v>16944652.197299998</v>
      </c>
      <c r="E8" s="163">
        <v>17968757.545899998</v>
      </c>
      <c r="F8" s="163">
        <v>25213361.057300001</v>
      </c>
      <c r="G8" s="163">
        <v>33431961.457400002</v>
      </c>
      <c r="H8" s="163">
        <v>25645138.578000002</v>
      </c>
      <c r="I8" s="163">
        <v>25081435.605900001</v>
      </c>
      <c r="J8" s="163">
        <v>49235845.562299997</v>
      </c>
      <c r="K8" s="163">
        <v>32558968.0163</v>
      </c>
      <c r="L8" s="163">
        <v>39605408.366599999</v>
      </c>
      <c r="M8" s="163">
        <v>40917220.200000003</v>
      </c>
      <c r="O8" s="21">
        <f t="shared" si="0"/>
        <v>0.10834128077179117</v>
      </c>
    </row>
    <row r="9" spans="1:15">
      <c r="A9" s="44"/>
      <c r="D9" s="63"/>
      <c r="E9" s="63"/>
      <c r="F9" s="63"/>
      <c r="G9" s="63"/>
      <c r="H9" s="63"/>
      <c r="I9" s="63"/>
      <c r="J9" s="63"/>
      <c r="K9" s="63"/>
      <c r="L9" s="63"/>
      <c r="M9" s="63"/>
    </row>
    <row r="10" spans="1:15">
      <c r="A10" s="44"/>
      <c r="B10" s="2" t="s">
        <v>302</v>
      </c>
      <c r="C10" s="2" t="s">
        <v>189</v>
      </c>
      <c r="D10" s="163">
        <v>726678.1814</v>
      </c>
      <c r="E10" s="163">
        <v>729965.76089999999</v>
      </c>
      <c r="F10" s="163">
        <v>774960.41440000001</v>
      </c>
      <c r="G10" s="163">
        <v>819467.13950000005</v>
      </c>
      <c r="H10" s="163">
        <v>847204.36840000004</v>
      </c>
      <c r="I10" s="163">
        <v>780923.97790000006</v>
      </c>
      <c r="J10" s="163">
        <v>905777.64399999997</v>
      </c>
      <c r="K10" s="163">
        <v>1003521.7274</v>
      </c>
      <c r="L10" s="163">
        <v>1057582.7080000001</v>
      </c>
      <c r="M10" s="163">
        <v>1098008.3999999999</v>
      </c>
      <c r="O10" s="21">
        <f>(M10/H10)^(1/5) - 1</f>
        <v>5.3230665114281539E-2</v>
      </c>
    </row>
    <row r="11" spans="1:15">
      <c r="A11" s="44"/>
      <c r="B11" s="2" t="s">
        <v>302</v>
      </c>
      <c r="C11" s="2" t="s">
        <v>188</v>
      </c>
      <c r="D11" s="163">
        <v>3357210.1570000001</v>
      </c>
      <c r="E11" s="163">
        <v>3345071.7272999999</v>
      </c>
      <c r="F11" s="163">
        <v>3491827.4487000001</v>
      </c>
      <c r="G11" s="163">
        <v>3729826.5792</v>
      </c>
      <c r="H11" s="163">
        <v>3782305.7582999999</v>
      </c>
      <c r="I11" s="163">
        <v>3503646.9597</v>
      </c>
      <c r="J11" s="163">
        <v>4284199.4724000003</v>
      </c>
      <c r="K11" s="163">
        <v>4841063.1478000004</v>
      </c>
      <c r="L11" s="163">
        <v>5101857.3229999999</v>
      </c>
      <c r="M11" s="163">
        <v>5296873.8556000004</v>
      </c>
      <c r="O11" s="21">
        <f t="shared" ref="O11:O13" si="1">(M11/H11)^(1/5) - 1</f>
        <v>6.9676855940272286E-2</v>
      </c>
    </row>
    <row r="12" spans="1:15">
      <c r="A12" s="44"/>
      <c r="B12" s="2" t="s">
        <v>302</v>
      </c>
      <c r="C12" s="2" t="s">
        <v>187</v>
      </c>
      <c r="D12" s="163">
        <v>15710021.888499999</v>
      </c>
      <c r="E12" s="163">
        <v>15528098.6908</v>
      </c>
      <c r="F12" s="163">
        <v>16145008.6337</v>
      </c>
      <c r="G12" s="163">
        <v>17046167.594700001</v>
      </c>
      <c r="H12" s="163">
        <v>16863783.6358</v>
      </c>
      <c r="I12" s="163">
        <v>15805340.7294</v>
      </c>
      <c r="J12" s="163">
        <v>20176089.699900001</v>
      </c>
      <c r="K12" s="163">
        <v>23136750.936500002</v>
      </c>
      <c r="L12" s="163">
        <v>24383156.879700001</v>
      </c>
      <c r="M12" s="163">
        <v>25315193.666700002</v>
      </c>
      <c r="O12" s="21">
        <f t="shared" si="1"/>
        <v>8.4639075850964085E-2</v>
      </c>
    </row>
    <row r="13" spans="1:15">
      <c r="A13" s="44"/>
      <c r="B13" s="2" t="s">
        <v>302</v>
      </c>
      <c r="C13" s="2" t="s">
        <v>186</v>
      </c>
      <c r="D13" s="163">
        <v>122084184.4068</v>
      </c>
      <c r="E13" s="163">
        <v>121054418.5354</v>
      </c>
      <c r="F13" s="163">
        <v>130476563.9303</v>
      </c>
      <c r="G13" s="163">
        <v>127273354.33580001</v>
      </c>
      <c r="H13" s="163">
        <v>121143372.91410001</v>
      </c>
      <c r="I13" s="163">
        <v>112967274.09980001</v>
      </c>
      <c r="J13" s="163">
        <v>153929835.19310001</v>
      </c>
      <c r="K13" s="163">
        <v>186321929.3001</v>
      </c>
      <c r="L13" s="163">
        <v>196310985.4341</v>
      </c>
      <c r="M13" s="163">
        <v>203814922.09999999</v>
      </c>
      <c r="O13" s="21">
        <f t="shared" si="1"/>
        <v>0.10965318286575365</v>
      </c>
    </row>
    <row r="14" spans="1:15">
      <c r="A14" s="44"/>
      <c r="D14" s="63"/>
      <c r="E14" s="63"/>
      <c r="F14" s="63"/>
      <c r="G14" s="63"/>
      <c r="H14" s="63"/>
      <c r="I14" s="63"/>
      <c r="J14" s="63"/>
      <c r="K14" s="63"/>
      <c r="L14" s="63"/>
      <c r="M14" s="63"/>
    </row>
    <row r="15" spans="1:15">
      <c r="A15" s="44"/>
      <c r="B15" s="2" t="s">
        <v>303</v>
      </c>
      <c r="C15" s="2" t="s">
        <v>189</v>
      </c>
      <c r="D15" s="163">
        <v>253281.89749999999</v>
      </c>
      <c r="E15" s="163">
        <v>258692.55059999999</v>
      </c>
      <c r="F15" s="163">
        <v>273789.22879999998</v>
      </c>
      <c r="G15" s="163">
        <v>283919.48009999999</v>
      </c>
      <c r="H15" s="163">
        <v>283557.8187</v>
      </c>
      <c r="I15" s="163">
        <v>271239.24359999999</v>
      </c>
      <c r="J15" s="163">
        <v>320360.65990000003</v>
      </c>
      <c r="K15" s="163">
        <v>342506.8566</v>
      </c>
      <c r="L15" s="163">
        <v>371708.23670000001</v>
      </c>
      <c r="M15" s="163">
        <v>389175.4167</v>
      </c>
      <c r="O15" s="21">
        <f>(M15/E15)^(1/8) - 1</f>
        <v>5.2374180986976215E-2</v>
      </c>
    </row>
    <row r="16" spans="1:15">
      <c r="A16" s="44"/>
      <c r="B16" s="2" t="s">
        <v>303</v>
      </c>
      <c r="C16" s="2" t="s">
        <v>188</v>
      </c>
      <c r="D16" s="163">
        <v>587109.37930000003</v>
      </c>
      <c r="E16" s="163">
        <v>610732.89309999999</v>
      </c>
      <c r="F16" s="163">
        <v>639694.45979999995</v>
      </c>
      <c r="G16" s="163">
        <v>662658.36910000001</v>
      </c>
      <c r="H16" s="163">
        <v>662721.33860000002</v>
      </c>
      <c r="I16" s="163">
        <v>633930.79929999996</v>
      </c>
      <c r="J16" s="163">
        <v>745304.34939999995</v>
      </c>
      <c r="K16" s="163">
        <v>759000.29669999995</v>
      </c>
      <c r="L16" s="163">
        <v>825260.48869999999</v>
      </c>
      <c r="M16" s="163">
        <v>864040.83330000006</v>
      </c>
      <c r="O16" s="21">
        <f t="shared" ref="O16:O18" si="2">(M16/E16)^(1/8) - 1</f>
        <v>4.4324266203125129E-2</v>
      </c>
    </row>
    <row r="17" spans="1:15">
      <c r="A17" s="44"/>
      <c r="B17" s="2" t="s">
        <v>303</v>
      </c>
      <c r="C17" s="2" t="s">
        <v>187</v>
      </c>
      <c r="D17" s="163">
        <v>1358600.2165000001</v>
      </c>
      <c r="E17" s="163">
        <v>1439939.3413</v>
      </c>
      <c r="F17" s="163">
        <v>1432915.59</v>
      </c>
      <c r="G17" s="163">
        <v>1508490.5962</v>
      </c>
      <c r="H17" s="163">
        <v>1575321.2146999999</v>
      </c>
      <c r="I17" s="163">
        <v>1506884.6869000001</v>
      </c>
      <c r="J17" s="163">
        <v>1743050.4946000001</v>
      </c>
      <c r="K17" s="163">
        <v>1785883.0508999999</v>
      </c>
      <c r="L17" s="163">
        <v>1977897.0390999999</v>
      </c>
      <c r="M17" s="163">
        <v>2070841.6666999999</v>
      </c>
      <c r="O17" s="21">
        <f t="shared" si="2"/>
        <v>4.6466517123606277E-2</v>
      </c>
    </row>
    <row r="18" spans="1:15">
      <c r="A18" s="44"/>
      <c r="B18" s="2" t="s">
        <v>303</v>
      </c>
      <c r="C18" s="2" t="s">
        <v>186</v>
      </c>
      <c r="D18" s="163">
        <v>3626819.1348999999</v>
      </c>
      <c r="E18" s="163">
        <v>3977355.3816999998</v>
      </c>
      <c r="F18" s="163">
        <v>3925792.3591999998</v>
      </c>
      <c r="G18" s="163">
        <v>4133622.1814999999</v>
      </c>
      <c r="H18" s="163">
        <v>4151640.8415999999</v>
      </c>
      <c r="I18" s="163">
        <v>3971246.0748999999</v>
      </c>
      <c r="J18" s="163">
        <v>4781816.0911999997</v>
      </c>
      <c r="K18" s="163">
        <v>4898927.6392000001</v>
      </c>
      <c r="L18" s="163">
        <v>5051333.8450999996</v>
      </c>
      <c r="M18" s="163">
        <v>5288700.5</v>
      </c>
      <c r="O18" s="21">
        <f t="shared" si="2"/>
        <v>3.6261401702052831E-2</v>
      </c>
    </row>
    <row r="19" spans="1:15">
      <c r="A19" s="44"/>
      <c r="D19" s="63"/>
      <c r="E19" s="63"/>
      <c r="F19" s="63"/>
      <c r="G19" s="63"/>
      <c r="H19" s="63"/>
      <c r="I19" s="63"/>
      <c r="J19" s="63"/>
      <c r="K19" s="63"/>
      <c r="L19" s="63"/>
      <c r="M19" s="63"/>
    </row>
    <row r="20" spans="1:15">
      <c r="A20" s="44"/>
      <c r="B20" s="2" t="s">
        <v>305</v>
      </c>
      <c r="C20" s="2" t="s">
        <v>189</v>
      </c>
      <c r="D20" s="163">
        <v>602409.7672</v>
      </c>
      <c r="E20" s="163">
        <v>604569.48670000001</v>
      </c>
      <c r="F20" s="163">
        <v>571812.95600000001</v>
      </c>
      <c r="G20" s="163">
        <v>646331.36880000005</v>
      </c>
      <c r="H20" s="163">
        <v>603628.42330000002</v>
      </c>
      <c r="I20" s="163">
        <v>666459.53469999996</v>
      </c>
      <c r="J20" s="163">
        <v>757766.60820000002</v>
      </c>
      <c r="K20" s="163">
        <v>880343.71970000002</v>
      </c>
      <c r="L20" s="163">
        <v>971757.30119999999</v>
      </c>
      <c r="M20" s="163">
        <v>1031864.7733</v>
      </c>
      <c r="O20" s="21">
        <f>(M20/H20)^(1/5) - 1</f>
        <v>0.11319339541956008</v>
      </c>
    </row>
    <row r="21" spans="1:15">
      <c r="A21" s="44"/>
      <c r="B21" s="2" t="s">
        <v>305</v>
      </c>
      <c r="C21" s="2" t="s">
        <v>188</v>
      </c>
      <c r="D21" s="163">
        <v>2047459.0597000001</v>
      </c>
      <c r="E21" s="163">
        <v>2168428.2209999999</v>
      </c>
      <c r="F21" s="163">
        <v>1497915.4885</v>
      </c>
      <c r="G21" s="163">
        <v>2259899.8909</v>
      </c>
      <c r="H21" s="163">
        <v>2938097.7859</v>
      </c>
      <c r="I21" s="163">
        <v>2876598.8465</v>
      </c>
      <c r="J21" s="163">
        <v>3390869.2828000002</v>
      </c>
      <c r="K21" s="163">
        <v>3440354.2343000001</v>
      </c>
      <c r="L21" s="163">
        <v>3917009.6447000001</v>
      </c>
      <c r="M21" s="163">
        <v>4159293.9556</v>
      </c>
      <c r="O21" s="21">
        <f t="shared" ref="O21:O23" si="3">(M21/H21)^(1/5) - 1</f>
        <v>7.1989851223473345E-2</v>
      </c>
    </row>
    <row r="22" spans="1:15">
      <c r="A22" s="44"/>
      <c r="B22" s="2" t="s">
        <v>305</v>
      </c>
      <c r="C22" s="2" t="s">
        <v>187</v>
      </c>
      <c r="D22" s="163">
        <v>6036333.4829000002</v>
      </c>
      <c r="E22" s="163">
        <v>3509594.8086999999</v>
      </c>
      <c r="F22" s="163">
        <v>4168112.6638000002</v>
      </c>
      <c r="G22" s="163">
        <v>2983067.8561</v>
      </c>
      <c r="H22" s="163">
        <v>4190556.1368999998</v>
      </c>
      <c r="I22" s="163">
        <v>6550670.6405999996</v>
      </c>
      <c r="J22" s="163">
        <v>7414119.3321000002</v>
      </c>
      <c r="K22" s="163">
        <v>3688253.2212</v>
      </c>
      <c r="L22" s="163">
        <v>5148814.6743999999</v>
      </c>
      <c r="M22" s="163">
        <v>5467291.5555999996</v>
      </c>
      <c r="O22" s="21">
        <f t="shared" si="3"/>
        <v>5.4629983402930016E-2</v>
      </c>
    </row>
    <row r="23" spans="1:15">
      <c r="A23" s="44"/>
      <c r="B23" s="2" t="s">
        <v>305</v>
      </c>
      <c r="C23" s="2" t="s">
        <v>186</v>
      </c>
      <c r="D23" s="163">
        <v>231734934.65259999</v>
      </c>
      <c r="E23" s="163">
        <v>178921007.82870001</v>
      </c>
      <c r="F23" s="163">
        <v>325885942.79170001</v>
      </c>
      <c r="G23" s="163">
        <v>192811345.0327</v>
      </c>
      <c r="H23" s="163">
        <v>227897476.8321</v>
      </c>
      <c r="I23" s="163">
        <v>237970584.9219</v>
      </c>
      <c r="J23" s="163">
        <v>321648093.79900002</v>
      </c>
      <c r="K23" s="163">
        <v>266315683.06110001</v>
      </c>
      <c r="L23" s="163">
        <v>281052926.22970003</v>
      </c>
      <c r="M23" s="163">
        <v>298437145.30000001</v>
      </c>
      <c r="O23" s="21">
        <f t="shared" si="3"/>
        <v>5.5413565648924967E-2</v>
      </c>
    </row>
    <row r="24" spans="1:15">
      <c r="A24" s="44"/>
      <c r="D24" s="63"/>
      <c r="E24" s="63"/>
      <c r="F24" s="63"/>
      <c r="G24" s="63"/>
      <c r="H24" s="63"/>
      <c r="I24" s="63"/>
      <c r="J24" s="63"/>
      <c r="K24" s="63"/>
      <c r="L24" s="63"/>
      <c r="M24" s="63"/>
    </row>
    <row r="25" spans="1:15">
      <c r="A25" s="44"/>
      <c r="B25" s="2" t="s">
        <v>304</v>
      </c>
      <c r="C25" s="2" t="s">
        <v>189</v>
      </c>
      <c r="D25" s="163">
        <v>175054.99170000001</v>
      </c>
      <c r="E25" s="163">
        <v>199024.74950000001</v>
      </c>
      <c r="F25" s="163">
        <v>212661.45499999999</v>
      </c>
      <c r="G25" s="163">
        <v>216139.15760000001</v>
      </c>
      <c r="H25" s="163">
        <v>215809.25829999999</v>
      </c>
      <c r="I25" s="163">
        <v>197155.43040000001</v>
      </c>
      <c r="J25" s="163">
        <v>215348.0344</v>
      </c>
      <c r="K25" s="163">
        <v>231710.1594</v>
      </c>
      <c r="L25" s="163">
        <v>242256.98639999999</v>
      </c>
      <c r="M25" s="163">
        <v>248145.29329999999</v>
      </c>
      <c r="O25" s="21">
        <f>(M25/D25)^(1/9) - 1</f>
        <v>3.9529547284178124E-2</v>
      </c>
    </row>
    <row r="26" spans="1:15">
      <c r="A26" s="44"/>
      <c r="B26" s="2" t="s">
        <v>304</v>
      </c>
      <c r="C26" s="2" t="s">
        <v>188</v>
      </c>
      <c r="D26" s="163">
        <v>449014.5367</v>
      </c>
      <c r="E26" s="163">
        <v>565947.15500000003</v>
      </c>
      <c r="F26" s="163">
        <v>601140.2831</v>
      </c>
      <c r="G26" s="163">
        <v>607169.54209999996</v>
      </c>
      <c r="H26" s="163">
        <v>603732.23750000005</v>
      </c>
      <c r="I26" s="163">
        <v>551547.64919999999</v>
      </c>
      <c r="J26" s="163">
        <v>649086.6973</v>
      </c>
      <c r="K26" s="163">
        <v>736275.27289999998</v>
      </c>
      <c r="L26" s="163">
        <v>746578.13419999997</v>
      </c>
      <c r="M26" s="163">
        <v>764724.4889</v>
      </c>
      <c r="O26" s="21">
        <f t="shared" ref="O26:O28" si="4">(M26/D26)^(1/9) - 1</f>
        <v>6.0947378546226894E-2</v>
      </c>
    </row>
    <row r="27" spans="1:15">
      <c r="A27" s="44"/>
      <c r="B27" s="2" t="s">
        <v>304</v>
      </c>
      <c r="C27" s="2" t="s">
        <v>187</v>
      </c>
      <c r="D27" s="163">
        <v>1183213.9818</v>
      </c>
      <c r="E27" s="163">
        <v>1603516.9391999999</v>
      </c>
      <c r="F27" s="163">
        <v>1712926.6131</v>
      </c>
      <c r="G27" s="163">
        <v>1715913.9232999999</v>
      </c>
      <c r="H27" s="163">
        <v>1667768.6118000001</v>
      </c>
      <c r="I27" s="163">
        <v>1523612.2907</v>
      </c>
      <c r="J27" s="163">
        <v>1825556.3359999999</v>
      </c>
      <c r="K27" s="163">
        <v>2057239.7331999999</v>
      </c>
      <c r="L27" s="163">
        <v>2094989.6624</v>
      </c>
      <c r="M27" s="163">
        <v>2145910.5556000001</v>
      </c>
      <c r="O27" s="21">
        <f t="shared" si="4"/>
        <v>6.8384531363919754E-2</v>
      </c>
    </row>
    <row r="28" spans="1:15">
      <c r="A28" s="44"/>
      <c r="B28" s="2" t="s">
        <v>304</v>
      </c>
      <c r="C28" s="2" t="s">
        <v>186</v>
      </c>
      <c r="D28" s="163">
        <v>3677032.7940000002</v>
      </c>
      <c r="E28" s="163">
        <v>5905331.142</v>
      </c>
      <c r="F28" s="163">
        <v>6119727.5400999999</v>
      </c>
      <c r="G28" s="163">
        <v>6073085.1756999996</v>
      </c>
      <c r="H28" s="163">
        <v>5928398.4550000001</v>
      </c>
      <c r="I28" s="163">
        <v>5415985.5739000002</v>
      </c>
      <c r="J28" s="163">
        <v>6403003.8276000004</v>
      </c>
      <c r="K28" s="163">
        <v>7235545.2131000003</v>
      </c>
      <c r="L28" s="163">
        <v>7248733.5467999997</v>
      </c>
      <c r="M28" s="163">
        <v>7424933.9000000004</v>
      </c>
      <c r="O28" s="21">
        <f t="shared" si="4"/>
        <v>8.1211273676845996E-2</v>
      </c>
    </row>
    <row r="30" spans="1:15">
      <c r="B30" s="162" t="s">
        <v>308</v>
      </c>
    </row>
    <row r="31" spans="1:15">
      <c r="B31" s="162" t="s">
        <v>314</v>
      </c>
    </row>
    <row r="33" spans="2:15" s="86" customFormat="1">
      <c r="B33" s="162"/>
      <c r="C33" s="162"/>
      <c r="D33" s="226" t="s">
        <v>311</v>
      </c>
      <c r="E33" s="226"/>
      <c r="F33" s="226"/>
      <c r="G33" s="226"/>
      <c r="H33" s="226"/>
      <c r="I33" s="226"/>
      <c r="J33" s="226"/>
      <c r="K33" s="226"/>
      <c r="L33" s="226"/>
      <c r="M33" s="226"/>
      <c r="N33" s="44"/>
      <c r="O33" s="227" t="s">
        <v>309</v>
      </c>
    </row>
    <row r="34" spans="2:15">
      <c r="B34" s="162" t="s">
        <v>307</v>
      </c>
      <c r="C34" s="162" t="s">
        <v>306</v>
      </c>
      <c r="D34" s="161">
        <v>2015</v>
      </c>
      <c r="E34" s="164">
        <v>2016</v>
      </c>
      <c r="F34" s="164">
        <v>2017</v>
      </c>
      <c r="G34" s="164">
        <v>2018</v>
      </c>
      <c r="H34" s="164">
        <v>2019</v>
      </c>
      <c r="I34" s="164">
        <v>2020</v>
      </c>
      <c r="J34" s="164">
        <v>2021</v>
      </c>
      <c r="K34" s="164">
        <v>2022</v>
      </c>
      <c r="L34" s="164">
        <v>2023</v>
      </c>
      <c r="M34" s="164">
        <v>2024</v>
      </c>
      <c r="O34" s="227"/>
    </row>
    <row r="36" spans="2:15">
      <c r="B36" s="2" t="s">
        <v>190</v>
      </c>
      <c r="C36" s="2" t="s">
        <v>270</v>
      </c>
      <c r="D36" s="163">
        <v>172900.10949999999</v>
      </c>
      <c r="E36" s="163">
        <v>188158.63070000001</v>
      </c>
      <c r="F36" s="163">
        <v>191212.3174</v>
      </c>
      <c r="G36" s="163">
        <v>193427.10769999999</v>
      </c>
      <c r="H36" s="163">
        <v>182729.63759999999</v>
      </c>
      <c r="I36" s="163">
        <v>169850.43229999999</v>
      </c>
      <c r="J36" s="163">
        <v>180506.37349999999</v>
      </c>
      <c r="K36" s="163">
        <v>191569.67120000001</v>
      </c>
      <c r="L36" s="163">
        <v>204146.1826</v>
      </c>
      <c r="M36" s="163">
        <v>226912.8</v>
      </c>
      <c r="O36" s="21">
        <f>(M36/E36)^(1/8) - 1</f>
        <v>2.3686217993555081E-2</v>
      </c>
    </row>
    <row r="37" spans="2:15">
      <c r="B37" s="2" t="s">
        <v>190</v>
      </c>
      <c r="C37" s="2" t="s">
        <v>271</v>
      </c>
      <c r="D37" s="163">
        <v>545763.32250000001</v>
      </c>
      <c r="E37" s="163">
        <v>550818.19530000002</v>
      </c>
      <c r="F37" s="163">
        <v>635770.64419999998</v>
      </c>
      <c r="G37" s="163">
        <v>635359.72019999998</v>
      </c>
      <c r="H37" s="163">
        <v>640347.49190000002</v>
      </c>
      <c r="I37" s="163">
        <v>581432.42819999997</v>
      </c>
      <c r="J37" s="163">
        <v>759492.09900000005</v>
      </c>
      <c r="K37" s="163">
        <v>711840.20979999995</v>
      </c>
      <c r="L37" s="163">
        <v>732402.28240000003</v>
      </c>
      <c r="M37" s="163">
        <v>833460.9</v>
      </c>
      <c r="O37" s="21">
        <f t="shared" ref="O37:O39" si="5">(M37/E37)^(1/8) - 1</f>
        <v>5.3136388737166973E-2</v>
      </c>
    </row>
    <row r="38" spans="2:15">
      <c r="B38" s="2" t="s">
        <v>190</v>
      </c>
      <c r="C38" s="2" t="s">
        <v>272</v>
      </c>
      <c r="D38" s="163">
        <v>1881298.7086</v>
      </c>
      <c r="E38" s="163">
        <v>1924270.9071</v>
      </c>
      <c r="F38" s="163">
        <v>2078009.8322999999</v>
      </c>
      <c r="G38" s="163">
        <v>2656934.4413999999</v>
      </c>
      <c r="H38" s="163">
        <v>2572756.5943</v>
      </c>
      <c r="I38" s="163">
        <v>2298621.0317000002</v>
      </c>
      <c r="J38" s="163">
        <v>3216909.5356999999</v>
      </c>
      <c r="K38" s="163">
        <v>3362173.9589999998</v>
      </c>
      <c r="L38" s="163">
        <v>3060872.6397000002</v>
      </c>
      <c r="M38" s="163">
        <v>3162255</v>
      </c>
      <c r="O38" s="21">
        <f t="shared" si="5"/>
        <v>6.406053093993247E-2</v>
      </c>
    </row>
    <row r="39" spans="2:15">
      <c r="B39" s="2" t="s">
        <v>190</v>
      </c>
      <c r="C39" s="2" t="s">
        <v>186</v>
      </c>
      <c r="D39" s="163">
        <v>11444660.8928</v>
      </c>
      <c r="E39" s="163">
        <v>12069486.0844</v>
      </c>
      <c r="F39" s="163">
        <v>8369288.0806999998</v>
      </c>
      <c r="G39" s="163">
        <v>21370185.559999999</v>
      </c>
      <c r="H39" s="163">
        <v>11448523.572799999</v>
      </c>
      <c r="I39" s="163">
        <v>16316331.1316</v>
      </c>
      <c r="J39" s="163">
        <v>30559349.963399999</v>
      </c>
      <c r="K39" s="163">
        <v>21850044.306600001</v>
      </c>
      <c r="L39" s="163">
        <v>24890666.5759</v>
      </c>
      <c r="M39" s="163">
        <v>25715096</v>
      </c>
      <c r="O39" s="21">
        <f t="shared" si="5"/>
        <v>9.9163811673651514E-2</v>
      </c>
    </row>
    <row r="40" spans="2:15">
      <c r="D40" s="63"/>
      <c r="E40" s="63"/>
      <c r="F40" s="63"/>
      <c r="G40" s="63"/>
      <c r="H40" s="63"/>
      <c r="I40" s="63"/>
      <c r="J40" s="63"/>
      <c r="K40" s="63"/>
      <c r="L40" s="63"/>
      <c r="M40" s="63"/>
    </row>
    <row r="41" spans="2:15">
      <c r="B41" s="2" t="s">
        <v>302</v>
      </c>
      <c r="C41" s="2" t="s">
        <v>270</v>
      </c>
      <c r="D41" s="163">
        <v>391226.1041</v>
      </c>
      <c r="E41" s="163">
        <v>393832.65350000001</v>
      </c>
      <c r="F41" s="163">
        <v>413672.93550000002</v>
      </c>
      <c r="G41" s="163">
        <v>435602.17969999998</v>
      </c>
      <c r="H41" s="163">
        <v>449540.94589999999</v>
      </c>
      <c r="I41" s="163">
        <v>418398.24349999998</v>
      </c>
      <c r="J41" s="163">
        <v>468632.50520000001</v>
      </c>
      <c r="K41" s="163">
        <v>513112.31900000002</v>
      </c>
      <c r="L41" s="163">
        <v>539951.55379999999</v>
      </c>
      <c r="M41" s="163">
        <v>560591.1</v>
      </c>
      <c r="O41" s="21">
        <f>(M41/H41)^(1/5) - 1</f>
        <v>4.5142211981690661E-2</v>
      </c>
    </row>
    <row r="42" spans="2:15">
      <c r="B42" s="2" t="s">
        <v>302</v>
      </c>
      <c r="C42" s="2" t="s">
        <v>271</v>
      </c>
      <c r="D42" s="163">
        <v>1686992.1657</v>
      </c>
      <c r="E42" s="163">
        <v>1688494.277</v>
      </c>
      <c r="F42" s="163">
        <v>1784689.9972000001</v>
      </c>
      <c r="G42" s="163">
        <v>1898766.4217000001</v>
      </c>
      <c r="H42" s="163">
        <v>1951092.7660000001</v>
      </c>
      <c r="I42" s="163">
        <v>1799492.9134</v>
      </c>
      <c r="J42" s="163">
        <v>2152815.5811000001</v>
      </c>
      <c r="K42" s="163">
        <v>2410702.4748999998</v>
      </c>
      <c r="L42" s="163">
        <v>2540557.9588000001</v>
      </c>
      <c r="M42" s="163">
        <v>2637670.2999999998</v>
      </c>
      <c r="O42" s="21">
        <f t="shared" ref="O42:O44" si="6">(M42/H42)^(1/5) - 1</f>
        <v>6.2156516965497399E-2</v>
      </c>
    </row>
    <row r="43" spans="2:15">
      <c r="B43" s="2" t="s">
        <v>302</v>
      </c>
      <c r="C43" s="2" t="s">
        <v>272</v>
      </c>
      <c r="D43" s="163">
        <v>7950330.3327000001</v>
      </c>
      <c r="E43" s="163">
        <v>7879606.4204000002</v>
      </c>
      <c r="F43" s="163">
        <v>8186686.5807999996</v>
      </c>
      <c r="G43" s="163">
        <v>8738745.5146999992</v>
      </c>
      <c r="H43" s="163">
        <v>8754857.4811000004</v>
      </c>
      <c r="I43" s="163">
        <v>8145419.1146999998</v>
      </c>
      <c r="J43" s="163">
        <v>10202796.013900001</v>
      </c>
      <c r="K43" s="163">
        <v>11608408.2245</v>
      </c>
      <c r="L43" s="163">
        <v>12251469.070800001</v>
      </c>
      <c r="M43" s="163">
        <v>12719778</v>
      </c>
      <c r="O43" s="21">
        <f t="shared" si="6"/>
        <v>7.7571484349869602E-2</v>
      </c>
    </row>
    <row r="44" spans="2:15">
      <c r="B44" s="2" t="s">
        <v>302</v>
      </c>
      <c r="C44" s="2" t="s">
        <v>186</v>
      </c>
      <c r="D44" s="163">
        <v>76965371.158800006</v>
      </c>
      <c r="E44" s="163">
        <v>76268204.255400002</v>
      </c>
      <c r="F44" s="163">
        <v>81670255.813500002</v>
      </c>
      <c r="G44" s="163">
        <v>80781355.050600007</v>
      </c>
      <c r="H44" s="163">
        <v>77393669.609599993</v>
      </c>
      <c r="I44" s="163">
        <v>72181338.826399997</v>
      </c>
      <c r="J44" s="163">
        <v>97333115.514599994</v>
      </c>
      <c r="K44" s="163">
        <v>116821077.6609</v>
      </c>
      <c r="L44" s="163">
        <v>123125166.3272</v>
      </c>
      <c r="M44" s="163">
        <v>127831592</v>
      </c>
      <c r="O44" s="21">
        <f t="shared" si="6"/>
        <v>0.1055707795385401</v>
      </c>
    </row>
    <row r="45" spans="2:15">
      <c r="D45" s="63"/>
      <c r="E45" s="63"/>
      <c r="F45" s="63"/>
      <c r="G45" s="63"/>
      <c r="H45" s="63"/>
      <c r="I45" s="63"/>
      <c r="J45" s="63"/>
      <c r="K45" s="63"/>
      <c r="L45" s="63"/>
      <c r="M45" s="63"/>
    </row>
    <row r="46" spans="2:15">
      <c r="B46" s="2" t="s">
        <v>303</v>
      </c>
      <c r="C46" s="2" t="s">
        <v>270</v>
      </c>
      <c r="D46" s="163">
        <v>177219.61919999999</v>
      </c>
      <c r="E46" s="163">
        <v>180472.8216</v>
      </c>
      <c r="F46" s="163">
        <v>191380.9595</v>
      </c>
      <c r="G46" s="163">
        <v>198325.03140000001</v>
      </c>
      <c r="H46" s="163">
        <v>198444.18210000001</v>
      </c>
      <c r="I46" s="163">
        <v>189821.51139999999</v>
      </c>
      <c r="J46" s="163">
        <v>221804.95629999999</v>
      </c>
      <c r="K46" s="163">
        <v>239174.83259999999</v>
      </c>
      <c r="L46" s="163">
        <v>259428.50469999999</v>
      </c>
      <c r="M46" s="163">
        <v>271619.3</v>
      </c>
      <c r="O46" s="21">
        <f>(M46/E46)^(1/8) - 1</f>
        <v>5.2430927660569226E-2</v>
      </c>
    </row>
    <row r="47" spans="2:15">
      <c r="B47" s="2" t="s">
        <v>303</v>
      </c>
      <c r="C47" s="2" t="s">
        <v>271</v>
      </c>
      <c r="D47" s="163">
        <v>413449.56709999999</v>
      </c>
      <c r="E47" s="163">
        <v>425896.34720000002</v>
      </c>
      <c r="F47" s="163">
        <v>447743.8567</v>
      </c>
      <c r="G47" s="163">
        <v>464548.3174</v>
      </c>
      <c r="H47" s="163">
        <v>464623.47389999998</v>
      </c>
      <c r="I47" s="163">
        <v>444434.59279999998</v>
      </c>
      <c r="J47" s="163">
        <v>520654.73220000003</v>
      </c>
      <c r="K47" s="163">
        <v>533419.37730000005</v>
      </c>
      <c r="L47" s="163">
        <v>578590.4878</v>
      </c>
      <c r="M47" s="163">
        <v>605778.9</v>
      </c>
      <c r="O47" s="21">
        <f t="shared" ref="O47:O49" si="7">(M47/E47)^(1/8) - 1</f>
        <v>4.5024033244391193E-2</v>
      </c>
    </row>
    <row r="48" spans="2:15">
      <c r="B48" s="2" t="s">
        <v>303</v>
      </c>
      <c r="C48" s="2" t="s">
        <v>272</v>
      </c>
      <c r="D48" s="163">
        <v>954417.89709999994</v>
      </c>
      <c r="E48" s="163">
        <v>1003016.5201</v>
      </c>
      <c r="F48" s="163">
        <v>1034151.3431000001</v>
      </c>
      <c r="G48" s="163">
        <v>1077643.969</v>
      </c>
      <c r="H48" s="163">
        <v>1078945.1804</v>
      </c>
      <c r="I48" s="163">
        <v>1032063.4142999999</v>
      </c>
      <c r="J48" s="163">
        <v>1220870.6564</v>
      </c>
      <c r="K48" s="163">
        <v>1250515.8036</v>
      </c>
      <c r="L48" s="163">
        <v>1356411.1706999999</v>
      </c>
      <c r="M48" s="163">
        <v>1420150.5</v>
      </c>
      <c r="O48" s="21">
        <f t="shared" si="7"/>
        <v>4.4427469339446857E-2</v>
      </c>
    </row>
    <row r="49" spans="2:16">
      <c r="B49" s="2" t="s">
        <v>303</v>
      </c>
      <c r="C49" s="2" t="s">
        <v>186</v>
      </c>
      <c r="D49" s="163">
        <v>2824905.9808999998</v>
      </c>
      <c r="E49" s="163">
        <v>3074477.8824</v>
      </c>
      <c r="F49" s="163">
        <v>3058521.3297000001</v>
      </c>
      <c r="G49" s="163">
        <v>3214350.1575000002</v>
      </c>
      <c r="H49" s="163">
        <v>3226466.2272999999</v>
      </c>
      <c r="I49" s="163">
        <v>3086271.6883</v>
      </c>
      <c r="J49" s="163">
        <v>3707852.4855</v>
      </c>
      <c r="K49" s="163">
        <v>3798387.0622</v>
      </c>
      <c r="L49" s="163">
        <v>3988817.7991999998</v>
      </c>
      <c r="M49" s="163">
        <v>4176256.3</v>
      </c>
      <c r="O49" s="21">
        <f t="shared" si="7"/>
        <v>3.9027330446761654E-2</v>
      </c>
    </row>
    <row r="50" spans="2:16">
      <c r="B50" s="2"/>
      <c r="C50" s="2"/>
      <c r="D50" s="163"/>
      <c r="E50" s="163"/>
      <c r="F50" s="163"/>
      <c r="G50" s="163"/>
      <c r="H50" s="163"/>
      <c r="I50" s="163"/>
      <c r="J50" s="163"/>
      <c r="K50" s="163"/>
      <c r="L50" s="163"/>
      <c r="M50" s="163"/>
    </row>
    <row r="51" spans="2:16">
      <c r="B51" s="2" t="s">
        <v>305</v>
      </c>
      <c r="C51" s="2" t="s">
        <v>270</v>
      </c>
      <c r="D51" s="163">
        <v>367066.61800000002</v>
      </c>
      <c r="E51" s="163">
        <v>385522.8322</v>
      </c>
      <c r="F51" s="163">
        <v>383611.04200000002</v>
      </c>
      <c r="G51" s="163">
        <v>423057.95529999997</v>
      </c>
      <c r="H51" s="163">
        <v>403987.24699999997</v>
      </c>
      <c r="I51" s="163">
        <v>417735.59730000002</v>
      </c>
      <c r="J51" s="163">
        <v>476231.69179999997</v>
      </c>
      <c r="K51" s="163">
        <v>661331.51670000004</v>
      </c>
      <c r="L51" s="163">
        <v>615148.25899999996</v>
      </c>
      <c r="M51" s="163">
        <v>653197.6</v>
      </c>
      <c r="O51" s="21">
        <f>(M51/H51)^(1/5) - 1</f>
        <v>0.10086834754733487</v>
      </c>
    </row>
    <row r="52" spans="2:16">
      <c r="B52" s="2" t="s">
        <v>305</v>
      </c>
      <c r="C52" s="2" t="s">
        <v>271</v>
      </c>
      <c r="D52" s="163">
        <v>1249137.1018999999</v>
      </c>
      <c r="E52" s="163">
        <v>1109605.1499000001</v>
      </c>
      <c r="F52" s="163">
        <v>1126844.8751000001</v>
      </c>
      <c r="G52" s="163">
        <v>1229558.0119</v>
      </c>
      <c r="H52" s="163">
        <v>1710441.2047999999</v>
      </c>
      <c r="I52" s="163">
        <v>1352214.0386000001</v>
      </c>
      <c r="J52" s="163">
        <v>1620819.0824</v>
      </c>
      <c r="K52" s="163">
        <v>2526783.9865999999</v>
      </c>
      <c r="L52" s="163">
        <v>2601812.0932</v>
      </c>
      <c r="M52" s="163">
        <v>2762744.3</v>
      </c>
      <c r="O52" s="21">
        <f t="shared" ref="O52:O54" si="8">(M52/H52)^(1/5) - 1</f>
        <v>0.1006430821501958</v>
      </c>
    </row>
    <row r="53" spans="2:16">
      <c r="B53" s="2" t="s">
        <v>305</v>
      </c>
      <c r="C53" s="2" t="s">
        <v>272</v>
      </c>
      <c r="D53" s="163">
        <v>2639875.6828000001</v>
      </c>
      <c r="E53" s="163">
        <v>2576466.3593000001</v>
      </c>
      <c r="F53" s="163">
        <v>3326709.2365000001</v>
      </c>
      <c r="G53" s="163">
        <v>2444676.5627000001</v>
      </c>
      <c r="H53" s="163">
        <v>3105491.0062000002</v>
      </c>
      <c r="I53" s="163">
        <v>3894848.0460999999</v>
      </c>
      <c r="J53" s="163">
        <v>4501120.3982999995</v>
      </c>
      <c r="K53" s="163">
        <v>3450633.1061</v>
      </c>
      <c r="L53" s="163">
        <v>3941852.4936000002</v>
      </c>
      <c r="M53" s="163">
        <v>4185671.5</v>
      </c>
      <c r="O53" s="21">
        <f t="shared" si="8"/>
        <v>6.1517047262411362E-2</v>
      </c>
    </row>
    <row r="54" spans="2:16">
      <c r="B54" s="2" t="s">
        <v>305</v>
      </c>
      <c r="C54" s="2" t="s">
        <v>186</v>
      </c>
      <c r="D54" s="163">
        <v>21126575.933699999</v>
      </c>
      <c r="E54" s="163">
        <v>92512569.421299994</v>
      </c>
      <c r="F54" s="163">
        <v>166179725.8046</v>
      </c>
      <c r="G54" s="163">
        <v>5458519.6801000005</v>
      </c>
      <c r="H54" s="163">
        <v>117557070.95370001</v>
      </c>
      <c r="I54" s="163">
        <v>125824061.8096</v>
      </c>
      <c r="J54" s="163">
        <v>168558231.95559999</v>
      </c>
      <c r="K54" s="163">
        <v>135366956.31600001</v>
      </c>
      <c r="L54" s="163">
        <v>144749706.39660001</v>
      </c>
      <c r="M54" s="163">
        <v>153703040</v>
      </c>
      <c r="O54" s="21">
        <f t="shared" si="8"/>
        <v>5.5083278359018273E-2</v>
      </c>
    </row>
    <row r="55" spans="2:16">
      <c r="D55" s="63"/>
      <c r="E55" s="63"/>
      <c r="F55" s="63"/>
      <c r="G55" s="63"/>
      <c r="H55" s="63"/>
      <c r="I55" s="63"/>
      <c r="J55" s="63"/>
      <c r="K55" s="63"/>
      <c r="L55" s="63"/>
      <c r="M55" s="63"/>
    </row>
    <row r="56" spans="2:16">
      <c r="B56" s="2" t="s">
        <v>304</v>
      </c>
      <c r="C56" s="2" t="s">
        <v>270</v>
      </c>
      <c r="D56" s="163">
        <v>117972.4568</v>
      </c>
      <c r="E56" s="163">
        <v>128968.4966</v>
      </c>
      <c r="F56" s="163">
        <v>137074.8333</v>
      </c>
      <c r="G56" s="163">
        <v>139689.0882</v>
      </c>
      <c r="H56" s="163">
        <v>140164.5477</v>
      </c>
      <c r="I56" s="163">
        <v>128048.774</v>
      </c>
      <c r="J56" s="163">
        <v>139365.45499999999</v>
      </c>
      <c r="K56" s="163">
        <v>147911.92430000001</v>
      </c>
      <c r="L56" s="163">
        <v>157335.71979999999</v>
      </c>
      <c r="M56" s="163">
        <v>161160.1</v>
      </c>
      <c r="O56" s="21">
        <f>(M56/D56)^(1/9) - 1</f>
        <v>3.5268474725843157E-2</v>
      </c>
    </row>
    <row r="57" spans="2:16">
      <c r="B57" s="2" t="s">
        <v>304</v>
      </c>
      <c r="C57" s="2" t="s">
        <v>271</v>
      </c>
      <c r="D57" s="163">
        <v>301400.21799999999</v>
      </c>
      <c r="E57" s="163">
        <v>361115.5821</v>
      </c>
      <c r="F57" s="163">
        <v>386113.95510000002</v>
      </c>
      <c r="G57" s="163">
        <v>390467.73759999999</v>
      </c>
      <c r="H57" s="163">
        <v>388726.26569999999</v>
      </c>
      <c r="I57" s="163">
        <v>355127.3677</v>
      </c>
      <c r="J57" s="163">
        <v>419846.4657</v>
      </c>
      <c r="K57" s="163">
        <v>474436.30589999998</v>
      </c>
      <c r="L57" s="163">
        <v>482035.92090000003</v>
      </c>
      <c r="M57" s="163">
        <v>493752.9</v>
      </c>
      <c r="O57" s="21">
        <f t="shared" ref="O57:O59" si="9">(M57/D57)^(1/9) - 1</f>
        <v>5.6375828337975165E-2</v>
      </c>
    </row>
    <row r="58" spans="2:16">
      <c r="B58" s="2" t="s">
        <v>304</v>
      </c>
      <c r="C58" s="2" t="s">
        <v>272</v>
      </c>
      <c r="D58" s="163">
        <v>778485.32949999999</v>
      </c>
      <c r="E58" s="163">
        <v>1032045.1871</v>
      </c>
      <c r="F58" s="163">
        <v>1095442.5338000001</v>
      </c>
      <c r="G58" s="163">
        <v>1100228.43</v>
      </c>
      <c r="H58" s="163">
        <v>1087554.7582</v>
      </c>
      <c r="I58" s="163">
        <v>993553.14950000006</v>
      </c>
      <c r="J58" s="163">
        <v>1174620.4679</v>
      </c>
      <c r="K58" s="163">
        <v>1327348.8940000001</v>
      </c>
      <c r="L58" s="163">
        <v>1347401.8685000001</v>
      </c>
      <c r="M58" s="163">
        <v>1380154.3</v>
      </c>
      <c r="O58" s="21">
        <f t="shared" si="9"/>
        <v>6.5689780550636678E-2</v>
      </c>
    </row>
    <row r="59" spans="2:16">
      <c r="B59" s="2" t="s">
        <v>304</v>
      </c>
      <c r="C59" s="2" t="s">
        <v>186</v>
      </c>
      <c r="D59" s="163">
        <v>2758448.6257000002</v>
      </c>
      <c r="E59" s="163">
        <v>4292058.5208999999</v>
      </c>
      <c r="F59" s="163">
        <v>4466335.8470000001</v>
      </c>
      <c r="G59" s="163">
        <v>4440865.2810000004</v>
      </c>
      <c r="H59" s="163">
        <v>4343835.2262000004</v>
      </c>
      <c r="I59" s="163">
        <v>3968381.1028999998</v>
      </c>
      <c r="J59" s="163">
        <v>4691585.8121999996</v>
      </c>
      <c r="K59" s="163">
        <v>5301602.3743000003</v>
      </c>
      <c r="L59" s="163">
        <v>5321581.8296999997</v>
      </c>
      <c r="M59" s="163">
        <v>5450937</v>
      </c>
      <c r="O59" s="21">
        <f t="shared" si="9"/>
        <v>7.8617252423557993E-2</v>
      </c>
    </row>
    <row r="61" spans="2:16">
      <c r="B61" s="162" t="s">
        <v>310</v>
      </c>
    </row>
    <row r="62" spans="2:16">
      <c r="B62" s="162" t="s">
        <v>313</v>
      </c>
    </row>
    <row r="64" spans="2:16">
      <c r="D64" s="226" t="s">
        <v>316</v>
      </c>
      <c r="E64" s="226"/>
      <c r="F64" s="226"/>
      <c r="G64" s="226"/>
      <c r="H64" s="226"/>
      <c r="I64" s="226"/>
      <c r="J64" s="226"/>
      <c r="K64" s="226"/>
      <c r="L64" s="226"/>
      <c r="M64" s="226"/>
      <c r="O64" s="227" t="s">
        <v>317</v>
      </c>
      <c r="P64" s="44"/>
    </row>
    <row r="65" spans="2:16">
      <c r="B65" s="162" t="s">
        <v>307</v>
      </c>
      <c r="D65" s="161">
        <v>2015</v>
      </c>
      <c r="E65" s="164">
        <v>2016</v>
      </c>
      <c r="F65" s="164">
        <v>2017</v>
      </c>
      <c r="G65" s="164">
        <v>2018</v>
      </c>
      <c r="H65" s="164">
        <v>2019</v>
      </c>
      <c r="I65" s="164">
        <v>2020</v>
      </c>
      <c r="J65" s="164">
        <v>2021</v>
      </c>
      <c r="K65" s="164">
        <v>2022</v>
      </c>
      <c r="L65" s="164">
        <v>2023</v>
      </c>
      <c r="M65" s="164">
        <v>2024</v>
      </c>
      <c r="O65" s="227"/>
      <c r="P65" s="44"/>
    </row>
    <row r="66" spans="2:16">
      <c r="B66" s="48" t="s">
        <v>190</v>
      </c>
      <c r="C66" s="48"/>
      <c r="D66" s="48">
        <v>50504620</v>
      </c>
      <c r="E66" s="48">
        <v>50702744</v>
      </c>
      <c r="F66" s="48">
        <v>50953892</v>
      </c>
      <c r="G66" s="48">
        <v>51285688</v>
      </c>
      <c r="H66" s="48">
        <v>51601820</v>
      </c>
      <c r="I66" s="48">
        <v>51873496</v>
      </c>
      <c r="J66" s="48">
        <v>52136424</v>
      </c>
      <c r="K66" s="48">
        <v>52410868</v>
      </c>
      <c r="L66" s="48">
        <v>52695128</v>
      </c>
      <c r="M66" s="48">
        <v>52956956</v>
      </c>
      <c r="O66" s="21">
        <f>(M66/E66)^(1/8) - 1</f>
        <v>5.452234777918008E-3</v>
      </c>
      <c r="P66" s="44"/>
    </row>
    <row r="67" spans="2:16">
      <c r="B67" s="48" t="s">
        <v>302</v>
      </c>
      <c r="C67" s="48"/>
      <c r="D67" s="48">
        <v>242288453</v>
      </c>
      <c r="E67" s="48">
        <v>244961813</v>
      </c>
      <c r="F67" s="48">
        <v>247625094</v>
      </c>
      <c r="G67" s="48">
        <v>250238203</v>
      </c>
      <c r="H67" s="48">
        <v>252854125</v>
      </c>
      <c r="I67" s="48">
        <v>254844656</v>
      </c>
      <c r="J67" s="48">
        <v>256216438</v>
      </c>
      <c r="K67" s="48">
        <v>258043797</v>
      </c>
      <c r="L67" s="48">
        <v>260434000</v>
      </c>
      <c r="M67" s="48">
        <v>262814969</v>
      </c>
      <c r="O67" s="21">
        <f>(M67/H67)^(1/5) - 1</f>
        <v>7.7574348370168522E-3</v>
      </c>
      <c r="P67" s="44"/>
    </row>
    <row r="68" spans="2:16">
      <c r="B68" s="48" t="s">
        <v>303</v>
      </c>
      <c r="C68" s="48"/>
      <c r="D68" s="48">
        <v>13234287</v>
      </c>
      <c r="E68" s="48">
        <v>13336380</v>
      </c>
      <c r="F68" s="48">
        <v>13449388</v>
      </c>
      <c r="G68" s="48">
        <v>13568205</v>
      </c>
      <c r="H68" s="48">
        <v>13703108</v>
      </c>
      <c r="I68" s="48">
        <v>13832343</v>
      </c>
      <c r="J68" s="48">
        <v>13954525</v>
      </c>
      <c r="K68" s="48">
        <v>14132256</v>
      </c>
      <c r="L68" s="48">
        <v>14327401</v>
      </c>
      <c r="M68" s="48">
        <v>14475086</v>
      </c>
      <c r="O68" s="21">
        <f>(M68/E68)^(1/8) - 1</f>
        <v>1.0294291033525527E-2</v>
      </c>
      <c r="P68" s="44"/>
    </row>
    <row r="69" spans="2:16">
      <c r="B69" s="48" t="s">
        <v>305</v>
      </c>
      <c r="C69" s="48"/>
      <c r="D69" s="48">
        <v>139571188</v>
      </c>
      <c r="E69" s="48">
        <v>141673438</v>
      </c>
      <c r="F69" s="48">
        <v>143759375</v>
      </c>
      <c r="G69" s="48">
        <v>145780906</v>
      </c>
      <c r="H69" s="48">
        <v>147756922</v>
      </c>
      <c r="I69" s="48">
        <v>149602453</v>
      </c>
      <c r="J69" s="48">
        <v>151145594</v>
      </c>
      <c r="K69" s="48">
        <v>152542422</v>
      </c>
      <c r="L69" s="48">
        <v>153980281</v>
      </c>
      <c r="M69" s="48">
        <v>155432016</v>
      </c>
      <c r="O69" s="21">
        <f t="shared" ref="O69" si="10">(M69/H69)^(1/5) - 1</f>
        <v>1.0179448705106342E-2</v>
      </c>
      <c r="P69" s="44"/>
    </row>
    <row r="70" spans="2:16">
      <c r="B70" s="48" t="s">
        <v>304</v>
      </c>
      <c r="C70" s="48"/>
      <c r="D70" s="48">
        <v>49418188</v>
      </c>
      <c r="E70" s="48">
        <v>49409332</v>
      </c>
      <c r="F70" s="48">
        <v>49414824</v>
      </c>
      <c r="G70" s="48">
        <v>49419367</v>
      </c>
      <c r="H70" s="48">
        <v>49415379</v>
      </c>
      <c r="I70" s="48">
        <v>49356125</v>
      </c>
      <c r="J70" s="48">
        <v>49326875</v>
      </c>
      <c r="K70" s="48">
        <v>49349629</v>
      </c>
      <c r="L70" s="48">
        <v>49376355</v>
      </c>
      <c r="M70" s="48">
        <v>49380695</v>
      </c>
      <c r="O70" s="21">
        <f>(M70/D70)^(1/9) - 1</f>
        <v>-8.4327136323003593E-5</v>
      </c>
      <c r="P70" s="44"/>
    </row>
    <row r="71" spans="2:16">
      <c r="P71" s="44"/>
    </row>
    <row r="72" spans="2:16">
      <c r="B72" s="162" t="s">
        <v>312</v>
      </c>
      <c r="P72" s="44"/>
    </row>
    <row r="73" spans="2:16">
      <c r="B73" s="162" t="s">
        <v>315</v>
      </c>
      <c r="P73" s="44"/>
    </row>
  </sheetData>
  <mergeCells count="6">
    <mergeCell ref="D2:M2"/>
    <mergeCell ref="O2:O3"/>
    <mergeCell ref="O33:O34"/>
    <mergeCell ref="D33:M33"/>
    <mergeCell ref="D64:M64"/>
    <mergeCell ref="O64:O65"/>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17</vt:i4>
      </vt:variant>
    </vt:vector>
  </HeadingPairs>
  <TitlesOfParts>
    <vt:vector size="17" baseType="lpstr">
      <vt:lpstr>README</vt:lpstr>
      <vt:lpstr>FRA</vt:lpstr>
      <vt:lpstr>USA</vt:lpstr>
      <vt:lpstr>NDL</vt:lpstr>
      <vt:lpstr>BRA</vt:lpstr>
      <vt:lpstr>ITA</vt:lpstr>
      <vt:lpstr>Summary</vt:lpstr>
      <vt:lpstr>Data Sources</vt:lpstr>
      <vt:lpstr>Income to wealth ratios</vt:lpstr>
      <vt:lpstr>Bach et al. (2025)</vt:lpstr>
      <vt:lpstr>Bozio et al. (2020)</vt:lpstr>
      <vt:lpstr>Piketty, Saez, Zucman (2018)</vt:lpstr>
      <vt:lpstr>Balkir et al. (2025)</vt:lpstr>
      <vt:lpstr>Bruil et al. (2025)</vt:lpstr>
      <vt:lpstr>Palomo et al. (2025)</vt:lpstr>
      <vt:lpstr>Guzzardi et al. (2024)</vt:lpstr>
      <vt:lpstr>WID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Léonard Mouillet</dc:creator>
  <cp:lastModifiedBy>Léonard Mouillet</cp:lastModifiedBy>
  <dcterms:created xsi:type="dcterms:W3CDTF">2026-01-08T13:27:51Z</dcterms:created>
  <dcterms:modified xsi:type="dcterms:W3CDTF">2026-02-06T17:59:50Z</dcterms:modified>
</cp:coreProperties>
</file>